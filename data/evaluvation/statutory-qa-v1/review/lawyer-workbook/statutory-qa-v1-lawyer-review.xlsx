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Provisions" sheetId="2" state="visible" r:id="rId2"/>
    <sheet xmlns:r="http://schemas.openxmlformats.org/officeDocument/2006/relationships" name="Claims" sheetId="3" state="visible" r:id="rId3"/>
    <sheet xmlns:r="http://schemas.openxmlformats.org/officeDocument/2006/relationships" name="Missing provisions" sheetId="4" state="visible" r:id="rId4"/>
  </sheets>
  <definedNames>
    <definedName name="_xlnm._FilterDatabase" localSheetId="0" hidden="1">'Questions'!$A$5:$Q$55</definedName>
    <definedName name="_xlnm._FilterDatabase" localSheetId="1" hidden="1">'Provisions'!$A$5:$Q$622</definedName>
    <definedName name="_xlnm._FilterDatabase" localSheetId="2" hidden="1">'Claims'!$A$5:$K$689</definedName>
    <definedName name="_xlnm._FilterDatabase" localSheetId="3" hidden="1">'Missing provisions'!$A$5:$J$155</definedName>
  </definedNames>
</workbook>
</file>

<file path=xl/styles.xml><?xml version="1.0" encoding="utf-8"?>
<styleSheet xmlns="http://schemas.openxmlformats.org/spreadsheetml/2006/main">
  <numFmts count="1">
    <numFmt numFmtId="164" formatCode="yyyy-mm-dd"/>
  </numFmts>
  <fonts count="5">
    <font>
      <name val="Carlito"/>
      <sz val="11"/>
    </font>
    <font>
      <name val="Arial"/>
      <b val="1"/>
      <color rgb="FF17365D"/>
      <sz val="14"/>
    </font>
    <font>
      <name val="Arial"/>
      <i val="1"/>
      <color rgb="FF4B5563"/>
      <sz val="10"/>
    </font>
    <font>
      <name val="Arial"/>
      <b val="1"/>
      <color rgb="FFFFFFFF"/>
      <sz val="10"/>
    </font>
    <font>
      <name val="Arial"/>
      <color rgb="FF1F2937"/>
      <sz val="10"/>
    </font>
  </fonts>
  <fills count="5">
    <fill>
      <patternFill/>
    </fill>
    <fill>
      <patternFill patternType="gray125"/>
    </fill>
    <fill>
      <patternFill patternType="solid">
        <fgColor rgb="FF17365D"/>
      </patternFill>
    </fill>
    <fill>
      <patternFill patternType="solid">
        <fgColor rgb="FFE7E6E6"/>
      </patternFill>
    </fill>
    <fill>
      <patternFill patternType="solid">
        <fgColor rgb="FFFFF2CC"/>
      </patternFill>
    </fill>
  </fills>
  <borders count="4">
    <border/>
    <border>
      <left style="thin">
        <color rgb="FFFFFFFF"/>
      </left>
      <right style="thin">
        <color rgb="FFFFFFFF"/>
      </right>
      <top style="thin">
        <color rgb="FFFFFFFF"/>
      </top>
      <bottom style="thin">
        <color rgb="FFFFFFFF"/>
      </bottom>
    </border>
    <border>
      <bottom style="thin">
        <color rgb="FFB7C9D6"/>
      </bottom>
    </border>
    <border>
      <top style="thin">
        <color rgb="FFB7C9D6"/>
      </top>
      <bottom style="thin">
        <color rgb="FFB7C9D6"/>
      </bottom>
    </border>
  </borders>
  <cellStyleXfs count="1">
    <xf numFmtId="0" fontId="0" fillId="0" borderId="0"/>
  </cellStyleXfs>
  <cellXfs count="33">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0" fillId="2" borderId="0" pivotButton="0" quotePrefix="0" xfId="0"/>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3" pivotButton="0" quotePrefix="0" xfId="0"/>
    <xf numFmtId="0" fontId="4" fillId="0" borderId="2" applyAlignment="1" pivotButton="0" quotePrefix="0" xfId="0">
      <alignment wrapText="1"/>
    </xf>
    <xf numFmtId="0" fontId="4" fillId="0" borderId="3" applyAlignment="1" pivotButton="0" quotePrefix="0" xfId="0">
      <alignment wrapText="1"/>
    </xf>
    <xf numFmtId="0" fontId="4" fillId="0" borderId="2" applyAlignment="1" pivotButton="0" quotePrefix="0" xfId="0">
      <alignment vertical="top" wrapText="1"/>
    </xf>
    <xf numFmtId="0" fontId="4" fillId="0" borderId="3" applyAlignment="1" pivotButton="0" quotePrefix="0" xfId="0">
      <alignment vertical="top" wrapText="1"/>
    </xf>
    <xf numFmtId="0" fontId="4" fillId="3" borderId="2" applyAlignment="1" pivotButton="0" quotePrefix="0" xfId="0">
      <alignment vertical="top" wrapText="1"/>
    </xf>
    <xf numFmtId="0" fontId="4" fillId="3" borderId="3" applyAlignment="1" pivotButton="0" quotePrefix="0" xfId="0">
      <alignment vertical="top" wrapText="1"/>
    </xf>
    <xf numFmtId="0" fontId="4" fillId="4" borderId="2" applyAlignment="1" pivotButton="0" quotePrefix="0" xfId="0">
      <alignment vertical="top" wrapText="1"/>
    </xf>
    <xf numFmtId="0" fontId="4" fillId="4" borderId="3" applyAlignment="1" pivotButton="0" quotePrefix="0" xfId="0">
      <alignment vertical="top" wrapText="1"/>
    </xf>
    <xf numFmtId="164" fontId="4" fillId="0" borderId="2" applyAlignment="1" pivotButton="0" quotePrefix="0" xfId="0">
      <alignment vertical="top" wrapText="1"/>
    </xf>
    <xf numFmtId="164" fontId="4" fillId="0" borderId="3" applyAlignment="1" pivotButton="0" quotePrefix="0" xfId="0">
      <alignment vertical="top" wrapText="1"/>
    </xf>
    <xf numFmtId="164" fontId="4" fillId="4" borderId="2" applyAlignment="1" pivotButton="0" quotePrefix="0" xfId="0">
      <alignment vertical="top" wrapText="1"/>
    </xf>
    <xf numFmtId="164" fontId="4" fillId="4" borderId="3" applyAlignment="1" pivotButton="0" quotePrefix="0" xfId="0">
      <alignment vertical="top" wrapText="1"/>
    </xf>
    <xf numFmtId="0" fontId="4" fillId="4" borderId="2" applyAlignment="1" pivotButton="0" quotePrefix="0" xfId="0">
      <alignment horizontal="center" vertical="top" wrapText="1"/>
    </xf>
    <xf numFmtId="0" fontId="4" fillId="4" borderId="3" applyAlignment="1" pivotButton="0" quotePrefix="0" xfId="0">
      <alignment horizontal="center" vertical="top" wrapText="1"/>
    </xf>
    <xf numFmtId="0" fontId="1" fillId="0" borderId="0" applyAlignment="1" pivotButton="0" quotePrefix="0" xfId="0">
      <alignment vertical="top"/>
    </xf>
    <xf numFmtId="0" fontId="0" fillId="0" borderId="0" applyAlignment="1" pivotButton="0" quotePrefix="0" xfId="0">
      <alignment vertical="top"/>
    </xf>
    <xf numFmtId="0" fontId="3" fillId="2" borderId="1" applyAlignment="1" pivotButton="0" quotePrefix="0" xfId="0">
      <alignment horizontal="center" vertical="top" wrapText="1"/>
    </xf>
    <xf numFmtId="164" fontId="4" fillId="0" borderId="2" applyAlignment="1" pivotButton="0" quotePrefix="0" xfId="0">
      <alignment vertical="top" wrapText="1"/>
    </xf>
  </cellXfs>
  <cellStyles count="1">
    <cellStyle name="Normal" xfId="0"/>
  </cellStyles>
  <dxfs count="10">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ill>
        <patternFill patternType="solid">
          <fgColor rgb="FFC6EFCE"/>
        </patternFill>
      </fill>
    </dxf>
    <dxf>
      <fill>
        <patternFill patternType="solid">
          <f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QuestionsTable" displayName="QuestionsTable" ref="A5:Q55" headerRowCount="1" totalsRowCount="0" totalsRowShown="0">
  <tableColumns count="17">
    <tableColumn id="1" name="Matter ID"/>
    <tableColumn id="2" name="Question ID"/>
    <tableColumn id="3" name="Reference Date"/>
    <tableColumn id="4" name="Original Question"/>
    <tableColumn id="5" name="Enriched Facts"/>
    <tableColumn id="6" name="Added Facts Plausible?"/>
    <tableColumn id="7" name="Added Facts Neutral?"/>
    <tableColumn id="8" name="Issues Complete?"/>
    <tableColumn id="9" name="Statute-only?"/>
    <tableColumn id="10" name="Other Law Needed"/>
    <tableColumn id="11" name="Overall Verdict"/>
    <tableColumn id="12" name="Reviewer ID"/>
    <tableColumn id="13" name="Review Date"/>
    <tableColumn id="14" name="Minutes Spent"/>
    <tableColumn id="15" name="Confidence (1–5)"/>
    <tableColumn id="16" name="Corrections / Notes"/>
    <tableColumn id="17" name="Review Status"/>
  </tableColumns>
  <tableStyleInfo name="TableStyleMedium2" showFirstColumn="0" showLastColumn="0" showRowStripes="1" showColumnStripes="0"/>
</table>
</file>

<file path=xl/tables/table2.xml><?xml version="1.0" encoding="utf-8"?>
<table xmlns="http://schemas.openxmlformats.org/spreadsheetml/2006/main" id="2" name="ProvisionsTable" displayName="ProvisionsTable" ref="A5:O305" headerRowCount="1" totalsRowCount="0" totalsRowShown="0">
  <tableColumns count="15">
    <tableColumn id="1" name="Question ID"/>
    <tableColumn id="2" name="Provision ID"/>
    <tableColumn id="3" name="Act / Instrument"/>
    <tableColumn id="4" name="Section / Rule"/>
    <tableColumn id="5" name="Reference Date"/>
    <tableColumn id="6" name="Temporal Status"/>
    <tableColumn id="7" name="Verbatim Excerpt"/>
    <tableColumn id="8" name="Source Link"/>
    <tableColumn id="9" name="Agent Proposed Label"/>
    <tableColumn id="10" name="Lawyer Label"/>
    <tableColumn id="11" name="Corrected Act / Instrument"/>
    <tableColumn id="12" name="Corrected Section / Rule"/>
    <tableColumn id="13" name="Reviewer Notes"/>
    <tableColumn id="14" name="Reviewer ID"/>
    <tableColumn id="15" name="Review Status"/>
  </tableColumns>
  <tableStyleInfo name="TableStyleMedium2" showFirstColumn="0" showLastColumn="0" showRowStripes="1" showColumnStripes="0"/>
</table>
</file>

<file path=xl/tables/table3.xml><?xml version="1.0" encoding="utf-8"?>
<table xmlns="http://schemas.openxmlformats.org/spreadsheetml/2006/main" id="3" name="ClaimsTable" displayName="ClaimsTable" ref="A5:J205" headerRowCount="1" totalsRowCount="0" totalsRowShown="0">
  <tableColumns count="10">
    <tableColumn id="1" name="Question ID"/>
    <tableColumn id="2" name="Claim ID"/>
    <tableColumn id="3" name="Draft Answer Claim"/>
    <tableColumn id="4" name="Linked Provision IDs"/>
    <tableColumn id="5" name="Lawyer Judgment"/>
    <tableColumn id="6" name="Corrected Claim / Notes"/>
    <tableColumn id="7" name="Case Law / Common Law Required?"/>
    <tableColumn id="8" name="Authority / Citation Needed"/>
    <tableColumn id="9" name="Reviewer ID"/>
    <tableColumn id="10" name="Review Status"/>
  </tableColumns>
  <tableStyleInfo name="TableStyleMedium2" showFirstColumn="0" showLastColumn="0" showRowStripes="1" showColumnStripes="0"/>
</table>
</file>

<file path=xl/tables/table4.xml><?xml version="1.0" encoding="utf-8"?>
<table xmlns="http://schemas.openxmlformats.org/spreadsheetml/2006/main" id="4" name="MissingProvisionsTable" displayName="MissingProvisionsTable" ref="A5:J105" headerRowCount="1" totalsRowCount="0" totalsRowShown="0">
  <tableColumns count="10">
    <tableColumn id="1" name="Question ID"/>
    <tableColumn id="2" name="Missing Provision ID"/>
    <tableColumn id="3" name="Act / Instrument"/>
    <tableColumn id="4" name="Section / Rule"/>
    <tableColumn id="5" name="Importance"/>
    <tableColumn id="6" name="Why Required"/>
    <tableColumn id="7" name="Source Link"/>
    <tableColumn id="8" name="Reviewer ID"/>
    <tableColumn id="9" name="Notes"/>
    <tableColumn id="10"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2:Q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4" customWidth="1" min="3" max="3"/>
    <col width="60" customWidth="1" min="4" max="4"/>
    <col width="60" customWidth="1" min="5" max="5"/>
    <col width="18" customWidth="1" min="6" max="6"/>
    <col width="18" customWidth="1" min="7" max="7"/>
    <col width="17" customWidth="1" min="8" max="8"/>
    <col width="14" customWidth="1" min="9" max="9"/>
    <col width="20" customWidth="1" min="10" max="10"/>
    <col width="20" customWidth="1" min="11" max="11"/>
    <col width="16" customWidth="1" min="12" max="12"/>
    <col width="14" customWidth="1" min="13" max="13"/>
    <col width="14" customWidth="1" min="14" max="14"/>
    <col width="16" customWidth="1" min="15" max="15"/>
    <col width="42" customWidth="1" min="16" max="16"/>
    <col width="15" customWidth="1" min="17" max="17"/>
  </cols>
  <sheetData>
    <row r="2" ht="24" customHeight="1">
      <c r="A2" s="29" t="inlineStr">
        <is>
          <t>Statutory QA Lawyer Review - Questions</t>
        </is>
      </c>
    </row>
    <row r="3" ht="48" customHeight="1">
      <c r="A3" s="5" t="inlineStr">
        <is>
          <t>Complete one row per question. Yellow cells require lawyer input. Grey ID cells and the white columns are system fields generated from the agents' legal maps; do not edit them. Read the matter background and the enriched facts, then judge the added facts, the issue list and whether the question is answerable from statute alone.</t>
        </is>
      </c>
    </row>
    <row r="4">
      <c r="A4" s="30" t="n"/>
      <c r="B4" s="30" t="n"/>
      <c r="C4" s="30" t="n"/>
      <c r="D4" s="30" t="n"/>
      <c r="E4" s="30" t="n"/>
      <c r="F4" s="30" t="n"/>
      <c r="G4" s="30" t="n"/>
      <c r="H4" s="30" t="n"/>
      <c r="I4" s="30" t="n"/>
      <c r="J4" s="30" t="n"/>
      <c r="K4" s="30" t="n"/>
      <c r="L4" s="30" t="n"/>
      <c r="M4" s="30" t="n"/>
      <c r="N4" s="30" t="n"/>
      <c r="O4" s="30" t="n"/>
      <c r="P4" s="30" t="n"/>
      <c r="Q4" s="30" t="n"/>
    </row>
    <row r="5" ht="34" customHeight="1">
      <c r="A5" s="31" t="inlineStr">
        <is>
          <t>Matter ID</t>
        </is>
      </c>
      <c r="B5" s="31" t="inlineStr">
        <is>
          <t>Question ID</t>
        </is>
      </c>
      <c r="C5" s="31" t="inlineStr">
        <is>
          <t>Reference Date</t>
        </is>
      </c>
      <c r="D5" s="31" t="inlineStr">
        <is>
          <t>Original Question</t>
        </is>
      </c>
      <c r="E5" s="31" t="inlineStr">
        <is>
          <t>Enriched Facts</t>
        </is>
      </c>
      <c r="F5" s="31" t="inlineStr">
        <is>
          <t>Added Facts Plausible?</t>
        </is>
      </c>
      <c r="G5" s="31" t="inlineStr">
        <is>
          <t>Added Facts Neutral?</t>
        </is>
      </c>
      <c r="H5" s="31" t="inlineStr">
        <is>
          <t>Issues Complete?</t>
        </is>
      </c>
      <c r="I5" s="31" t="inlineStr">
        <is>
          <t>Statute-only?</t>
        </is>
      </c>
      <c r="J5" s="31" t="inlineStr">
        <is>
          <t>Other Law Needed</t>
        </is>
      </c>
      <c r="K5" s="31" t="inlineStr">
        <is>
          <t>Overall Verdict</t>
        </is>
      </c>
      <c r="L5" s="31" t="inlineStr">
        <is>
          <t>Reviewer ID</t>
        </is>
      </c>
      <c r="M5" s="31" t="inlineStr">
        <is>
          <t>Review Date</t>
        </is>
      </c>
      <c r="N5" s="31" t="inlineStr">
        <is>
          <t>Minutes Spent</t>
        </is>
      </c>
      <c r="O5" s="31" t="inlineStr">
        <is>
          <t>Confidence (1-5)</t>
        </is>
      </c>
      <c r="P5" s="31" t="inlineStr">
        <is>
          <t>Corrections / Notes</t>
        </is>
      </c>
      <c r="Q5" s="31" t="inlineStr">
        <is>
          <t>Review Status</t>
        </is>
      </c>
    </row>
    <row r="6">
      <c r="A6" s="19" t="inlineStr">
        <is>
          <t>M001</t>
        </is>
      </c>
      <c r="B6" s="19" t="inlineStr">
        <is>
          <t>M001-Q03</t>
        </is>
      </c>
      <c r="C6" s="32" t="inlineStr">
        <is>
          <t>2026-04</t>
        </is>
      </c>
      <c r="D6" s="32" t="inlineStr">
        <is>
          <t>BACKGROUND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
QUESTION
Can Samantha become entitled to the intestate estate of Suresh Perera? Discuss with the provisions of Land (Restriction on alienation) Act No. 38 of 2014 as amended by Land (Restriction on alienation) (Amendment) Act No. 21 of 2018.
AGENT ISSUE LIST
- ISS-M001-Q03-01: Whether the Land (Restrictions on Alienation) Act No. 38 of 2014 reaches the devolution of Suresh Perera's estate, given that he died on 10 December 1995 and the Act is deemed to operate only from 1 January 2013.
- ISS-M001-Q03-02: Whether Samantha is a foreigner within section 25 of the Act, and whether a devolution by operation of law on intestacy is a transfer of title within section 2(1).
- ISS-M001-Q03-03: Whether the exemption in section 3(1)(d) for title transferred by intestacy to a next of kin who is a foreigner covers Samantha's entitlement, including her entitlement arising on the 2022 and 2023 deaths which fall inside the Act's operative period.
- ISS-M001-Q03-04: What the 2018 Amendment Act changed in section 3 and whether it affects the intestacy exemption.
AGENT AUTHORITY VIEW: statute_only</t>
        </is>
      </c>
      <c r="E6" s="32" t="inlineStr">
        <is>
          <t>(no enrichment; the original background is used as is)</t>
        </is>
      </c>
      <c r="F6" s="21" t="n"/>
      <c r="G6" s="21" t="n"/>
      <c r="H6" s="21" t="n"/>
      <c r="I6" s="21" t="n"/>
      <c r="J6" s="21" t="n"/>
      <c r="K6" s="21" t="n"/>
      <c r="L6" s="21" t="n"/>
      <c r="M6" s="21" t="n"/>
      <c r="N6" s="21" t="n"/>
      <c r="O6" s="21" t="n"/>
      <c r="P6" s="21" t="n"/>
      <c r="Q6" s="32">
        <f>IF(B6="","",IF(AND(F6&lt;&gt;"",G6&lt;&gt;"",H6&lt;&gt;"",I6&lt;&gt;"",K6&lt;&gt;"",L6&lt;&gt;"",M6&lt;&gt;"",O6&lt;&gt;""),"Complete","Pending"))</f>
        <v/>
      </c>
    </row>
    <row r="7">
      <c r="A7" s="19" t="inlineStr">
        <is>
          <t>M002</t>
        </is>
      </c>
      <c r="B7" s="19" t="inlineStr">
        <is>
          <t>M002-Q01</t>
        </is>
      </c>
      <c r="C7" s="32" t="inlineStr">
        <is>
          <t>2026-04</t>
        </is>
      </c>
      <c r="D7" s="32" t="inlineStr">
        <is>
          <t>BACKGROUND
Sea View Company (Pvt) Ltd wants to purchase a land in Galle facing the sea to construct a hotel.
QUESTION
If you are retained by the said company as their Notary for the said purchase what are the documents you should check prior to purchasing the said land?
AGENT ISSUE LIST
- ISS-M002-Q01-01: What searches and registry documents must the notary obtain before drawing a deed of transfer of the Galle land?
- ISS-M002-Q01-02: What documents establish that the vendor holds a good and complete title, including the prior deeds and the survey plan?
- ISS-M002-Q01-03: What documents must the notary obtain from the purchasing company, given that a company incorporated in Sri Lanka with foreign shareholding of fifty per cent or above cannot take title to land?
- ISS-M002-Q01-04: What documents are required where the vendor executes through an attorney rather than in person?
- ISS-M002-Q01-05: What must be looked at outside the deeds, given adverse possession of part of the land and the risk of a State interest or acquisition?
AGENT AUTHORITY VIEW: statute_only</t>
        </is>
      </c>
      <c r="E7" s="32" t="inlineStr">
        <is>
          <t>ENRICHED BACKGROUND
Sea View Company (Pvt) Ltd wants to purchase a land in Galle facing the sea to construct a hotel. The company was incorporated in Sri Lanka in 2019 and holds a certificate of incorporation numbered PV 00218347. Of its 10,000,000 issued shares, 6,500,000 are held by three Sri Lankan citizens resident in Galle and 3,500,000 are held by Ocean Crest Holdings Pte Ltd, a company incorporated in Singapore. The board has resolved to acquire the property and has authorised its managing director, Ms. Ranmali Fernando, to sign on the company's behalf. The property offered to the company is Lot A depicted in Plan No. 2184 dated 12 January 2021 made by K. A. Wijeratne, Licensed Surveyor, in extent one acre two roods and ten perches, situated at Dadalla within the Galle Municipal Council limits and bounded on the south by the sea. The person offering the land as owner is Mr. D. P. Amarasuriya, who now lives in Melbourne and proposes to sign the transfer through his brother, Mr. L. K. Amarasuriya, acting under a power of attorney granted in Melbourne on 3 March 2024. Mr. D. P. Amarasuriya has produced only Deed of Transfer No. 4712 dated 8 August 2011 attested by S. Perera, Notary Public, and says the earlier deeds in the chain are with his family and can be produced later. A neighbouring family has fenced off and cultivated the northern portion of the land since 2009 and pays nothing to Mr. Amarasuriya. The price agreed between the parties is Rs 100,000,000, and the deed is to be signed at Galle.
ADDED FACTS
- FACT-M002-Q01-001 [synthetic_decisive]: Sea View Company (Pvt) Ltd is incorporated in Sri Lanka under certificate of incorporation PV 00218347, and 3,500,000 of its 10,000,000 issued shares are held by Ocean Crest Holdings Pte Ltd, a company incorporated in Singapore.
- FACT-M002-Q01-002 [synthetic_neutral]: The board of Sea View Company (Pvt) Ltd has resolved to acquire the property and has authorised its managing director, Ms. Ranmali Fernando, to sign the deed on the company's behalf.
- FACT-M002-Q01-003 [synthetic_neutral]: The land is Lot A in Plan No. 2184 dated 12 January 2021 made by K. A. Wijeratne, Licensed Surveyor, in extent one acre two roods and ten perches, at Dadalla within the Galle Municipal Council limits, bounded on the south by the sea.
- FACT-M002-Q01-004 [synthetic_decisive]: Mr. D. P. Amarasuriya, who offers the land, has produced only Deed of Transfer No. 4712 dated 8 August 2011 attested by S. Perera, Notary Public, and has not produced the earlier deeds in the chain.
- FACT-M002-Q01-005 [synthetic_decisive]: Mr. D. P. Amarasuriya lives in Melbourne and proposes to sign through his brother, Mr. L. K. Amarasuriya, under a power of attorney granted in Melbourne on 3 March 2024.
- FACT-M002-Q01-006 [synthetic_decisive]: A neighbouring family has fenced off and cultivated the northern portion of the land since 2009 and pays nothing to Mr. Amarasuriya.
- FACT-M002-Q01-007 [synthetic_neutral]: The price agreed between the parties is Rs 100,000,000 and the deed is to be signed at Galle.</t>
        </is>
      </c>
      <c r="F7" s="21" t="n"/>
      <c r="G7" s="21" t="n"/>
      <c r="H7" s="21" t="n"/>
      <c r="I7" s="21" t="n"/>
      <c r="J7" s="21" t="n"/>
      <c r="K7" s="21" t="n"/>
      <c r="L7" s="21" t="n"/>
      <c r="M7" s="21" t="n"/>
      <c r="N7" s="21" t="n"/>
      <c r="O7" s="21" t="n"/>
      <c r="P7" s="21" t="n"/>
      <c r="Q7" s="32">
        <f>IF(B7="","",IF(AND(F7&lt;&gt;"",G7&lt;&gt;"",H7&lt;&gt;"",I7&lt;&gt;"",K7&lt;&gt;"",L7&lt;&gt;"",M7&lt;&gt;"",O7&lt;&gt;""),"Complete","Pending"))</f>
        <v/>
      </c>
    </row>
    <row r="8">
      <c r="A8" s="19" t="inlineStr">
        <is>
          <t>M003</t>
        </is>
      </c>
      <c r="B8" s="19" t="inlineStr">
        <is>
          <t>M003-Q02</t>
        </is>
      </c>
      <c r="C8" s="32" t="inlineStr">
        <is>
          <t>2026-04</t>
        </is>
      </c>
      <c r="D8" s="32" t="inlineStr">
        <is>
          <t>BACKGROUND
Herath intends to Mortgage his land situated in Anuradhapura which is under the Land Development Ordinance 27 of 1981 amended by the Land Development (Amendment) Act No. 11 of 2022 to a commercial Bank in Sri Lanka for Rupees Ten Million (RS. 10,000,000/).
QUESTION
Does Herath require approval from the Divisional Secretary to Mortgage the said land?
AGENT ISSUE LIST
- ISS-M003-Q02-01: Whether Herath holds the land on a grant (as owner of a holding) or on a permit, since the two regimes differ.
- ISS-M003-Q02-02: Whether a mortgage is a disposition to which the approval condition in the grant applies.
- ISS-M003-Q02-03: Whether the exemption from approval for mortgages to a licensed commercial bank covers the proposed mortgage.
- ISS-M003-Q02-04: Whether any other condition of the grant, such as the bar on disposing of a divided portion or undivided share, still restricts the transaction.
AGENT AUTHORITY VIEW: statute_only</t>
        </is>
      </c>
      <c r="E8" s="32" t="inlineStr">
        <is>
          <t>ENRICHED BACKGROUND
Herath Mudiyanselage Herath Banda of Thirappane intends to mortgage his land situated in Anuradhapura, which is under the Land Development Ordinance 27 of 1981 amended by the Land Development (Amendment) Act No. 11 of 2022, to a commercial Bank in Sri Lanka for Rupees Ten Million (Rs. 10,000,000/-). The land is Lot 12 in Plan No. 4471 dated 8 June 2012 made by K. Wijeratne, Licensed Surveyor, of the land called Kalugalayaya situated in Thirappane in the Anuradhapura District, in extent two acres. Herath was originally put into occupation of that land on a permit, but he paid the whole of the purchase amount in instalments, developed the land to the satisfaction of the Government Agent, and a grant of the land was issued to him under the said Ordinance on 3 March 2014 and duly registered; he has held under that grant ever since. The intended mortgagee is Ruhunu Commercial Bank PLC, a licensed commercial bank carrying on banking business in Sri Lanka under a licence issued by the Central Bank, and not a registered society. What Herath proposes to mortgage is the whole of the land comprised in the grant, not a divided portion or an undivided share of it, and the mortgage is to be executed on 20 April 2026.
ADDED FACTS
- FACT-M003-Q02-001 [synthetic_decisive]: Herath was originally put into occupation on a permit, but he paid the whole purchase amount in instalments, developed the land to the satisfaction of the Government Agent, and a grant of the land was issued to him on 3 March 2014 and duly registered; he holds under that grant.
- FACT-M003-Q02-002 [synthetic_decisive]: The intended mortgagee, Ruhunu Commercial Bank PLC, is a licensed commercial bank carrying on banking business in Sri Lanka under a licence issued by the Central Bank, and is not a registered society.
- FACT-M003-Q02-003 [synthetic_decisive]: What Herath proposes to mortgage is the whole of the land comprised in the grant, not a divided portion or an undivided share of it.
- FACT-M003-Q02-004 [synthetic_neutral]: Herath is Herath Mudiyanselage Herath Banda of Thirappane, and the land is Lot 12 in Plan No. 4471 of the land called Kalugalayaya in the Anuradhapura District, in extent two acres.</t>
        </is>
      </c>
      <c r="F8" s="21" t="n"/>
      <c r="G8" s="21" t="n"/>
      <c r="H8" s="21" t="n"/>
      <c r="I8" s="21" t="n"/>
      <c r="J8" s="21" t="n"/>
      <c r="K8" s="21" t="n"/>
      <c r="L8" s="21" t="n"/>
      <c r="M8" s="21" t="n"/>
      <c r="N8" s="21" t="n"/>
      <c r="O8" s="21" t="n"/>
      <c r="P8" s="21" t="n"/>
      <c r="Q8" s="32">
        <f>IF(B8="","",IF(AND(F8&lt;&gt;"",G8&lt;&gt;"",H8&lt;&gt;"",I8&lt;&gt;"",K8&lt;&gt;"",L8&lt;&gt;"",M8&lt;&gt;"",O8&lt;&gt;""),"Complete","Pending"))</f>
        <v/>
      </c>
    </row>
    <row r="9">
      <c r="A9" s="19" t="inlineStr">
        <is>
          <t>M005</t>
        </is>
      </c>
      <c r="B9" s="19" t="inlineStr">
        <is>
          <t>M005-Q01</t>
        </is>
      </c>
      <c r="C9" s="32" t="inlineStr">
        <is>
          <t>2026-04</t>
        </is>
      </c>
      <c r="D9" s="32" t="inlineStr">
        <is>
          <t>BACKGROUND
Saman who is a Notary having Notary License to practise in the Judicial Zone of Colombo is employed as a legal officer at a Real estate company in Colombo. Saman's employer instructs him to execute a Deed of Transfer on urgent basis.
QUESTION
Can Saman execute the said Deed without checking the title at the land registry? Explain with the provisions in Notaries Ordinance.
AGENT ISSUE LIST
- ISS-M005-Q01-01: Whether s.31 rule (17)(a) of the Notaries Ordinance obliges a notary to search the land registry before drawing a deed of transfer of land.
- ISS-M005-Q01-02: Whether the proviso to s.31 rule (17) permits the search to be omitted on these facts, there being no written authority from the parties.
- ISS-M005-Q01-03: Whether an employer's urgent instruction to an employed notary qualifies the duties imposed on him personally by s.31.
- ISS-M005-Q01-04: What liability follows under s.34 if the notary executes the deed without the search, and what s.33 does and does not save.
AGENT AUTHORITY VIEW: statute_only</t>
        </is>
      </c>
      <c r="E9" s="32" t="inlineStr">
        <is>
          <t>ENRICHED BACKGROUND
Saman who is a Notary having Notary License to practise in the Judicial Zone of Colombo is employed as a legal officer at a Real estate company in Colombo. Saman's employer instructs him to execute a Deed of Transfer on urgent basis. The transfer concerns Lot 3B depicted in Survey Plan No. 2145 dated 12 March 2019 made by K. B. Ranaweera, Licensed Surveyor, an allotment of land of eighteen perches in extent situated at Talangama North within the Kaduwela Divisional Secretary's Division in the District of Colombo. The intended vendor is Nimal Perera and the intended purchaser is Kamala Silva, a customer of Saman's employer; Saman himself has no interest in the land and is not a party to the transaction. On 19 April 2026 the employer hands Saman a photocopy of Deed of Transfer No. 4512 dated 6 August 2014, by which Nimal Perera says he acquired the land, and tells him to draw and attest the new deed at the company's Colombo office on 20 April 2026 so that the purchase money can be paid the same day. Neither Nimal Perera nor Kamala Silva has given Saman any written authority dispensing with an examination of the land registry, and no extract of the land registry folio for the land has been obtained by anyone.
ADDED FACTS
- FACT-M005-Q01-001 [synthetic_decisive]: The deed is to transfer Lot 3B in Survey Plan No. 2145 dated 12 March 2019, an allotment of eighteen perches at Talangama North in the Kaduwela Divisional Secretary's Division, District of Colombo.
- FACT-M005-Q01-002 [synthetic_neutral]: The intended vendor is Nimal Perera and the intended purchaser is Kamala Silva, a customer of Saman's employer; Saman has no interest in the land and is not a party to the transaction.
- FACT-M005-Q01-003 [synthetic_decisive]: On 19 April 2026 the employer gives Saman only a photocopy of Deed of Transfer No. 4512 dated 6 August 2014, said to be the vendor's title, and no extract of the land registry folio for the land has been obtained by anyone.
- FACT-M005-Q01-004 [synthetic_decisive]: Neither Nimal Perera nor Kamala Silva has given Saman any written authority to dispense with an examination of the land registry.
- FACT-M005-Q01-005 [synthetic_neutral]: The employer wants the deed drawn and attested at the company's Colombo office on 20 April 2026, the day after the instruction, so that the purchase money can be paid the same day.</t>
        </is>
      </c>
      <c r="F9" s="21" t="n"/>
      <c r="G9" s="21" t="n"/>
      <c r="H9" s="21" t="n"/>
      <c r="I9" s="21" t="n"/>
      <c r="J9" s="21" t="n"/>
      <c r="K9" s="21" t="n"/>
      <c r="L9" s="21" t="n"/>
      <c r="M9" s="21" t="n"/>
      <c r="N9" s="21" t="n"/>
      <c r="O9" s="21" t="n"/>
      <c r="P9" s="21" t="n"/>
      <c r="Q9" s="32">
        <f>IF(B9="","",IF(AND(F9&lt;&gt;"",G9&lt;&gt;"",H9&lt;&gt;"",I9&lt;&gt;"",K9&lt;&gt;"",L9&lt;&gt;"",M9&lt;&gt;"",O9&lt;&gt;""),"Complete","Pending"))</f>
        <v/>
      </c>
    </row>
    <row r="10">
      <c r="A10" s="19" t="inlineStr">
        <is>
          <t>M006</t>
        </is>
      </c>
      <c r="B10" s="19" t="inlineStr">
        <is>
          <t>M006-Q01</t>
        </is>
      </c>
      <c r="C10" s="32" t="inlineStr">
        <is>
          <t>2026-04</t>
        </is>
      </c>
      <c r="D10" s="32" t="inlineStr">
        <is>
          <t>BACKGROUND
Saman who is a Notary having Notary License to practise in the Judicial Zone of Colombo is employed as a legal officer at a Real estate company in Colombo. Saman's employer instructs him to execute a Deed of Transfer on urgent basis.
The said land is situated in Kurunegala.
QUESTION
Can Saman attest the said Deed? Explain.
AGENT ISSUE LIST
- ISS-M006-Q01-01: Whether the territorial limit in a notary's warrant restricts the place at which he may attest a deed, or the situation of the land that the deed affects.
- ISS-M006-Q01-02: Whether a notary authorised to practise in the Judicial Zone of Colombo may attest a Deed of Transfer of land situated in the Kurunegala District, and on what conditions as to place of attestation and language.
- ISS-M006-Q01-03: What additional statutory duties fall on the attesting notary because the land is in a district other than the one in which he resides and practises.
- ISS-M006-Q01-04: Whether Saman's position as legal officer of the company that is the purchaser disqualifies him from attesting the deed.
AGENT AUTHORITY VIEW: statute_only</t>
        </is>
      </c>
      <c r="E10" s="32" t="inlineStr">
        <is>
          <t>ENRICHED BACKGROUND
Saman, who is a Notary having a Notary License to practise in the Judicial Zone of Colombo, is employed as a legal officer at a real estate company in Colombo. His warrant authorises him to practise in the Sinhala language, and his notarial office, where he keeps his records, is at No. 25, Hulftsdorp Street, Colombo 12.
Saman's employer, Sethsiri Realty (Private) Limited of No. 140, Ward Place, Colombo 07, has agreed to buy an allotment of land from Mr. Nimal Perera. The company instructs Saman to execute a Deed of Transfer on an urgent basis. Saman is not a party to the deed, holds no shares in the company and is not one of its directors.
The said land is situated in Kurunegala. It is the allotment called "Kurunduwatta", 0.2023 hectares in extent, at Malkaduwawa village in the Kurunegala Divisional Secretary's Division of the Kurunegala District. Before drawing the deed Saman obtained Mr. Perera's title deed and a certified extract of the relevant folio from the Kurunegala Land Registry, and he intends to tender the completed deed for registration at that registry.
The draft deed is written in Sinhala. Saman proposes that Mr. Perera and the company's authorised signatory sign it before two witnesses on 20 April 2026 at his Hulftsdorp office in Colombo, and that he attest it there.
ADDED FACTS
- FACT-M006-Q01-001 [synthetic_neutral]: The purchaser under the Deed of Transfer is Saman's employer, Sethsiri Realty (Private) Limited of No. 140, Ward Place, Colombo 07, and the vendor is Mr. Nimal Perera. Saman is not himself a party to the deed, holds no shares in the company and is not one of its directors.
- FACT-M006-Q01-002 [synthetic_neutral]: The land is the allotment called "Kurunduwatta", 0.2023 hectares in extent, at Malkaduwawa village in the Kurunegala Divisional Secretary's Division of the Kurunegala District.
- FACT-M006-Q01-003 [synthetic_decisive]: The parties and the two witnesses are to sign the deed, and Saman is to attest it, on 20 April 2026 at his notarial office at No. 25, Hulftsdorp Street, Colombo 12, which is within the Judicial Zone of Colombo.
- FACT-M006-Q01-004 [synthetic_decisive]: Saman's warrant authorises him to practise in the Sinhala language, and the Deed of Transfer is drawn in Sinhala.
- FACT-M006-Q01-005 [synthetic_neutral]: Before drawing the deed Saman obtained the vendor's title deed and a certified extract of the relevant folio from the Kurunegala Land Registry, and he intends to tender the completed deed for registration at that registry.</t>
        </is>
      </c>
      <c r="F10" s="21" t="n"/>
      <c r="G10" s="21" t="n"/>
      <c r="H10" s="21" t="n"/>
      <c r="I10" s="21" t="n"/>
      <c r="J10" s="21" t="n"/>
      <c r="K10" s="21" t="n"/>
      <c r="L10" s="21" t="n"/>
      <c r="M10" s="21" t="n"/>
      <c r="N10" s="21" t="n"/>
      <c r="O10" s="21" t="n"/>
      <c r="P10" s="21" t="n"/>
      <c r="Q10" s="32">
        <f>IF(B10="","",IF(AND(F10&lt;&gt;"",G10&lt;&gt;"",H10&lt;&gt;"",I10&lt;&gt;"",K10&lt;&gt;"",L10&lt;&gt;"",M10&lt;&gt;"",O10&lt;&gt;""),"Complete","Pending"))</f>
        <v/>
      </c>
    </row>
    <row r="11">
      <c r="A11" s="19" t="inlineStr">
        <is>
          <t>M008</t>
        </is>
      </c>
      <c r="B11" s="19" t="inlineStr">
        <is>
          <t>M008-Q02</t>
        </is>
      </c>
      <c r="C11" s="32" t="inlineStr">
        <is>
          <t>2026-04</t>
        </is>
      </c>
      <c r="D11" s="32" t="inlineStr">
        <is>
          <t>BACKGROUND
Kamal Perera is in occupation in a land situated in Homagama since 1980 by long and prescriptive rights. He wants to get a title certificate to his land under the Registration of Title Act No. 21 of 1998. Kamal Perera retained Sureka Pathirana as his Notary.
QUESTION
Could Sureka inspect the title register and cadastral map on behalf of Kamal? Can she get certified copies of the said documents?
AGENT ISSUE LIST
- ISS-M008-Q02-01: Whether a Notary who holds no written authority from the claimant may inspect the title register and the cadastral map maintained under the Registration of Title Act.
- ISS-M008-Q02-02: Whether she is entitled to certified copies of those documents, and which officer must be applied to for each.
- ISS-M008-Q02-03: What conditions attach to the exercise of those rights.
AGENT AUTHORITY VIEW: statute_only</t>
        </is>
      </c>
      <c r="E11" s="32" t="inlineStr">
        <is>
          <t>ENRICHED BACKGROUND
Kamal Perera is in occupation in a land situated in Homagama since 1980 by long and prescriptive rights. He wants to get a title certificate to his land under the Registration of Title Act No. 21 of 1998. Kamal Perera retained Sureka Pathirana as his Notary. The land is Lot 42 depicted in Cadastral Map No. HG/1247 prepared by the Surveyor-General for the Homagama title registration area. A title register for that area is kept by the Registrar of Title at the Homagama Title Registry, and the cadastral map used for registration of title in the area is held by the Superintendent of Surveys for the Colombo District. Sureka wishes to attend at the Homagama Title Registry during office hours to examine the folio relating to Lot 42 and to examine the cadastral map, and she also wants to place on her file a certified extract of the folio and a certified copy of an extract of the cadastral map. She is willing to apply on whatever forms are prescribed and to pay whatever fees are prescribed. Kamal has given her no written authority or power of attorney to act for him in the matter, and Sureka is not herself a claimant to Lot 42.
ADDED FACTS
- FACT-M008-Q02-001 [synthetic_neutral]: The parcel is Lot 42 on Cadastral Map No. HG/1247 for the Homagama title registration area; a title register for that area is kept by the Registrar of Title at the Homagama Title Registry, and the cadastral map used for registration of title in the area is held by the Superintendent of Surveys for the Colombo District.
- FACT-M008-Q02-002 [synthetic_decisive]: Kamal has given Sureka no written authority or power of attorney to act for him in the matter, and Sureka is not herself a claimant to Lot 42; she is willing to apply on the prescribed forms and to pay the prescribed fees.</t>
        </is>
      </c>
      <c r="F11" s="21" t="n"/>
      <c r="G11" s="21" t="n"/>
      <c r="H11" s="21" t="n"/>
      <c r="I11" s="21" t="n"/>
      <c r="J11" s="21" t="n"/>
      <c r="K11" s="21" t="n"/>
      <c r="L11" s="21" t="n"/>
      <c r="M11" s="21" t="n"/>
      <c r="N11" s="21" t="n"/>
      <c r="O11" s="21" t="n"/>
      <c r="P11" s="21" t="n"/>
      <c r="Q11" s="32">
        <f>IF(B11="","",IF(AND(F11&lt;&gt;"",G11&lt;&gt;"",H11&lt;&gt;"",I11&lt;&gt;"",K11&lt;&gt;"",L11&lt;&gt;"",M11&lt;&gt;"",O11&lt;&gt;""),"Complete","Pending"))</f>
        <v/>
      </c>
    </row>
    <row r="12">
      <c r="A12" s="19" t="inlineStr">
        <is>
          <t>M010</t>
        </is>
      </c>
      <c r="B12" s="19" t="inlineStr">
        <is>
          <t>M010-Q01</t>
        </is>
      </c>
      <c r="C12" s="32" t="inlineStr">
        <is>
          <t>2026-04</t>
        </is>
      </c>
      <c r="D12" s="32" t="inlineStr">
        <is>
          <t>BACKGROUND
Martin Perera wants to dispose his house after his death to Siripala who is his helper by a Last Will and appoints his driver Nihal as the executor of the said Last Will. He does not dispose anything to his children by the said Will.
QUESTION
Can Martin Perera execute the said Will without assigning any reason? Discuss with provisions.
AGENT ISSUE LIST
- ISS-M010-Q01-01: Whether Martin Perera has capacity and statutory power to dispose of his house by last will to a person who is not an heir.
- ISS-M010-Q01-02: Whether he may exclude his children from the will without stating any reason, and whether the children have any statutory claim against a valid will.
- ISS-M010-Q01-03: What formalities the will must satisfy for that disposition to be valid, including who may attest it.
AGENT AUTHORITY VIEW: statute_only</t>
        </is>
      </c>
      <c r="E12" s="32" t="inlineStr">
        <is>
          <t>ENRICHED BACKGROUND
Martin Perera wants to dispose his house after his death to Siripala who is his helper by a Last Will and appoints his driver Nihal as the executor of the said Last Will. He does not dispose anything to his children by the said Will. Martin Perera is seventy-two years old, of sound mind and under no legal disability. He is a low-country Sinhalese Buddhist who has lived all his life in Nugegoda within the Colombo district, and he is not governed by Kandyan law, by Thesawalamai or by Muslim law. His wife died in 2018 and he has not remarried. The house is the two-storey dwelling at No. 47/3, Temple Lane, Nugegoda, standing on Lot A in Plan No. 2214, which he bought in 2009 and holds as sole owner on a notarially attested transfer deed; it is his only immovable property and is worth about Rs. 28 million. Siripala Gunasekara, aged forty-five, has worked as Martin's live-in domestic helper for twenty years and is not related to him. Martin's children are two adults, Anusha aged forty and Dinesh aged thirty-seven, both in employment, neither a minor nor dependent on him. Martin has told his lawyer that he does not wish to put into the will any explanation of why he is leaving his children nothing. He proposes to sign the will and to place his thumb impression at the end of it before a notary public and two witnesses, both of them neighbours who take no benefit under the will and neither of whom is married to anyone who does.
ADDED FACTS
- FACT-M010-Q01-001 [synthetic_decisive]: Martin Perera is seventy-two years old, of sound mind and under no legal disability.
- FACT-M010-Q01-002 [synthetic_decisive]: He is a low-country Sinhalese Buddhist resident in Nugegoda in the Colombo district and is not governed by Kandyan law, Thesawalamai or Muslim law.
- FACT-M010-Q01-003 [synthetic_neutral]: The house is the dwelling at No. 47/3, Temple Lane, Nugegoda on Lot A in Plan No. 2214, bought by Martin in 2009 and held by him as sole owner on a notarially attested transfer deed; it is worth about Rs. 28 million.
- FACT-M010-Q01-004 [synthetic_neutral]: Martin's wife died in 2018 and he has not remarried; his children are two adults, Anusha aged forty and Dinesh aged thirty-seven, both employed and neither a minor nor dependent.
- FACT-M010-Q01-005 [synthetic_neutral]: Siripala Gunasekara, aged forty-five, has been Martin's live-in domestic helper for twenty years and is not related to him.
- FACT-M010-Q01-006 [synthetic_decisive]: Martin proposes to sign the will and place his thumb impression at the end of it before a notary public and two witnesses present at the same time; both witnesses are neighbours who take no benefit under the will and neither is married to anyone who does. He does not wish to state in the will any reason for leaving his children nothing.</t>
        </is>
      </c>
      <c r="F12" s="21" t="n"/>
      <c r="G12" s="21" t="n"/>
      <c r="H12" s="21" t="n"/>
      <c r="I12" s="21" t="n"/>
      <c r="J12" s="21" t="n"/>
      <c r="K12" s="21" t="n"/>
      <c r="L12" s="21" t="n"/>
      <c r="M12" s="21" t="n"/>
      <c r="N12" s="21" t="n"/>
      <c r="O12" s="21" t="n"/>
      <c r="P12" s="21" t="n"/>
      <c r="Q12" s="32">
        <f>IF(B12="","",IF(AND(F12&lt;&gt;"",G12&lt;&gt;"",H12&lt;&gt;"",I12&lt;&gt;"",K12&lt;&gt;"",L12&lt;&gt;"",M12&lt;&gt;"",O12&lt;&gt;""),"Complete","Pending"))</f>
        <v/>
      </c>
    </row>
    <row r="13">
      <c r="A13" s="19" t="inlineStr">
        <is>
          <t>M010</t>
        </is>
      </c>
      <c r="B13" s="19" t="inlineStr">
        <is>
          <t>M010-Q02</t>
        </is>
      </c>
      <c r="C13" s="32" t="inlineStr">
        <is>
          <t>2026-04</t>
        </is>
      </c>
      <c r="D13" s="32" t="inlineStr">
        <is>
          <t>BACKGROUND
Martin Perera wants to dispose his house after his death to Siripala who is his helper by a Last Will and appoints his driver Nihal as the executor of the said Last Will. He does not dispose anything to his children by the said Will.
QUESTION
After the death of Martin Perera, what steps need to be taken by Nihal?
AGENT ISSUE LIST
- ISS-M010-Q02-01: What Nihal, as the executor holding the will, must do with the will immediately after Martin's death and in which court.
- ISS-M010-Q02-02: How and within what time he must apply to have the will proved and probate granted to him, and what the application must contain.
- ISS-M010-Q02-03: What steps follow the court's order, namely the oath, the inventory and valuation, the administration of the estate and the final account.
AGENT AUTHORITY VIEW: statute_only</t>
        </is>
      </c>
      <c r="E13" s="32" t="inlineStr">
        <is>
          <t>ENRICHED BACKGROUND
Martin Perera wants to dispose his house after his death to Siripala who is his helper by a Last Will and appoints his driver Nihal as the executor of the said Last Will. He does not dispose anything to his children by the said Will. Martin executed that last will on 20 August 2024 at his home at No. 47/3, Temple Lane, Nugegoda, in the Colombo district, signing it and placing his thumb impression at the end before a notary public and two witnesses who were present together; the will was numbered 812 in the notary's protocol and Martin kept the original in a steel safe in his bedroom. He died at that house on 14 February 2026. He left the house at No. 47/3, standing on Lot A in Plan No. 2214 and worth about Rs. 28 million, as his only immovable property, together with about Rs. 1.2 million in a savings account, and he owed a hospital bill of about Rs. 350,000 as well as the funeral expenses. Nihal Silva, aged fifty-two, who had been Martin's driver for eleven years and who lives at Pita Kotte in the same district, opened the safe on 17 February 2026 and found the original will there; he is willing to act as executor. Siripala Gunasekara, the helper named in the will, and Martin's two adult children, Anusha and Dinesh, all survive Martin.
ADDED FACTS
- FACT-M010-Q02-001 [synthetic_decisive]: Martin died on 14 February 2026 at his house at No. 47/3, Temple Lane, Nugegoda, within the Colombo district.
- FACT-M010-Q02-002 [synthetic_neutral]: The last will was executed on 20 August 2024 before a notary public and two witnesses present together, was numbered 812 in the notary's protocol, and the original was kept by Martin in a steel safe at his house.
- FACT-M010-Q02-003 [synthetic_decisive]: Nihal Silva, aged fifty-two, who lives at Pita Kotte in the Colombo district, found the original will in the safe on 17 February 2026 and is willing to act as executor.
- FACT-M010-Q02-004 [synthetic_neutral]: The estate consists of the house at No. 47/3 on Lot A in Plan No. 2214, worth about Rs. 28 million, and about Rs. 1.2 million in a savings account; the liabilities are a hospital bill of about Rs. 350,000 and the funeral expenses.
- FACT-M010-Q02-005 [synthetic_neutral]: Siripala Gunasekara and Martin's two adult children, Anusha and Dinesh, all survive Martin.</t>
        </is>
      </c>
      <c r="F13" s="21" t="n"/>
      <c r="G13" s="21" t="n"/>
      <c r="H13" s="21" t="n"/>
      <c r="I13" s="21" t="n"/>
      <c r="J13" s="21" t="n"/>
      <c r="K13" s="21" t="n"/>
      <c r="L13" s="21" t="n"/>
      <c r="M13" s="21" t="n"/>
      <c r="N13" s="21" t="n"/>
      <c r="O13" s="21" t="n"/>
      <c r="P13" s="21" t="n"/>
      <c r="Q13" s="32">
        <f>IF(B13="","",IF(AND(F13&lt;&gt;"",G13&lt;&gt;"",H13&lt;&gt;"",I13&lt;&gt;"",K13&lt;&gt;"",L13&lt;&gt;"",M13&lt;&gt;"",O13&lt;&gt;""),"Complete","Pending"))</f>
        <v/>
      </c>
    </row>
    <row r="14">
      <c r="A14" s="19" t="inlineStr">
        <is>
          <t>M013</t>
        </is>
      </c>
      <c r="B14" s="19" t="inlineStr">
        <is>
          <t>M013-Q01</t>
        </is>
      </c>
      <c r="C14" s="32" t="inlineStr">
        <is>
          <t>2025-10</t>
        </is>
      </c>
      <c r="D14" s="32" t="inlineStr">
        <is>
          <t>BACKGROUND
Wimala intends to purchase a land in Galle. However, Wimala is unable to come to Sri Lanka to sign the Deed of Transfer.
QUESTION
Advise Wimala according to the latest amendments relating to the Prevention of frauds Ordinance No 7 of 1840.
AGENT ISSUE LIST
- ISS-M013-Q01-01: Whether, after the Prevention of Frauds (Amendment) Act No. 4 of 2024, a transferee (purchaser) must herself sign and place a thumb impression on the deed of transfer.
- ISS-M013-Q01-02: What a transferee who is unable to be present in Sri Lanka must do so that the deed of transfer is nevertheless in force and avails in law.
- ISS-M013-Q01-03: How a written authorisation granted from abroad for such a transaction must be executed, what it must contain, and whether and when it must be registered.
- ISS-M013-Q01-04: What the attesting notary must verify and record when a deed of transfer is signed by an authorised person rather than by the transferee.
AGENT AUTHORITY VIEW: statute_only</t>
        </is>
      </c>
      <c r="E14" s="32" t="inlineStr">
        <is>
          <t>ENRICHED BACKGROUND
Wimala Gunasekara is a citizen of Sri Lanka who holds a Sri Lankan passport and has lived and worked in Melbourne, Australia for the past nine years. She has agreed to buy from Nihal Weerakoon an allotment of land called Kahatagahawatta, in extent eighteen decimal five perches, situated at Dangedara in the Municipal Council limits of Galle, in the District of Galle, bounded on the North by Lot 3 in Plan No. 2114, on the East by the property of D. Somapala, on the South by Dangedara Road and on the West by a drain, the whole of which was last registered in Volume 214 Folio 85 of the Galle Land Registry. The agreed price is Rs. 14,500,000, and the parties have fixed the first week of December 2025 for the execution of the deed. Wimala's employment contract does not allow her to take leave before March 2026, so she cannot be in Sri Lanka on the execution date. Her brother, Sunil Gunasekara, who lives at Dangedara, Galle, is willing to act for her. On 12 November 2025 Wimala proposes to sign, at the Sri Lanka High Commission in Canberra and before a consular officer there, a written instrument appointing Sunil to act for her in the purchase. She has asked a notary practising in Galle what she must do so that the deed she cannot sign will still be good in law.
ADDED FACTS
- FACT-M013-Q01-001 [synthetic_neutral]: Wimala Gunasekara is a citizen of Sri Lanka holding a Sri Lankan passport, resident and employed in Melbourne, Australia.
- FACT-M013-Q01-002 [synthetic_neutral]: The property is an allotment called Kahatagahawatta, eighteen decimal five perches in extent, at Dangedara within the Galle Municipal Council limits, with stated boundaries on all four sides, last registered in Volume 214 Folio 85 of the Galle Land Registry.
- FACT-M013-Q01-003 [synthetic_decisive]: Wimala's brother, Sunil Gunasekara, of Dangedara, Galle, is willing to act for her in the purchase, and she proposes to appoint him in writing.
- FACT-M013-Q01-004 [synthetic_decisive]: Wimala proposes to sign the instrument of authority on 12 November 2025 at the Sri Lanka High Commission in Canberra, before a consular officer there.
- FACT-M013-Q01-005 [synthetic_neutral]: The deed of transfer is to be executed in Galle in the first week of December 2025, and the agreed price is Rs. 14,500,000 payable by the purchaser.
- FACT-M013-Q01-006 [synthetic_neutral]: The vendor is Nihal Weerakoon, who is in Sri Lanka and able to attend before the notary.</t>
        </is>
      </c>
      <c r="F14" s="21" t="n"/>
      <c r="G14" s="21" t="n"/>
      <c r="H14" s="21" t="n"/>
      <c r="I14" s="21" t="n"/>
      <c r="J14" s="21" t="n"/>
      <c r="K14" s="21" t="n"/>
      <c r="L14" s="21" t="n"/>
      <c r="M14" s="21" t="n"/>
      <c r="N14" s="21" t="n"/>
      <c r="O14" s="21" t="n"/>
      <c r="P14" s="21" t="n"/>
      <c r="Q14" s="32">
        <f>IF(B14="","",IF(AND(F14&lt;&gt;"",G14&lt;&gt;"",H14&lt;&gt;"",I14&lt;&gt;"",K14&lt;&gt;"",L14&lt;&gt;"",M14&lt;&gt;"",O14&lt;&gt;""),"Complete","Pending"))</f>
        <v/>
      </c>
    </row>
    <row r="15">
      <c r="A15" s="19" t="inlineStr">
        <is>
          <t>M015</t>
        </is>
      </c>
      <c r="B15" s="19" t="inlineStr">
        <is>
          <t>M015-Q01</t>
        </is>
      </c>
      <c r="C15" s="32" t="inlineStr">
        <is>
          <t>2025-10</t>
        </is>
      </c>
      <c r="D15" s="32" t="inlineStr">
        <is>
          <t>BACKGROUND
Romani who intends to go to New Zealand wants to file a caveat to her property situated in Battaramulla and meets you who are a Notary practising in Colombo.
QUESTION
Can Romani file a caveat to her property? Who can file a caveat under the Registration of Documents Ordinance which is amended?
AGENT ISSUE LIST
- ISS-M015-Q01-01: Whether Romani, as the owner of the Battaramulla land who is about to leave the country, is a person entitled to present a caveat for registration, and what she must lodge with it.
- ISS-M015-Q01-02: Who may file a caveat under the Registration of Documents Ordinance as amended by Act No. 32 of 2022, and how that differs from the pre-amendment position.
AGENT AUTHORITY VIEW: statute_only</t>
        </is>
      </c>
      <c r="E15" s="32" t="inlineStr">
        <is>
          <t>ENRICHED BACKGROUND
Romani, aged forty-one, is the sole owner of a fifteen-perch allotment of land with a two-storey house standing on it at No. 47/3, Pahalawela Road, Battaramulla, being Lot 12B in Plan No. 3126 dated 8 January 2016 made by K. Amarasiri, Licensed Surveyor. She bought the land from her uncle on Deed of Transfer No. 4821 dated 12 March 2016, attested by W. D. Silva, Notary Public of Colombo, and that deed is registered in Volume/Folio B 218/94 at the Delkanda-Nugegoda Land Registry. She holds the original deed and has obtained a certified copy of the folio; her attorney-at-law is willing to give a written certificate confirming her ownership, and she is ready to swear an affidavit and to lodge her papers in duplicate. Romani leaves for New Zealand on 20 November 2025 to work there for about three years, and no relative will be living in the house; she is afraid that someone may present a forged transfer of the land for registration while she is away. She has given her sister's address at No. 12, Kalapaluwawa Road, Rajagiriya as an address in Sri Lanka at which any notices about her land may be served on her. Before she leaves she also proposes to execute a power of attorney in favour of her brother Nihal, to be registered with the Registrar-General, so that he can act for her in matters concerning the land. Romani, who intends to go to New Zealand, wants to file a caveat to her property situated in Battaramulla and meets you who are a Notary practising in Colombo.
ADDED FACTS
- FACT-M015-Q01-001 [synthetic_decisive]: Romani is the sole owner of the Battaramulla land (Lot 12B in Plan No. 3126 of 8 January 2016, fifteen perches with a two-storey house, No. 47/3 Pahalawela Road), having bought it on Deed of Transfer No. 4821 dated 12 March 2016, registered in Volume/Folio B 218/94 at the Delkanda-Nugegoda Land Registry.
- FACT-M015-Q01-002 [synthetic_neutral]: She holds the original deed and a certified copy of the folio, her attorney-at-law will issue a written certificate substantiating her ownership, and she is ready to swear an affidavit and lodge the caveat in duplicate.
- FACT-M015-Q01-003 [synthetic_decisive]: Romani leaves for New Zealand on 20 November 2025 for about three years and nominates her sister's address at No. 12, Kalapaluwawa Road, Rajagiriya as the address in Sri Lanka at which notices about the caveat may be served on her.
- FACT-M015-Q01-004 [synthetic_neutral]: Before leaving she proposes to execute a power of attorney in favour of her brother Nihal and to have it registered with the Registrar-General so that he can act for her in matters concerning the land.
- FACT-M015-Q01-005 [synthetic_neutral]: Romani's concern is that a forged transfer of the land may be presented for registration while she is out of the country and the house is unoccupied.</t>
        </is>
      </c>
      <c r="F15" s="21" t="n"/>
      <c r="G15" s="21" t="n"/>
      <c r="H15" s="21" t="n"/>
      <c r="I15" s="21" t="n"/>
      <c r="J15" s="21" t="n"/>
      <c r="K15" s="21" t="n"/>
      <c r="L15" s="21" t="n"/>
      <c r="M15" s="21" t="n"/>
      <c r="N15" s="21" t="n"/>
      <c r="O15" s="21" t="n"/>
      <c r="P15" s="21" t="n"/>
      <c r="Q15" s="32">
        <f>IF(B15="","",IF(AND(F15&lt;&gt;"",G15&lt;&gt;"",H15&lt;&gt;"",I15&lt;&gt;"",K15&lt;&gt;"",L15&lt;&gt;"",M15&lt;&gt;"",O15&lt;&gt;""),"Complete","Pending"))</f>
        <v/>
      </c>
    </row>
    <row r="16">
      <c r="A16" s="19" t="inlineStr">
        <is>
          <t>M016</t>
        </is>
      </c>
      <c r="B16" s="19" t="inlineStr">
        <is>
          <t>M016-Q01</t>
        </is>
      </c>
      <c r="C16" s="32" t="inlineStr">
        <is>
          <t>2025-10</t>
        </is>
      </c>
      <c r="D16" s="32" t="inlineStr">
        <is>
          <t>BACKGROUND
Romani who intends to go to New Zealand wants to file a caveat to her property situated in Battaramulla and meets you who are a Notary practising in Colombo.
While the caveat is in force Romani is notified by the Registrar of Lands that a document affecting the land is presented for registration.
QUESTION
Within how many days has an action to be commenced by Romani?
AGENT ISSUE LIST
- ISS-M016-Q01-01: Within what period, and from what event, must a caveator commence an action in a competent court after being notified that an instrument affecting the land described in the caveat has been presented for registration?
- ISS-M016-Q01-02: Which version of section 32(5) applies to a caveator notified in 2025, given the 2022 substitution of sixty days for thirty days?
AGENT AUTHORITY VIEW: statute_only</t>
        </is>
      </c>
      <c r="E16" s="32" t="inlineStr">
        <is>
          <t>ENRICHED BACKGROUND
Romani, who intends to go to New Zealand, wants to file a caveat to her property situated in Battaramulla and meets you who are a Notary practising in Colombo. The property is an allotment of land of eighteen perches called Kahatagahawatta, at No. 42/7, Pelawatta Road, Battaramulla, registered in Volume 214 Folio 88 of the Battaramulla Land Registry, which Romani bought on a deed of transfer that she has not yet been able to have registered.
Acting on your advice Romani presents a caveat for registration on 3 March 2025, describing that land and giving her Colombo address as the address at which notices are to be served on her, and the Registrar acknowledges receipt and registers it. Romani leaves for New Zealand shortly afterwards.
While the caveat is in force Romani is notified by the Registrar of Lands that a document affecting the land is presented for registration. The document is a deed of transfer of the same allotment of land, executed by a person other than Romani in favour of a purchaser. The Registrar posts the notice to Romani by registered letter to the Colombo address given in her caveat on 12 June 2025.
ADDED FACTS
- FACT-M016-Q01-001 [synthetic_neutral]: The property is an allotment of eighteen perches called Kahatagahawatta at No. 42/7, Pelawatta Road, Battaramulla, registered in Volume 214 Folio 88 of the Battaramulla Land Registry, held by Romani on an unregistered deed of transfer.
- FACT-M016-Q01-002 [synthetic_neutral]: Romani presented the caveat for registration on 3 March 2025, giving her Colombo address as the address for service, and the Registrar acknowledged receipt and registered it; it was still current when the later document was presented.
- FACT-M016-Q01-003 [synthetic_decisive]: The document presented for registration is a deed of transfer of the same allotment of land, executed by a person other than Romani in favour of a purchaser.
- FACT-M016-Q01-004 [synthetic_decisive]: The Registrar posted the notice to Romani by registered letter to the Colombo address given in her caveat on 12 June 2025.</t>
        </is>
      </c>
      <c r="F16" s="21" t="n"/>
      <c r="G16" s="21" t="n"/>
      <c r="H16" s="21" t="n"/>
      <c r="I16" s="21" t="n"/>
      <c r="J16" s="21" t="n"/>
      <c r="K16" s="21" t="n"/>
      <c r="L16" s="21" t="n"/>
      <c r="M16" s="21" t="n"/>
      <c r="N16" s="21" t="n"/>
      <c r="O16" s="21" t="n"/>
      <c r="P16" s="21" t="n"/>
      <c r="Q16" s="32">
        <f>IF(B16="","",IF(AND(F16&lt;&gt;"",G16&lt;&gt;"",H16&lt;&gt;"",I16&lt;&gt;"",K16&lt;&gt;"",L16&lt;&gt;"",M16&lt;&gt;"",O16&lt;&gt;""),"Complete","Pending"))</f>
        <v/>
      </c>
    </row>
    <row r="17">
      <c r="A17" s="19" t="inlineStr">
        <is>
          <t>M021</t>
        </is>
      </c>
      <c r="B17" s="19" t="inlineStr">
        <is>
          <t>M021-Q01</t>
        </is>
      </c>
      <c r="C17" s="32" t="inlineStr">
        <is>
          <t>2025-10</t>
        </is>
      </c>
      <c r="D17" s="32" t="inlineStr">
        <is>
          <t>BACKGROUND
Sunil who is a 20 year old boy is suffering from a non-curable chronic disease and intends to execute a Last Will.
QUESTION
What is the age limit to execute a Last Will according to the latest amendments to the Wills Ordinance? What is the procedure that Sunil should follow? Discuss with relevant provisions in the Ordinance.
AGENT ISSUE LIST
- ISS-M021-Q01-01: What is the minimum age at which a person may lawfully execute a last will under the Wills Ordinance as most recently amended, and is a person of twenty competent?
- ISS-M021-Q01-02: What formalities must be observed for the will to be valid: writing, signature, thumb impression, and the presence of a notary public and two witnesses at the same time.
- ISS-M021-Q01-03: What duties fall on the attesting notary in the case of a will, in particular the statement of the testator's sound mind in the attestation, the deed register entry and the protocol requirements.
- ISS-M021-Q01-04: What practical constraints govern the choice of attesting witnesses and the number of copies to be executed.
AGENT AUTHORITY VIEW: statute_only</t>
        </is>
      </c>
      <c r="E17" s="32" t="inlineStr">
        <is>
          <t>ENRICHED BACKGROUND
Sunil Bandara Weerakoon, who was born on 14 March 2005 and is therefore 20 years old, lives at No. 27/3, Temple Lane, Nugegoda. He is suffering from a non-curable chronic disease and intends to execute a Last Will. He is unmarried and has no children. His treating consultant physician recorded on 2 September 2025 that although his physical condition is deteriorating he remains fully lucid, understands his affairs, and is able to sign his name and to place a thumb impression without assistance. Sunil wishes to dispose of two assets: a two-storey house standing on the land called Millagahawatta, Lot B in Survey Plan No. 4521 dated 12 June 2018 made by S. Ranaweera, Licensed Surveyor, situated at Pelawatta in the District of Colombo, which came to him under Deed of Gift No. 1120 dated 3 May 2019 from his grandmother; and a fixed deposit of Rs. 2,500,000 held in his own name. He wishes to leave the house to his sister Nayana and the deposit to his mother, and to appoint his uncle Mr. D. B. Weerakoon as executor. He has instructed Mr. K. Perera, a notary public practising in the Colombo District in the Sinhala language, to draw a last will for him alone and not a joint will, and Mr. Perera proposes to attend at Sunil's residence on 20 October 2025 for the execution. The two persons Sunil proposes to have as witnesses are his neighbours Mr. A. Silva and Mrs. R. Fernando, neither of whom, nor either of their spouses, takes any benefit under the intended will.
ADDED FACTS
- FACT-M021-Q01-001 [synthetic_decisive]: Sunil's full name is Sunil Bandara Weerakoon, he was born on 14 March 2005, he lives at No. 27/3, Temple Lane, Nugegoda, and he is unmarried with no children.
- FACT-M021-Q01-002 [synthetic_decisive]: A consultant physician recorded on 2 September 2025 that Sunil remains fully lucid, understands his affairs, and can sign his name and place a thumb impression without assistance despite his deteriorating physical condition.
- FACT-M021-Q01-003 [synthetic_neutral]: The property to be disposed of is a two-storey house on the land called Millagahawatta, Lot B in Survey Plan No. 4521 dated 12 June 2018 made by S. Ranaweera, Licensed Surveyor, at Pelawatta in the District of Colombo, held by Sunil under Deed of Gift No. 1120 dated 3 May 2019, together with a fixed deposit of Rs. 2,500,000 in his own name; the house is to go to his sister Nayana and the deposit to his mother, with his uncle Mr. D. B. Weerakoon as executor.
- FACT-M021-Q01-004 [synthetic_decisive]: The instrument to be executed is a last will for Sunil alone and not a joint will, drawn by Mr. K. Perera, a notary public practising in the Colombo District in the Sinhala language, who will attend at Sunil's residence on 20 October 2025 for the execution.
- FACT-M021-Q01-005 [synthetic_decisive]: The two proposed attesting witnesses are Sunil's neighbours Mr. A. Silva and Mrs. R. Fernando, and neither they nor their spouses take any benefit under the intended will.</t>
        </is>
      </c>
      <c r="F17" s="21" t="n"/>
      <c r="G17" s="21" t="n"/>
      <c r="H17" s="21" t="n"/>
      <c r="I17" s="21" t="n"/>
      <c r="J17" s="21" t="n"/>
      <c r="K17" s="21" t="n"/>
      <c r="L17" s="21" t="n"/>
      <c r="M17" s="21" t="n"/>
      <c r="N17" s="21" t="n"/>
      <c r="O17" s="21" t="n"/>
      <c r="P17" s="21" t="n"/>
      <c r="Q17" s="32">
        <f>IF(B17="","",IF(AND(F17&lt;&gt;"",G17&lt;&gt;"",H17&lt;&gt;"",I17&lt;&gt;"",K17&lt;&gt;"",L17&lt;&gt;"",M17&lt;&gt;"",O17&lt;&gt;""),"Complete","Pending"))</f>
        <v/>
      </c>
    </row>
    <row r="18">
      <c r="A18" s="19" t="inlineStr">
        <is>
          <t>M023</t>
        </is>
      </c>
      <c r="B18" s="19" t="inlineStr">
        <is>
          <t>M023-Q02</t>
        </is>
      </c>
      <c r="C18" s="32" t="inlineStr">
        <is>
          <t>2025-04</t>
        </is>
      </c>
      <c r="D18" s="32" t="inlineStr">
        <is>
          <t>BACKGROUND
By a Final Decree dated 22nd October 2001 entered in District Court Kaduwela Partition Case No 2525/P land and premises bearing No 12, Perera Mawatha Battaramulla depicted as Lot 1 in Partition Plan No 1005 dated 24th July 2001 made by H Silva Licensed Surveyor containing in extent 40 perches was allotted to Mahesh Gunesekara. He was married to Malani and had two children namely Kapila and Mithila By Deed of Gift No 925 dated 11th March 2006 attested by PK Hilton Notary Public the said Lot 1 in extent 40 perches was gifted to his son Kapila Gunesekera as an absolute and irrevocable gift subject to life interest of the Donor Mahesh Gunesekara Mahesh Gunesekera died on 24th April 2008. Kapila had a daughter named Anusha by his first wife Sandya. Sandya died and from his second wife Champa ,Kapila had three more children namely Prema,Rupa and Seetha. Kapila Gunesekera died intestate on 24th January 2011. Anusha Gunesekara married to Hasitha Perera and died on 15th June 2012 issueless Prema Gunesekara died on 4th September 2015 unmarried and issueless
QUESTION
What are the shares presently owned by each heir in the property?
AGENT ISSUE LIST
- ISS-M023-Q02-01: The shares taken by Champa and by each of Kapila's four children on his intestate death on 24 January 2011.
- ISS-M023-Q02-02: The devolution of Anusha's 1/8 share on her death issueless on 15 June 2012, between her surviving husband and her three half-sisters on the father's side.
- ISS-M023-Q02-03: The devolution of Prema's share on her death unmarried and issueless on 4 September 2015, between her surviving mother and her two full sisters.
- ISS-M023-Q02-04: The resulting present fractional shares of each heir in Lot 1.
AGENT AUTHORITY VIEW: statute_only</t>
        </is>
      </c>
      <c r="E18" s="32" t="inlineStr">
        <is>
          <t>(no enrichment; the original background is used as is)</t>
        </is>
      </c>
      <c r="F18" s="21" t="n"/>
      <c r="G18" s="21" t="n"/>
      <c r="H18" s="21" t="n"/>
      <c r="I18" s="21" t="n"/>
      <c r="J18" s="21" t="n"/>
      <c r="K18" s="21" t="n"/>
      <c r="L18" s="21" t="n"/>
      <c r="M18" s="21" t="n"/>
      <c r="N18" s="21" t="n"/>
      <c r="O18" s="21" t="n"/>
      <c r="P18" s="21" t="n"/>
      <c r="Q18" s="32">
        <f>IF(B18="","",IF(AND(F18&lt;&gt;"",G18&lt;&gt;"",H18&lt;&gt;"",I18&lt;&gt;"",K18&lt;&gt;"",L18&lt;&gt;"",M18&lt;&gt;"",O18&lt;&gt;""),"Complete","Pending"))</f>
        <v/>
      </c>
    </row>
    <row r="19">
      <c r="A19" s="19" t="inlineStr">
        <is>
          <t>M025</t>
        </is>
      </c>
      <c r="B19" s="19" t="inlineStr">
        <is>
          <t>M025-Q01</t>
        </is>
      </c>
      <c r="C19" s="32" t="inlineStr">
        <is>
          <t>2024-10</t>
        </is>
      </c>
      <c r="D19" s="32" t="inlineStr">
        <is>
          <t>BACKGROUND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
QUESTION
Draw up the pedigree showing the devolution of title from Gamini Jayasinghe up to the present owners in respect of the land and premises bearing assessment No.45, Colombo Road, Pugoda.
AGENT ISSUE LIST
- ISS-M025-Q01-01: Whether title passed out of Kamala Silva on the Deed of Gift to Kasun, so that her death on 7 July 2011 carried nothing in this land to her surviving husband Namal Silva or to her children Sarathi and Amal.
- ISS-M025-Q01-02: On whom the land devolved when Kasun died intestate, unmarried and without issue on 3 May 2013, his mother having predeceased him and his father surviving, and whether his half-blood brothers and sisters on his father's side share with those on his mother's side.
- ISS-M025-Q01-03: On whom Thilak's share devolved when he died intestate on 3 March 2017 leaving his children Sunil and Lalith, his son Kasun having predeceased him without issue.
- ISS-M025-Q01-04: On whom Sarathi's share devolved when she died intestate and issueless on 8 August 2018 leaving her husband Sena.
AGENT AUTHORITY VIEW: statute_only</t>
        </is>
      </c>
      <c r="E19" s="32" t="inlineStr">
        <is>
          <t>(no enrichment; the original background is used as is)</t>
        </is>
      </c>
      <c r="F19" s="21" t="n"/>
      <c r="G19" s="21" t="n"/>
      <c r="H19" s="21" t="n"/>
      <c r="I19" s="21" t="n"/>
      <c r="J19" s="21" t="n"/>
      <c r="K19" s="21" t="n"/>
      <c r="L19" s="21" t="n"/>
      <c r="M19" s="21" t="n"/>
      <c r="N19" s="21" t="n"/>
      <c r="O19" s="21" t="n"/>
      <c r="P19" s="21" t="n"/>
      <c r="Q19" s="32">
        <f>IF(B19="","",IF(AND(F19&lt;&gt;"",G19&lt;&gt;"",H19&lt;&gt;"",I19&lt;&gt;"",K19&lt;&gt;"",L19&lt;&gt;"",M19&lt;&gt;"",O19&lt;&gt;""),"Complete","Pending"))</f>
        <v/>
      </c>
    </row>
    <row r="20">
      <c r="A20" s="19" t="inlineStr">
        <is>
          <t>M025</t>
        </is>
      </c>
      <c r="B20" s="19" t="inlineStr">
        <is>
          <t>M025-Q02</t>
        </is>
      </c>
      <c r="C20" s="32" t="inlineStr">
        <is>
          <t>2024-10</t>
        </is>
      </c>
      <c r="D20" s="32" t="inlineStr">
        <is>
          <t>BACKGROUND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
QUESTION
What are the shares presently owned by each heir in the said property?
AGENT ISSUE LIST
- ISS-M025-Q02-01: What undivided share of the land each surviving heir now holds, after the successive intestacies of Kasun, Thilak and Sarathi.
- ISS-M025-Q02-02: Whether the surviving husband of Sarathi takes a half of her share to the exclusion of her parent and sibling, or shares with them.
AGENT AUTHORITY VIEW: statute_only</t>
        </is>
      </c>
      <c r="E20" s="32" t="inlineStr">
        <is>
          <t>(no enrichment; the original background is used as is)</t>
        </is>
      </c>
      <c r="F20" s="21" t="n"/>
      <c r="G20" s="21" t="n"/>
      <c r="H20" s="21" t="n"/>
      <c r="I20" s="21" t="n"/>
      <c r="J20" s="21" t="n"/>
      <c r="K20" s="21" t="n"/>
      <c r="L20" s="21" t="n"/>
      <c r="M20" s="21" t="n"/>
      <c r="N20" s="21" t="n"/>
      <c r="O20" s="21" t="n"/>
      <c r="P20" s="21" t="n"/>
      <c r="Q20" s="32">
        <f>IF(B20="","",IF(AND(F20&lt;&gt;"",G20&lt;&gt;"",H20&lt;&gt;"",I20&lt;&gt;"",K20&lt;&gt;"",L20&lt;&gt;"",M20&lt;&gt;"",O20&lt;&gt;""),"Complete","Pending"))</f>
        <v/>
      </c>
    </row>
    <row r="21">
      <c r="A21" s="19" t="inlineStr">
        <is>
          <t>M027</t>
        </is>
      </c>
      <c r="B21" s="19" t="inlineStr">
        <is>
          <t>M027-Q01</t>
        </is>
      </c>
      <c r="C21" s="32" t="inlineStr">
        <is>
          <t>2024-10</t>
        </is>
      </c>
      <c r="D21" s="32" t="inlineStr">
        <is>
          <t>BACKGROUND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
QUESTION
How can this Agreement be signed by both parties and what steps should Kanthi follow with regard to the registration of this Agreement?
AGENT ISSUE LIST
- ISS-M027-Q01-01: Whether a three-year lease of an apartment must be executed notarially, and in whose presence the lessor and lessee must sign.
- ISS-M027-Q01-02: How the agreement can be validly signed when the lessor cannot attend before the Colombo notary - execution before more than one notary at different times and places, or execution by a duly authorised attorney under a registered power of attorney.
- ISS-M027-Q01-03: What registration steps the notary must take for a lease of land situated in a district other than the one in which she resides and practises, and within what time.
AGENT AUTHORITY VIEW: statute_only</t>
        </is>
      </c>
      <c r="E21" s="32" t="inlineStr">
        <is>
          <t>(no enrichment; the original background is used as is)</t>
        </is>
      </c>
      <c r="F21" s="21" t="n"/>
      <c r="G21" s="21" t="n"/>
      <c r="H21" s="21" t="n"/>
      <c r="I21" s="21" t="n"/>
      <c r="J21" s="21" t="n"/>
      <c r="K21" s="21" t="n"/>
      <c r="L21" s="21" t="n"/>
      <c r="M21" s="21" t="n"/>
      <c r="N21" s="21" t="n"/>
      <c r="O21" s="21" t="n"/>
      <c r="P21" s="21" t="n"/>
      <c r="Q21" s="32">
        <f>IF(B21="","",IF(AND(F21&lt;&gt;"",G21&lt;&gt;"",H21&lt;&gt;"",I21&lt;&gt;"",K21&lt;&gt;"",L21&lt;&gt;"",M21&lt;&gt;"",O21&lt;&gt;""),"Complete","Pending"))</f>
        <v/>
      </c>
    </row>
    <row r="22">
      <c r="A22" s="19" t="inlineStr">
        <is>
          <t>M027</t>
        </is>
      </c>
      <c r="B22" s="19" t="inlineStr">
        <is>
          <t>M027-Q02</t>
        </is>
      </c>
      <c r="C22" s="32" t="inlineStr">
        <is>
          <t>2024-10</t>
        </is>
      </c>
      <c r="D22" s="32" t="inlineStr">
        <is>
          <t>BACKGROUND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
QUESTION
What are her liabilities in this regard?
AGENT ISSUE LIST
- ISS-M027-Q02-01: Whether a notary who has not obtained the yearly certificate from the Registrar of the High Court may lawfully attest a deed.
- ISS-M027-Q02-02: What criminal and professional liability follows from attesting the lease while uncertificated, and whether the liability is per deed.
- ISS-M027-Q02-03: Whether the failure can still be cured by a late application for the certificate.
AGENT AUTHORITY VIEW: statute_only</t>
        </is>
      </c>
      <c r="E22" s="32" t="inlineStr">
        <is>
          <t>(no enrichment; the original background is used as is)</t>
        </is>
      </c>
      <c r="F22" s="21" t="n"/>
      <c r="G22" s="21" t="n"/>
      <c r="H22" s="21" t="n"/>
      <c r="I22" s="21" t="n"/>
      <c r="J22" s="21" t="n"/>
      <c r="K22" s="21" t="n"/>
      <c r="L22" s="21" t="n"/>
      <c r="M22" s="21" t="n"/>
      <c r="N22" s="21" t="n"/>
      <c r="O22" s="21" t="n"/>
      <c r="P22" s="21" t="n"/>
      <c r="Q22" s="32">
        <f>IF(B22="","",IF(AND(F22&lt;&gt;"",G22&lt;&gt;"",H22&lt;&gt;"",I22&lt;&gt;"",K22&lt;&gt;"",L22&lt;&gt;"",M22&lt;&gt;"",O22&lt;&gt;""),"Complete","Pending"))</f>
        <v/>
      </c>
    </row>
    <row r="23">
      <c r="A23" s="19" t="inlineStr">
        <is>
          <t>M032</t>
        </is>
      </c>
      <c r="B23" s="19" t="inlineStr">
        <is>
          <t>M032-Q01</t>
        </is>
      </c>
      <c r="C23" s="32" t="inlineStr">
        <is>
          <t>2024-04</t>
        </is>
      </c>
      <c r="D23" s="32" t="inlineStr">
        <is>
          <t>BACKGROUND
Mr. Ranasinghe is your client and he intends to buy a coconut estate with a bungalow situated in Kurunegala thirty acres (A30, RO, PO) in extent.
QUESTION
If you are retained by him, what steps should you take as the Motary on behalf of Mr. Ranasinghe?
AGENT ISSUE LIST
- ISS-M032-Q01-01: What the notary must do before drawing the deed: verify his own competence for the area, call for the vendor's title deeds and search the land registry for the state of the title and registered encumbrances.
- ISS-M032-Q01-02: How the disclosed mortgage over the estate must be dealt with, and how the purchaser's priority is protected between search and registration.
- ISS-M032-Q01-03: What the deed itself must contain: an accurate description of the thirty-acre estate and bungalow by boundaries, extent and administrative situation, and the true and full consideration.
- ISS-M032-Q01-04: Whether any statutory ceiling or consent regime applies to the purchase of a thirty-acre coconut estate.
- ISS-M032-Q01-05: What the notary must do at and after execution: identification, witnesses, attestation, stamp duty and registration within the statutory period.
AGENT AUTHORITY VIEW: statute_only</t>
        </is>
      </c>
      <c r="E23" s="32" t="inlineStr">
        <is>
          <t>ENRICHED BACKGROUND
Mr. Ranasinghe is your client and he intends to buy a coconut estate with a bungalow situated in Kurunegala thirty acres (A30, RO, PO) in extent. He is a citizen of Sri Lanka, resident in Colombo 5, and he owns no other agricultural land. The property is known as Pinnaduwa Watta, depicted as Lot 1 in Survey Plan No. 4127 dated 12 June 2019 made by K. Amarasekara, Licensed Surveyor, and lies in the village of Kadigawa, Wariyapola Divisional Secretary's Division, Dewamedi Hatpattu, Kurunegala District; the whole thirty acres is under mature coconut and carries one two-storeyed bungalow.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He holds no state permit or grant in respect of the land, and there is no tea or rubber on it. The vendor has disclosed that the estate stands mortgaged to a licensed commercial bank on Bond No. 2210 dated 8 July 2021, with about Rs. 8,500,000 outstanding. The parties signed an agreement to sell on 10 January 2024 at a price of Rs. 42,000,000, of which Rs. 4,200,000 has been paid as an advance and the balance is to be paid on execution of the conveyance, which they wish to have executed on 20 May 2024. You are authorised to practise in Sinhala in the Kurunegala district and your office is at Kurunegala.
ADDED FACTS
- FACT-M032-Q01-001 [synthetic_neutral]: Mr. Ranasinghe is a citizen of Sri Lanka resident in Colombo 5, and he owns no agricultural land other than what he is about to buy.
- FACT-M032-Q01-002 [synthetic_decisive]: The property is known as Pinnaduwa Watta, depicted as Lot 1 in Survey Plan No. 4127 dated 12 June 2019 made by K. Amarasekara, Licensed Surveyor, lying in the village of Kadigawa, Wariyapola Divisional Secretary's Division, Dewamedi Hatpattu, Kurunegala District; the whole thirty acres is under mature coconut and carries one two-storeyed bungalow.
- FACT-M032-Q01-003 [synthetic_decisive]: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 FACT-M032-Q01-004 [synthetic_decisive]: The vendor has disclosed that the estate stands mortgaged to a licensed commercial bank on Bond No. 2210 dated 8 July 2021, with about Rs. 8,500,000 outstanding.
- FACT-M032-Q01-005 [synthetic_decisive]: The parties signed an agreement to sell on 10 January 2024 at a price of Rs. 42,000,000, of which Rs. 4,200,000 has been paid as an advance and the balance is to be paid on execution of the conveyance.
- FACT-M032-Q01-006 [synthetic_decisive]: The parties wish the conveyance to be executed on 20 May 2024. You are authorised to practise in Sinhala in the Kurunegala district and your office is at Kurunegala.
- FACT-M032-Q01-007 [synthetic_decisive]: The vendor's chain of title shows the estate as private freehold; it is not held on any state permit or grant, and there is no tea or rubber on the land.</t>
        </is>
      </c>
      <c r="F23" s="21" t="n"/>
      <c r="G23" s="21" t="n"/>
      <c r="H23" s="21" t="n"/>
      <c r="I23" s="21" t="n"/>
      <c r="J23" s="21" t="n"/>
      <c r="K23" s="21" t="n"/>
      <c r="L23" s="21" t="n"/>
      <c r="M23" s="21" t="n"/>
      <c r="N23" s="21" t="n"/>
      <c r="O23" s="21" t="n"/>
      <c r="P23" s="21" t="n"/>
      <c r="Q23" s="32">
        <f>IF(B23="","",IF(AND(F23&lt;&gt;"",G23&lt;&gt;"",H23&lt;&gt;"",I23&lt;&gt;"",K23&lt;&gt;"",L23&lt;&gt;"",M23&lt;&gt;"",O23&lt;&gt;""),"Complete","Pending"))</f>
        <v/>
      </c>
    </row>
    <row r="24">
      <c r="A24" s="19" t="inlineStr">
        <is>
          <t>M036</t>
        </is>
      </c>
      <c r="B24" s="19" t="inlineStr">
        <is>
          <t>M036-Q01</t>
        </is>
      </c>
      <c r="C24" s="32" t="inlineStr">
        <is>
          <t>2023-10</t>
        </is>
      </c>
      <c r="D24" s="32" t="inlineStr">
        <is>
          <t>BACKGROUND
Ceylon Rubber Company (Private) Limited wishes to purchase a Rubber Estate situated in Galle, Forty One Acres (A41, RO, PO) in extent.
QUESTION
If you are retained by the company for the said purchase, what steps should you take?
AGENT ISSUE LIST
- ISS-M036-Q01-01: Whether the subject land answers the statutory description of a rubber estate, so that a prior certificate of consent of the Tea and Rubber Estates (Control of Fragmentation) Board is a condition of a valid transfer.
- ISS-M036-Q01-02: Whether the purchase would put any shareholder of the purchasing private company over the ceiling on agricultural land, so that the excess would vest in the Land Reform Commission.
- ISS-M036-Q01-03: Whether the transfer of title to this company is prohibited by the restriction on transfers to companies with foreign shareholding of fifty per cent or above, and what proof the Registrar of Lands will require.
- ISS-M036-Q01-04: What internal company authority is required before the company binds itself to the acquisition, and how the company contracts and executes.
- ISS-M036-Q01-05: What investigation of the vendor's title, execution formalities and registration steps are required to secure the company's title and priority.
AGENT AUTHORITY VIEW: statute_only</t>
        </is>
      </c>
      <c r="E24" s="32" t="inlineStr">
        <is>
          <t>ENRICHED BACKGROUND
Ceylon Rubber Company (Private) Limited wishes to purchase a Rubber Estate situated in Galle, Forty One Acres (A41, RO, PO) in extent.
The company was incorporated in Sri Lanka on 12 March 2015 under registration number PV 91234. It has five shareholders, each holding twenty per cent of the issued shares. All five are citizens of Sri Lanka resident in Galle, no share is held directly or indirectly by any person or body outside Sri Lanka, and none of the five owns any other land that is used or is capable of being used for agriculture. The company owns no land other than its registered office premises at No. 14, Wackwella Road, Galle. As at its last audited balance sheet dated 31 March 2023 the total value of the company's assets was Rs. 60,000,000, and the price agreed with the vendor for the estate is Rs. 41,000,000. The articles adopted when the company was incorporated contain no provision expressly authorising the acquisition of estate property.
The estate, known as Mahagoda Estate, is planted with mature rubber and is 16.6 hectares in extent. It has never been registered, and is not deemed to be registered, as an estate in the statutory register of rubber estates. The vendor is Mr. D. P. Wickramasinghe, a citizen of Sri Lanka, who says he has held the estate since Deed of Transfer No. 1420 dated 12 June 1998 attested by A. B. Silva, Notary Public of Galle, and that the estate is registered in the Galle Land Registry in volume and folio E 214/86. He has disclosed that a mortgage bond he granted to a commercial bank in 2019 is registered in that folio and has not been discharged, and he has so far produced only a photocopy of his own deed. Your instructions were received on 5 September 2023 and the parties wish to complete in October 2023.
ADDED FACTS
- FACT-M036-Q01-001 [synthetic_decisive]: The company was incorporated in Sri Lanka on 12 March 2015 under registration number PV 91234; it has five shareholders holding twenty per cent each, all citizens of Sri Lanka, and no share is held directly or indirectly by any person or body outside Sri Lanka.
- FACT-M036-Q01-002 [synthetic_decisive]: None of the five shareholders owns any other land that is used or is capable of being used for agriculture, and the company owns no land other than its registered office premises at No. 14, Wackwella Road, Galle.
- FACT-M036-Q01-003 [synthetic_decisive]: The total value of the company's assets as at its last audited balance sheet dated 31 March 2023 was Rs. 60,000,000; the agreed price for the estate is Rs. 41,000,000; and the articles adopted at incorporation contain no provision expressly authorising the acquisition of estate property.
- FACT-M036-Q01-004 [synthetic_decisive]: The estate, known as Mahagoda Estate, is 16.6 hectares in extent and has never been registered, and is not deemed to be registered, as an estate in the statutory register of rubber estates.
- FACT-M036-Q01-005 [synthetic_decisive]: The vendor is Mr. D. P. Wickramasinghe, a citizen of Sri Lanka, who claims title on Deed of Transfer No. 1420 dated 12 June 1998 attested by A. B. Silva, Notary Public of Galle; the land is registered in the Galle Land Registry in volume and folio E 214/86; a mortgage bond granted by him to a commercial bank in 2019 is registered in that folio and remains undischarged; and he has so far produced only a photocopy of his own deed.
- FACT-M036-Q01-006 [synthetic_neutral]: Instructions were received on 5 September 2023 and the parties wish to complete the transaction in October 2023.</t>
        </is>
      </c>
      <c r="F24" s="21" t="n"/>
      <c r="G24" s="21" t="n"/>
      <c r="H24" s="21" t="n"/>
      <c r="I24" s="21" t="n"/>
      <c r="J24" s="21" t="n"/>
      <c r="K24" s="21" t="n"/>
      <c r="L24" s="21" t="n"/>
      <c r="M24" s="21" t="n"/>
      <c r="N24" s="21" t="n"/>
      <c r="O24" s="21" t="n"/>
      <c r="P24" s="21" t="n"/>
      <c r="Q24" s="32">
        <f>IF(B24="","",IF(AND(F24&lt;&gt;"",G24&lt;&gt;"",H24&lt;&gt;"",I24&lt;&gt;"",K24&lt;&gt;"",L24&lt;&gt;"",M24&lt;&gt;"",O24&lt;&gt;""),"Complete","Pending"))</f>
        <v/>
      </c>
    </row>
    <row r="25">
      <c r="A25" s="19" t="inlineStr">
        <is>
          <t>M036</t>
        </is>
      </c>
      <c r="B25" s="19" t="inlineStr">
        <is>
          <t>M036-Q02</t>
        </is>
      </c>
      <c r="C25" s="32" t="inlineStr">
        <is>
          <t>2023-10</t>
        </is>
      </c>
      <c r="D25" s="32" t="inlineStr">
        <is>
          <t>BACKGROUND
Ceylon Rubber Company (Private) Limited wishes to purchase a Rubber Estate situated in Galle, Forty One Acres (A41, RO, PO) in extent.
QUESTION
What documents would you call for the examination of the title and why?
AGENT ISSUE LIST
- ISS-M036-Q02-01: Which registration system governs the parcel, and therefore whether the documents to be called for are a chain of deeds and folio extracts or a Certificate of Title.
- ISS-M036-Q02-02: What documentary evidence of the vendor's paper title must be produced, and in what form, for the purchaser to be satisfied that title can pass.
- ISS-M036-Q02-03: What registry material must be obtained to disclose prior registered instruments, encumbrances, pending actions and caveats affecting the parcel.
- ISS-M036-Q02-04: What evidence of identity of the parcel and of possession must be called for, given that adverse possession can defeat a paper title.
- ISS-M036-Q02-05: What documents are required because the intending purchaser is a company.
AGENT AUTHORITY VIEW: statute_only</t>
        </is>
      </c>
      <c r="E25" s="32" t="inlineStr">
        <is>
          <t>ENRICHED BACKGROUND
Ceylon Rubber Company (Private) Limited wishes to purchase a Rubber Estate situated in Galle, Forty One Acres (A41, RO, PO) in extent.
The said Ceylon Rubber Company (Private) Limited instructs you to examine the title of a residential premises situated next to said Rubber Estate, Forty Perches (AO, RO, P40) in extent.
The premises, known as "Nelumwatta" and bearing assessment number 22, Wakwella Road, are Lot A depicted in Plan No. 2456 dated 3 March 1996 made by K. Perera, Licensed Surveyor. They lie within the Akmeemana Divisional Secretary's Division in the District of Galle and adjoin the eastern boundary of the Rubber Estate. A single-storey dwelling house built in about 1998 stands on the land. The parcel has not been brought within any area declared for the purposes of the title registration scheme, so the Galle Land Registry folio remains the only public record of dealings with it.
The vendor is Mrs. S. K. Amarasuriya, a citizen of Sri Lanka, who says she bought the premises on Deed of Transfer No. 3120 dated 8 July 2004 attested by L. Jayasinghe, Notary Public of Galle, and that her predecessors held on a deed of 1985 and a deed of 1972. She has so far produced only a photocopy of the 2004 deed, no earlier deed and no registry extract. She mentions that a loan she took in 2016 was secured on the premises, and that a relative lodged some document at the Land Registry in 2022 objecting to any dealing with the property.
A shed and a well at the southern end of the premises have been occupied since about 2010 by a neighbour, Mr. W. Gunaratne, who claims that strip as his own and pays no rent and renders no service to the vendor. Your firm was instructed on 20 September 2023 and the company wishes to complete before the end of the year.
ADDED FACTS
- FACT-M036-Q02-001 [synthetic_neutral]: The premises are Lot A in Plan No. 2456 dated 3 March 1996 made by K. Perera, Licensed Surveyor, known as "Nelumwatta", assessment number 22, Wakwella Road, in the Akmeemana Divisional Secretary's Division in the District of Galle, with a single-storey dwelling house built in about 1998.
- FACT-M036-Q02-002 [synthetic_decisive]: The parcel has not been brought within any area declared for the purposes of the title registration scheme, and the Galle Land Registry folio remains the only public record of dealings with it.
- FACT-M036-Q02-003 [synthetic_decisive]: The vendor is Mrs. S. K. Amarasuriya, a citizen of Sri Lanka, who claims on Deed of Transfer No. 3120 dated 8 July 2004 attested by L. Jayasinghe, Notary Public of Galle, with predecessors holding on a deed of 1985 and a deed of 1972; she has produced only a photocopy of the 2004 deed, no earlier deed and no registry extract.
- FACT-M036-Q02-004 [synthetic_decisive]: A loan taken by the vendor in 2016 was secured on the premises, and a relative lodged a document at the Land Registry in 2022 objecting to any dealing with the property.
- FACT-M036-Q02-005 [synthetic_decisive]: A shed and a well at the southern end of the premises have been occupied since about 2010 by a neighbour, Mr. W. Gunaratne, who claims that strip as his own and pays no rent and renders no service to the vendor.
- FACT-M036-Q02-006 [synthetic_neutral]: The intending purchaser is the same company, Ceylon Rubber Company (Private) Limited, and instructions were received on 20 September 2023 with completion sought before the end of that year.</t>
        </is>
      </c>
      <c r="F25" s="21" t="n"/>
      <c r="G25" s="21" t="n"/>
      <c r="H25" s="21" t="n"/>
      <c r="I25" s="21" t="n"/>
      <c r="J25" s="21" t="n"/>
      <c r="K25" s="21" t="n"/>
      <c r="L25" s="21" t="n"/>
      <c r="M25" s="21" t="n"/>
      <c r="N25" s="21" t="n"/>
      <c r="O25" s="21" t="n"/>
      <c r="P25" s="21" t="n"/>
      <c r="Q25" s="32">
        <f>IF(B25="","",IF(AND(F25&lt;&gt;"",G25&lt;&gt;"",H25&lt;&gt;"",I25&lt;&gt;"",K25&lt;&gt;"",L25&lt;&gt;"",M25&lt;&gt;"",O25&lt;&gt;""),"Complete","Pending"))</f>
        <v/>
      </c>
    </row>
    <row r="26">
      <c r="A26" s="19" t="inlineStr">
        <is>
          <t>M039</t>
        </is>
      </c>
      <c r="B26" s="19" t="inlineStr">
        <is>
          <t>M039-Q01</t>
        </is>
      </c>
      <c r="C26" s="32" t="inlineStr">
        <is>
          <t>2023-10</t>
        </is>
      </c>
      <c r="D26" s="32" t="inlineStr">
        <is>
          <t>BACKGROUND
A deed of gift states that it is absolute and irrevocable.
QUESTION
Could it be revoked?
AGENT ISSUE LIST
- ISS-M039-Q01-01: Whether a deed of gift that declares itself absolute and irrevocable can be revoked at all, notwithstanding those words.
- ISS-M039-Q01-02: If it can be revoked, on what ground, by whom, against whom and by what mode revocation must be effected, and whether the donor can revoke by his own act.
- ISS-M039-Q01-03: Whether the statutory time limits for filing the revocation action are satisfied on the date of execution of the deed and the date the cause of action arose.
AGENT AUTHORITY VIEW: statute_only</t>
        </is>
      </c>
      <c r="E26" s="32" t="inlineStr">
        <is>
          <t>ENRICHED BACKGROUND
Wimalasena Perera, aged 74, a retired schoolmaster of Panadura, gifted the land called Kahatagahawatta, thirty-two perches in extent with the house standing on it, at Panadura in the District of Kalutara, to his nephew Chaminda Perera. The parties are low-country Sinhalese governed by the general law. The gift was made by deed No. 4417 dated 12 March 2019, attested by a notary public and registered in the Kalutara land registry, and the deed states that the gift is absolute and irrevocable. The donee took possession, and the donor went on living in an annexe of the same house as the deed allowed him to. In June 2023 the donee assaulted the donor during a quarrel over the property, causing injuries for which the donor was treated in hospital, and then locked the annexe and put the donor out of the premises; the donor has since been living with a daughter. The donee does not deny the assault or the eviction and refuses to reconvey the property. The donor consults you in October 2023 and asks whether he can get the property back.
ADDED FACTS
- FACT-M039-Q01-001 [synthetic_neutral]: The donor is Wimalasena Perera, aged 74, of Panadura, and the donee is his nephew Chaminda Perera; the parties are low-country Sinhalese governed by the general law.
- FACT-M039-Q01-002 [synthetic_neutral]: The subject matter is the land called Kahatagahawatta, thirty-two perches with the house on it, at Panadura in the District of Kalutara, registered in the Kalutara land registry; the donee took possession and the donor retained the right to live in an annexe.
- FACT-M039-Q01-003 [synthetic_decisive]: The gift was made by deed No. 4417 dated 12 March 2019, attested by a notary public and registered.
- FACT-M039-Q01-004 [synthetic_decisive]: In June 2023 the donee assaulted the donor, causing injuries for which the donor was treated in hospital, and then locked the annexe and put the donor out of the premises; the donee does not deny the assault or the eviction.
- FACT-M039-Q01-005 [synthetic_decisive]: The donor consults his lawyer in October 2023, wishing to recover the property; the donee refuses to reconvey it.</t>
        </is>
      </c>
      <c r="F26" s="21" t="n"/>
      <c r="G26" s="21" t="n"/>
      <c r="H26" s="21" t="n"/>
      <c r="I26" s="21" t="n"/>
      <c r="J26" s="21" t="n"/>
      <c r="K26" s="21" t="n"/>
      <c r="L26" s="21" t="n"/>
      <c r="M26" s="21" t="n"/>
      <c r="N26" s="21" t="n"/>
      <c r="O26" s="21" t="n"/>
      <c r="P26" s="21" t="n"/>
      <c r="Q26" s="32">
        <f>IF(B26="","",IF(AND(F26&lt;&gt;"",G26&lt;&gt;"",H26&lt;&gt;"",I26&lt;&gt;"",K26&lt;&gt;"",L26&lt;&gt;"",M26&lt;&gt;"",O26&lt;&gt;""),"Complete","Pending"))</f>
        <v/>
      </c>
    </row>
    <row r="27">
      <c r="A27" s="19" t="inlineStr">
        <is>
          <t>M047</t>
        </is>
      </c>
      <c r="B27" s="19" t="inlineStr">
        <is>
          <t>M047-Q01</t>
        </is>
      </c>
      <c r="C27" s="32" t="inlineStr">
        <is>
          <t>2022-10</t>
        </is>
      </c>
      <c r="D27" s="32" t="inlineStr">
        <is>
          <t>BACKGROUND
Rohan Perera purchased a house and property in December 1977 for Rs.250,000/-, and done improvements to the house to the value of Rs.800,000/-. The property is presently valued at Rs.6,500,000/-. He wishes to gift the said property to his son Wasantha.
QUESTION
What is the value you would mention in the Deed of Gift for stamp duty purpose?
AGENT ISSUE LIST
- ISS-M047-Q01-01: Whether a Deed of Gift of a house and land in the Western Province is an instrument chargeable with stamp duty, a gift being gratuitous.
- ISS-M047-Q01-02: On what amount stamp duty on that deed is calculated: the price paid in 1977, that price plus the cost of improvements, or the present market value.
- ISS-M047-Q01-03: Which paragraph of the statutory definition of value applies where the donor acquired the property in December 1977, and how the two limbs of that paragraph are compared.
- ISS-M047-Q01-04: What figure the attesting notary must therefore set out in the deed.
AGENT AUTHORITY VIEW: statute_only</t>
        </is>
      </c>
      <c r="E27" s="32" t="inlineStr">
        <is>
          <t>ENRICHED BACKGROUND
Rohan Perera purchased a house and property in December 1977 for Rs.250,000/-, and done improvements to the house to the value of Rs.800,000/-. The property is presently valued at Rs.6,500,000/-. He wishes to gift the said property to his son Wasantha.
The property is Lot 12 depicted in Plan No. 2456 dated 3 March 1974 made by K. B. Wijesinghe, Licensed Surveyor, in extent fifteen decimal five perches, together with the two storeyed dwelling house bearing Assessment No. 47/3, Pathiragoda Road, Maharagama, within the Divisional Secretary's Division of Maharagama in the District of Colombo, Western Province. Rohan Perera bought it outright and at arm's length from an unrelated seller by Deed of Transfer No. 1187 dated 12 December 1977 attested by S. A. Dissanayake, Notary Public, and the Rs.250,000/- he paid was the open market price of the land and house on that date. The improvements costing Rs.800,000/- were an additional upper floor, a garage and a boundary wall, all built between 1996 and 1999, that is after he bought the property and before the deed he now proposes. He is the sole owner, the property is free of any mortgage or lease, and he intends an outright gift, keeping no life interest or other reservation for himself or anyone else. The Deed of Gift in favour of his son Wasantha Perera is to be executed at Colombo on 14 October 2022, and a valuation report dated 1 October 2022 by a chartered valuer puts the open market price of the property on that date at Rs.6,500,000/-.
ADDED FACTS
- FACT-M047-Q01-001 [synthetic_neutral]: The subject property is Lot 12 in Plan No. 2456 dated 3 March 1974, in extent fifteen decimal five perches, with the two storeyed dwelling house bearing Assessment No. 47/3, Pathiragoda Road, Maharagama, and Rohan Perera is its sole owner, the land being free of any mortgage or lease.
- FACT-M047-Q01-002 [synthetic_decisive]: The property is situated at Maharagama in the District of Colombo, in the Western Province, and the Deed of Gift is to be executed at Colombo.
- FACT-M047-Q01-003 [synthetic_decisive]: Rohan Perera acquired the property by Deed of Transfer No. 1187 dated 12 December 1977, bought outright and at arm's length from an unrelated seller, and the Rs.250,000/- he paid was the open market price of the land and house on that date.
- FACT-M047-Q01-004 [synthetic_decisive]: The improvements costing Rs.800,000/- were an additional upper floor, a garage and a boundary wall, all built between 1996 and 1999, that is after the December 1977 purchase and before the proposed deed.
- FACT-M047-Q01-005 [synthetic_decisive]: The Deed of Gift in favour of Wasantha Perera is to be executed on 14 October 2022, and a valuation report dated 1 October 2022 puts the open market price of the property on that date at Rs.6,500,000/-.
- FACT-M047-Q01-006 [synthetic_neutral]: The gift is outright: Rohan Perera reserves no life interest, no right of habitation and no other benefit for himself or for any other person, and imposes no fideicommissum.</t>
        </is>
      </c>
      <c r="F27" s="21" t="n"/>
      <c r="G27" s="21" t="n"/>
      <c r="H27" s="21" t="n"/>
      <c r="I27" s="21" t="n"/>
      <c r="J27" s="21" t="n"/>
      <c r="K27" s="21" t="n"/>
      <c r="L27" s="21" t="n"/>
      <c r="M27" s="21" t="n"/>
      <c r="N27" s="21" t="n"/>
      <c r="O27" s="21" t="n"/>
      <c r="P27" s="21" t="n"/>
      <c r="Q27" s="32">
        <f>IF(B27="","",IF(AND(F27&lt;&gt;"",G27&lt;&gt;"",H27&lt;&gt;"",I27&lt;&gt;"",K27&lt;&gt;"",L27&lt;&gt;"",M27&lt;&gt;"",O27&lt;&gt;""),"Complete","Pending"))</f>
        <v/>
      </c>
    </row>
    <row r="28">
      <c r="A28" s="19" t="inlineStr">
        <is>
          <t>M049</t>
        </is>
      </c>
      <c r="B28" s="19" t="inlineStr">
        <is>
          <t>M049-Q01</t>
        </is>
      </c>
      <c r="C28" s="32" t="inlineStr">
        <is>
          <t>2021-10</t>
        </is>
      </c>
      <c r="D28" s="32" t="inlineStr">
        <is>
          <t>BACKGROUND
Nimal has been in possession of a land registered under Registration of Title Act for more than 10 years.
QUESTION
Can he claim prescriptive title?
AGENT ISSUE LIST
- ISS-M049-Q01-01: Whether ten years' undisturbed and uninterrupted adverse possession would satisfy the statutory conditions for prescriptive title to land.
- ISS-M049-Q01-02: Whether the Prescription Ordinance applies at all to a land parcel registered under the Registration of Title Act with a First Class Title of Absolute Ownership.
- ISS-M049-Q01-03: Whether a person not named in the Title Register can assert an unregistered title against the registered owner, and whether the ten-year conversion route under the Registration of Title Act is open to such a person.
AGENT AUTHORITY VIEW: statute_only</t>
        </is>
      </c>
      <c r="E28" s="32" t="inlineStr">
        <is>
          <t>ENRICHED BACKGROUND
Nimal, a retired schoolteacher of Pelawatta, has been in possession of a land registered under Registration of Title Act for more than 10 years. The land is Land Parcel No. 214 delineated on Cadastral Map No. 520150 for the village of Pelawatta in the Homagama Divisional Secretary's Division, an area the Minister declared by Order published in the Gazette to be an area to which the Registration of Title Act applies. The Title Register for that parcel records Somapala as the registered owner, registered with a First Class Title of Absolute Ownership on 3 March 2009. Nimal's name appears nowhere in the Title Register, either as owner or under any registered interest, and he holds no deed, lease or grant in respect of the parcel. He entered into occupation of the parcel in January 2011 and has occupied it continuously and without interruption since then, paying no rent or produce to Somapala and doing nothing from which an acknowledgment of a right in Somapala could fairly be inferred. In October 2021 he wishes to assert ownership of the parcel against Somapala.
ADDED FACTS
- FACT-M049-Q01-001 [synthetic_neutral]: The land is Land Parcel No. 214 delineated on Cadastral Map No. 520150 for the village of Pelawatta in the Homagama Divisional Secretary's Division, an area declared by Order of the Minister published in the Gazette to be an area to which the Registration of Title Act applies.
- FACT-M049-Q01-002 [synthetic_decisive]: The Title Register records Somapala as the registered owner of the parcel, registered with a First Class Title of Absolute Ownership on 3 March 2009, and Nimal's name appears nowhere in the Title Register as owner or as the holder of any registered interest.
- FACT-M049-Q01-003 [synthetic_decisive]: Nimal entered into occupation of the parcel in January 2011 and has occupied it continuously and without interruption to October 2021, paying no rent or produce to Somapala and doing nothing from which an acknowledgment of a right in Somapala could fairly be inferred.
- FACT-M049-Q01-004 [synthetic_neutral]: Nimal is a retired schoolteacher of Pelawatta who is not a co-owner, lessee, manager or beneficiary in respect of the parcel and holds no deed, lease or grant to it.</t>
        </is>
      </c>
      <c r="F28" s="21" t="n"/>
      <c r="G28" s="21" t="n"/>
      <c r="H28" s="21" t="n"/>
      <c r="I28" s="21" t="n"/>
      <c r="J28" s="21" t="n"/>
      <c r="K28" s="21" t="n"/>
      <c r="L28" s="21" t="n"/>
      <c r="M28" s="21" t="n"/>
      <c r="N28" s="21" t="n"/>
      <c r="O28" s="21" t="n"/>
      <c r="P28" s="21" t="n"/>
      <c r="Q28" s="32">
        <f>IF(B28="","",IF(AND(F28&lt;&gt;"",G28&lt;&gt;"",H28&lt;&gt;"",I28&lt;&gt;"",K28&lt;&gt;"",L28&lt;&gt;"",M28&lt;&gt;"",O28&lt;&gt;""),"Complete","Pending"))</f>
        <v/>
      </c>
    </row>
    <row r="29">
      <c r="A29" s="19" t="inlineStr">
        <is>
          <t>M051</t>
        </is>
      </c>
      <c r="B29" s="19" t="inlineStr">
        <is>
          <t>M051-Q01</t>
        </is>
      </c>
      <c r="C29" s="32" t="inlineStr">
        <is>
          <t>2021-10</t>
        </is>
      </c>
      <c r="D29" s="32" t="inlineStr">
        <is>
          <t>BACKGROUND
Mr. Alfred Perera purchased a property in Pannipitiya in January 1978 for Rs.160,000/-. He constructed a house on the property spending Rs.900,000/- and now the property is valued at Rs.9,000,000/-. He intends to gift this property to his daughter Himall.
QUESTION
How would an Assessor attached to the Western Provincial Council arrive at the value of the property for the purpose of the stamp duty in this Deed of Gift?
AGENT ISSUE LIST
- ISS-M051-Q01-01: Whether a Deed of Gift of land at Pannipitiya is chargeable with stamp duty under the Western Province Financial Statute No. 6 of 1990, and on what base the duty is calculated.
- ISS-M051-Q01-02: Which limb of the definition of 'value' in section 106 applies where the donor acquired the immovable property in January 1978, and what the Assessor must compare under that limb.
- ISS-M051-Q01-03: What evidence the Assessor may call for, and by what procedure he determines and notifies the value and the duty.
AGENT AUTHORITY VIEW: statute_only</t>
        </is>
      </c>
      <c r="E29" s="32" t="inlineStr">
        <is>
          <t>(no enrichment; the original background is used as is)</t>
        </is>
      </c>
      <c r="F29" s="21" t="n"/>
      <c r="G29" s="21" t="n"/>
      <c r="H29" s="21" t="n"/>
      <c r="I29" s="21" t="n"/>
      <c r="J29" s="21" t="n"/>
      <c r="K29" s="21" t="n"/>
      <c r="L29" s="21" t="n"/>
      <c r="M29" s="21" t="n"/>
      <c r="N29" s="21" t="n"/>
      <c r="O29" s="21" t="n"/>
      <c r="P29" s="21" t="n"/>
      <c r="Q29" s="32">
        <f>IF(B29="","",IF(AND(F29&lt;&gt;"",G29&lt;&gt;"",H29&lt;&gt;"",I29&lt;&gt;"",K29&lt;&gt;"",L29&lt;&gt;"",M29&lt;&gt;"",O29&lt;&gt;""),"Complete","Pending"))</f>
        <v/>
      </c>
    </row>
    <row r="30">
      <c r="A30" s="19" t="inlineStr">
        <is>
          <t>M052</t>
        </is>
      </c>
      <c r="B30" s="19" t="inlineStr">
        <is>
          <t>M052-Q01</t>
        </is>
      </c>
      <c r="C30" s="32" t="inlineStr">
        <is>
          <t>2021-10</t>
        </is>
      </c>
      <c r="D30" s="32" t="inlineStr">
        <is>
          <t>BACKGROUND
Lanka Rubber Trading (Private) Limited intents to purchase a Rubber Estate situated in Kalutara, Twenty Acres (A20-RO-PO) in extent. The said company instructs you to examine the title of the said Rubber Estate.
QUESTION
What documents would you call for the examination of title of the Rubber Estate?
AGENT ISSUE LIST
- ISS-M052-Q01-01: What documents the notary must obtain in order to discharge the statutory duty to ascertain the state of the title before drawing a deed affecting the land.
- ISS-M052-Q01-02: Which documents establish the chain of title and the description of a twenty-acre estate, and how registration and stamping affect their value as title documents.
- ISS-M052-Q01-03: Whether a certificate of consent of the fragmentation Board is among the documents to be called for, which turns on whether a twenty-acre rubber property falls within the statutory definition of a rubber estate.
- ISS-M052-Q01-04: What documents are required because the purchaser is a private limited company, in particular proof of its incorporation, its authority to purchase and its level of foreign shareholding.
- ISS-M052-Q01-05: What non-documentary matters, namely possession, encumbrances and agricultural landholdings, must be evidenced alongside the deeds.
AGENT AUTHORITY VIEW: statute_only</t>
        </is>
      </c>
      <c r="E30" s="32" t="inlineStr">
        <is>
          <t>ENRICHED BACKGROUND
Lanka Rubber Trading (Private) Limited intents to purchase a Rubber Estate situated in Kalutara, Twenty Acres (A20-RO-PO) in extent. The said company instructs you to examine the title of the said Rubber Estate. The company was incorporated in Sri Lanka in 2016 and carries on business at Colombo 03. Of its issued shares, thirty per cent are held by Mr. Tan Boon Heng, who resides in Singapore and is not a citizen of Sri Lanka, and the remaining seventy per cent by its two Sri Lankan directors. The estate is known as Rubberwatta, lying in the village of Bombuwala in the Kalutara District, and is depicted as Lot A in Plan No. 2143 dated 12 March 1998 made by K. Jayawardena, Licensed Surveyor. The proposed vendor is Mr. Sunil Weerakoon of Panadura, a citizen of Sri Lanka, who states that he became entitled to the entirety on Deed of Transfer No. 4562 attested on 8 June 2003 by W. D. Silva, Notary Public, and that his predecessor held on Deed of Gift No. 1120 attested on 2 February 1979. Mr. Weerakoon states that he owns no other agricultural land. The land is registered in the Kalutara Land Registry, and Mortgage Bond No. 987 dated 14 July 2016 in favour of a licensed commercial bank stands registered against it; Mr. Weerakoon says the loan has been settled but no discharge has been executed. A neighbour has fenced and occupied about two acres at the north-western corner of the estate for the last fifteen years and claims that portion as his own. Your instructions were given in October 2021.
ADDED FACTS
- FACT-M052-Q01-001 [synthetic_decisive]: Thirty per cent of the issued shares of Lanka Rubber Trading (Private) Limited are held by Mr. Tan Boon Heng, who resides in Singapore and is not a citizen of Sri Lanka; the remaining seventy per cent are held by its two Sri Lankan directors.
- FACT-M052-Q01-002 [synthetic_neutral]: Lanka Rubber Trading (Private) Limited was incorporated in Sri Lanka in 2016 and carries on business at Colombo 03.
- FACT-M052-Q01-003 [synthetic_neutral]: The estate is known as Rubberwatta, lies in the village of Bombuwala in the Kalutara District, and is depicted as Lot A in Plan No. 2143 dated 12 March 1998 made by K. Jayawardena, Licensed Surveyor.
- FACT-M052-Q01-004 [synthetic_decisive]: The proposed vendor is Mr. Sunil Weerakoon of Panadura, a citizen of Sri Lanka, who claims title on Deed of Transfer No. 4562 attested on 8 June 2003 by W. D. Silva, Notary Public, his predecessor having held on Deed of Gift No. 1120 attested on 2 February 1979.
- FACT-M052-Q01-005 [synthetic_decisive]: The land is registered in the Kalutara Land Registry and Mortgage Bond No. 987 dated 14 July 2016 in favour of a licensed commercial bank stands registered against it; the vendor says the loan has been settled but no discharge has been executed.
- FACT-M052-Q01-006 [synthetic_decisive]: A neighbour has fenced and occupied about two acres at the north-western corner of the estate for the last fifteen years and claims that portion as his own.
- FACT-M052-Q01-007 [synthetic_neutral]: Mr. Weerakoon states that he owns no other agricultural land.
- FACT-M052-Q01-008 [synthetic_neutral]: The instructions to examine title were given in October 2021.</t>
        </is>
      </c>
      <c r="F30" s="21" t="n"/>
      <c r="G30" s="21" t="n"/>
      <c r="H30" s="21" t="n"/>
      <c r="I30" s="21" t="n"/>
      <c r="J30" s="21" t="n"/>
      <c r="K30" s="21" t="n"/>
      <c r="L30" s="21" t="n"/>
      <c r="M30" s="21" t="n"/>
      <c r="N30" s="21" t="n"/>
      <c r="O30" s="21" t="n"/>
      <c r="P30" s="21" t="n"/>
      <c r="Q30" s="32">
        <f>IF(B30="","",IF(AND(F30&lt;&gt;"",G30&lt;&gt;"",H30&lt;&gt;"",I30&lt;&gt;"",K30&lt;&gt;"",L30&lt;&gt;"",M30&lt;&gt;"",O30&lt;&gt;""),"Complete","Pending"))</f>
        <v/>
      </c>
    </row>
    <row r="31">
      <c r="A31" s="19" t="inlineStr">
        <is>
          <t>M055</t>
        </is>
      </c>
      <c r="B31" s="19" t="inlineStr">
        <is>
          <t>M055-Q01</t>
        </is>
      </c>
      <c r="C31" s="32" t="inlineStr">
        <is>
          <t>2021-10</t>
        </is>
      </c>
      <c r="D31" s="32" t="inlineStr">
        <is>
          <t>BACKGROUND
Nimal Siriwardhana wishes to gift his property registered under the Registration Title Act No.21 of 1998 to his two daughters subject to life interest of him.
QUESTION
Can he fulfill his desire?
AGENT ISSUE LIST
- ISS-M055-Q01-01: Whether a gift of a land parcel registered under the Registration of Title Act may reserve a life interest to the donor and still be registrable.
- ISS-M055-Q01-02: Whether one registered land parcel may be gifted by a single instrument to two donees in common.
- ISS-M055-Q01-03: Whether the donor may instead gift a divided portion of the parcel to each daughter, and what he must do first.
- ISS-M055-Q01-04: What form the gift must take and when it takes effect.
AGENT AUTHORITY VIEW: statute_only</t>
        </is>
      </c>
      <c r="E31" s="32" t="inlineStr">
        <is>
          <t>ENRICHED BACKGROUND
Nimal Siriwardhana wishes to gift his property registered under the Registration Title Act No.21 of 1998 to his two daughters subject to life interest of him. The property is a single land parcel of about forty perches at Meegoda, in the Homagama Divisional Secretary's Division of the Colombo District, separately delineated as Parcel No. 214 on the cadastral map for that area and entered in the Title Register kept at the Homagama Title Registry, where Nimal is recorded as the sole owner with a First Class Title of Absolute Ownership and no encumbrance stands registered against the parcel. His daughters, Kanchana Siriwardhana and Dilini Siriwardhana, are both over eighteen years of age. Nimal wants the two of them to take the whole parcel together, in undivided equal half shares, under one deed of gift, and he intends to keep for himself, for the rest of his life, the right to live on the land and to take its produce. The parcel has never been sub-divided; no sub-division plan of it has been surveyed or registered, and Nimal has made no application to the Registrar of Title to sub-divide it. He proposes to have the deed drawn and attested by a notary public in October 2021.
ADDED FACTS
- FACT-M055-Q01-001 [synthetic_decisive]: The property is one land parcel, separately delineated as Parcel No. 214 on the cadastral map for the area, and Nimal is recorded in the Title Register at the Homagama Title Registry as its sole owner with a First Class Title of Absolute Ownership, with no encumbrance registered against it.
- FACT-M055-Q01-002 [synthetic_neutral]: The parcel is about forty perches in extent and lies at Meegoda, in the Homagama Divisional Secretary's Division of the Colombo District.
- FACT-M055-Q01-003 [synthetic_neutral]: The two daughters are Kanchana Siriwardhana and Dilini Siriwardhana, both over eighteen years of age.
- FACT-M055-Q01-004 [synthetic_decisive]: Nimal wants both daughters to take the whole parcel together in undivided equal half shares under one deed of gift; the parcel has never been sub-divided, no sub-division plan has been surveyed or registered, and he has made no application to the Registrar of Title to sub-divide it.
- FACT-M055-Q01-005 [synthetic_decisive]: Nimal intends to keep for himself, for the rest of his life, the right to live on the land and to take its produce, and proposes to have the deed drawn and attested by a notary public in October 2021.</t>
        </is>
      </c>
      <c r="F31" s="21" t="n"/>
      <c r="G31" s="21" t="n"/>
      <c r="H31" s="21" t="n"/>
      <c r="I31" s="21" t="n"/>
      <c r="J31" s="21" t="n"/>
      <c r="K31" s="21" t="n"/>
      <c r="L31" s="21" t="n"/>
      <c r="M31" s="21" t="n"/>
      <c r="N31" s="21" t="n"/>
      <c r="O31" s="21" t="n"/>
      <c r="P31" s="21" t="n"/>
      <c r="Q31" s="32">
        <f>IF(B31="","",IF(AND(F31&lt;&gt;"",G31&lt;&gt;"",H31&lt;&gt;"",I31&lt;&gt;"",K31&lt;&gt;"",L31&lt;&gt;"",M31&lt;&gt;"",O31&lt;&gt;""),"Complete","Pending"))</f>
        <v/>
      </c>
    </row>
    <row r="32">
      <c r="A32" s="19" t="inlineStr">
        <is>
          <t>M056</t>
        </is>
      </c>
      <c r="B32" s="19" t="inlineStr">
        <is>
          <t>M056-Q01</t>
        </is>
      </c>
      <c r="C32" s="32" t="inlineStr">
        <is>
          <t>2021-10</t>
        </is>
      </c>
      <c r="D32"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QUESTION
Can Kamal Rathnayaka attest this Lease Agreement? Discuss.
AGENT ISSUE LIST
- ISS-M056-Q01-01: Whether a lease of a commercial building for four years must be executed before and attested by a notary at all.
- ISS-M056-Q01-02: Whether a notary whose warrant authorises him to practise in the Galle area is competent to attest a lease of a building situated in Colombo, that is, whether the statutory limit attaches to the place of attestation or to the situation of the land.
- ISS-M056-Q01-03: Whether the notary is disqualified because the lessor is his neighbour, and whether the lessor's illiteracy prevents him from attesting.
AGENT AUTHORITY VIEW: statute_only</t>
        </is>
      </c>
      <c r="E32" s="32" t="inlineStr">
        <is>
          <t>(no enrichment; the original background is used as is)</t>
        </is>
      </c>
      <c r="F32" s="21" t="n"/>
      <c r="G32" s="21" t="n"/>
      <c r="H32" s="21" t="n"/>
      <c r="I32" s="21" t="n"/>
      <c r="J32" s="21" t="n"/>
      <c r="K32" s="21" t="n"/>
      <c r="L32" s="21" t="n"/>
      <c r="M32" s="21" t="n"/>
      <c r="N32" s="21" t="n"/>
      <c r="O32" s="21" t="n"/>
      <c r="P32" s="21" t="n"/>
      <c r="Q32" s="32">
        <f>IF(B32="","",IF(AND(F32&lt;&gt;"",G32&lt;&gt;"",H32&lt;&gt;"",I32&lt;&gt;"",K32&lt;&gt;"",L32&lt;&gt;"",M32&lt;&gt;"",O32&lt;&gt;""),"Complete","Pending"))</f>
        <v/>
      </c>
    </row>
    <row r="33">
      <c r="A33" s="19" t="inlineStr">
        <is>
          <t>M056</t>
        </is>
      </c>
      <c r="B33" s="19" t="inlineStr">
        <is>
          <t>M056-Q04</t>
        </is>
      </c>
      <c r="C33" s="32" t="inlineStr">
        <is>
          <t>2021-10</t>
        </is>
      </c>
      <c r="D33"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QUESTION
If the parties request the Notary to insert a lower amount on the Lease Agreement in order to save stamp duty, what are the duties and liabilities of the Notary in this situation?
AGENT ISSUE LIST
- ISS-M056-Q04-01: Whether the lease agreement is chargeable with stamp duty and on whom the duty falls, so that understating the rental would reduce the duty payable.
- ISS-M056-Q04-02: What duty the Notaries Ordinance imposes on the notary as to the consideration to be inserted in the instrument, and whether he may accede to the parties' request.
- ISS-M056-Q04-03: What criminal, civil and professional liabilities the notary incurs if he inserts the lower rental, and what he must do instead.
AGENT AUTHORITY VIEW: statute_only</t>
        </is>
      </c>
      <c r="E33" s="32" t="inlineStr">
        <is>
          <t>(no enrichment; the original background is used as is)</t>
        </is>
      </c>
      <c r="F33" s="21" t="n"/>
      <c r="G33" s="21" t="n"/>
      <c r="H33" s="21" t="n"/>
      <c r="I33" s="21" t="n"/>
      <c r="J33" s="21" t="n"/>
      <c r="K33" s="21" t="n"/>
      <c r="L33" s="21" t="n"/>
      <c r="M33" s="21" t="n"/>
      <c r="N33" s="21" t="n"/>
      <c r="O33" s="21" t="n"/>
      <c r="P33" s="21" t="n"/>
      <c r="Q33" s="32">
        <f>IF(B33="","",IF(AND(F33&lt;&gt;"",G33&lt;&gt;"",H33&lt;&gt;"",I33&lt;&gt;"",K33&lt;&gt;"",L33&lt;&gt;"",M33&lt;&gt;"",O33&lt;&gt;""),"Complete","Pending"))</f>
        <v/>
      </c>
    </row>
    <row r="34">
      <c r="A34" s="19" t="inlineStr">
        <is>
          <t>M057</t>
        </is>
      </c>
      <c r="B34" s="19" t="inlineStr">
        <is>
          <t>M057-Q01</t>
        </is>
      </c>
      <c r="C34" s="32" t="inlineStr">
        <is>
          <t>2021-10</t>
        </is>
      </c>
      <c r="D34"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After the execution of the Lease Agreement, the Notary Kamal Ratnayake remembered that he could not obtain the Yearly Certificate from the Registrar of High Court for the current year.
QUESTION
What are the liabilities of Notary Kamal Ratnayake?
AGENT ISSUE LIST
- ISS-M057-Q01-01: Whether a notary who attests a deed during a year for which he has not obtained the certificate issued yearly by the Registrar of the High Court commits an offence, and what penalty attaches.
- ISS-M057-Q01-02: Whether the penalty runs per deed attested while uncertificated, and whether the offence can be compounded instead of prosecuted.
- ISS-M057-Q01-03: Whether any relief remains open to the notary for the missed certificate, and what further professional consequence the lapse may carry.
AGENT AUTHORITY VIEW: statute_only</t>
        </is>
      </c>
      <c r="E34" s="32" t="inlineStr">
        <is>
          <t>(no enrichment; the original background is used as is)</t>
        </is>
      </c>
      <c r="F34" s="21" t="n"/>
      <c r="G34" s="21" t="n"/>
      <c r="H34" s="21" t="n"/>
      <c r="I34" s="21" t="n"/>
      <c r="J34" s="21" t="n"/>
      <c r="K34" s="21" t="n"/>
      <c r="L34" s="21" t="n"/>
      <c r="M34" s="21" t="n"/>
      <c r="N34" s="21" t="n"/>
      <c r="O34" s="21" t="n"/>
      <c r="P34" s="21" t="n"/>
      <c r="Q34" s="32">
        <f>IF(B34="","",IF(AND(F34&lt;&gt;"",G34&lt;&gt;"",H34&lt;&gt;"",I34&lt;&gt;"",K34&lt;&gt;"",L34&lt;&gt;"",M34&lt;&gt;"",O34&lt;&gt;""),"Complete","Pending"))</f>
        <v/>
      </c>
    </row>
    <row r="35">
      <c r="A35" s="19" t="inlineStr">
        <is>
          <t>M059</t>
        </is>
      </c>
      <c r="B35" s="19" t="inlineStr">
        <is>
          <t>M059-Q01</t>
        </is>
      </c>
      <c r="C35" s="32" t="inlineStr">
        <is>
          <t>2021-10</t>
        </is>
      </c>
      <c r="D35" s="32" t="inlineStr">
        <is>
          <t>BACKGROUND
Lihini Manapitiya, a lecturer of AVI University purchased a land situated in Rajagiriya in 2001 for Rs.14,000,000/-. She wishes to obtain a loan of Rupees Two Million (Rs.2,000,000/=) from National Savings Bank to build a house.
Lihini Manapitiya was asked to sign a Declaration under section 47(A) of the Mortgage Act by the Bank.
QUESTION
Why does bank request her to execute such declaration?
AGENT ISSUE LIST
- ISS-M059-Q01-01: What, under the Mortgage Act, is the legal effect of a mortgagor executing a separate declaration under section 47A at the execution of a mortgage bond?
- ISS-M059-Q01-02: What is the default position under section 46 that such a declaration renounces, and can a lender achieve the same result without it?
- ISS-M059-Q01-03: Are the statutory gateway conditions of section 47A satisfied on these facts, namely a lending institution as mortgagee and a loan principal exceeding one hundred and fifty thousand rupees?
AGENT AUTHORITY VIEW: statute_only</t>
        </is>
      </c>
      <c r="E35" s="32" t="inlineStr">
        <is>
          <t>(no enrichment; the original background is used as is)</t>
        </is>
      </c>
      <c r="F35" s="21" t="n"/>
      <c r="G35" s="21" t="n"/>
      <c r="H35" s="21" t="n"/>
      <c r="I35" s="21" t="n"/>
      <c r="J35" s="21" t="n"/>
      <c r="K35" s="21" t="n"/>
      <c r="L35" s="21" t="n"/>
      <c r="M35" s="21" t="n"/>
      <c r="N35" s="21" t="n"/>
      <c r="O35" s="21" t="n"/>
      <c r="P35" s="21" t="n"/>
      <c r="Q35" s="32">
        <f>IF(B35="","",IF(AND(F35&lt;&gt;"",G35&lt;&gt;"",H35&lt;&gt;"",I35&lt;&gt;"",K35&lt;&gt;"",L35&lt;&gt;"",M35&lt;&gt;"",O35&lt;&gt;""),"Complete","Pending"))</f>
        <v/>
      </c>
    </row>
    <row r="36">
      <c r="A36" s="19" t="inlineStr">
        <is>
          <t>M061</t>
        </is>
      </c>
      <c r="B36" s="19" t="inlineStr">
        <is>
          <t>M061-Q01</t>
        </is>
      </c>
      <c r="C36" s="32" t="inlineStr">
        <is>
          <t>2020-10</t>
        </is>
      </c>
      <c r="D36" s="32" t="inlineStr">
        <is>
          <t>BACKGROUND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
QUESTION
Draw up the pedigree showing the devolution of title from Sujeewa Jayamini up to the present owners in respect of the house and property.
AGENT ISSUE LIST
- ISS-M061-Q01-01: What interest did Deed of Gift No.1100 of 12 January 2006 vest in Dinesh Gamage, and what was the effect of the death of Sujeewa Jayamini on 21 April 2007 on the life interest she reserved?
- ISS-M061-Q01-02: On the intestacy of Dinesh Gamage on 23 November 2009, who inherits Lot A and in what proportions, and does Neesha, his daughter by his first marriage, share equally with the three children of the second marriage?
- ISS-M061-Q01-03: On the intestacy of Neesha Gamage on 20 May 2012, she leaving a husband but no descendants and both her parents having predeceased her, to whom does her share devolve?
- ISS-M061-Q01-04: On the intestacy of Kasun Gamage on 5 July 2015, he being unmarried and issueless with his father dead and his mother living, to whom does his share devolve?
- ISS-M061-Q01-05: Which system of personal law governs these intestacies, and is the general law in the Ordinance applicable?
AGENT AUTHORITY VIEW: statute_only</t>
        </is>
      </c>
      <c r="E36" s="32" t="inlineStr">
        <is>
          <t>(no enrichment; the original background is used as is)</t>
        </is>
      </c>
      <c r="F36" s="21" t="n"/>
      <c r="G36" s="21" t="n"/>
      <c r="H36" s="21" t="n"/>
      <c r="I36" s="21" t="n"/>
      <c r="J36" s="21" t="n"/>
      <c r="K36" s="21" t="n"/>
      <c r="L36" s="21" t="n"/>
      <c r="M36" s="21" t="n"/>
      <c r="N36" s="21" t="n"/>
      <c r="O36" s="21" t="n"/>
      <c r="P36" s="21" t="n"/>
      <c r="Q36" s="32">
        <f>IF(B36="","",IF(AND(F36&lt;&gt;"",G36&lt;&gt;"",H36&lt;&gt;"",I36&lt;&gt;"",K36&lt;&gt;"",L36&lt;&gt;"",M36&lt;&gt;"",O36&lt;&gt;""),"Complete","Pending"))</f>
        <v/>
      </c>
    </row>
    <row r="37">
      <c r="A37" s="19" t="inlineStr">
        <is>
          <t>M061</t>
        </is>
      </c>
      <c r="B37" s="19" t="inlineStr">
        <is>
          <t>M061-Q02</t>
        </is>
      </c>
      <c r="C37" s="32" t="inlineStr">
        <is>
          <t>2020-10</t>
        </is>
      </c>
      <c r="D37" s="32" t="inlineStr">
        <is>
          <t>BACKGROUND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
QUESTION
What are the shares presently owned by each heir in the property?
AGENT ISSUE LIST
- ISS-M061-Q02-01: What fraction of Lot A does the widow Lochana Gamage presently hold, taking her half of Dinesh's estate together with her share of Kasun's estate?
- ISS-M061-Q02-02: What fractions do Kavindu Gamage and Piyumi Gamage presently hold, taking their original shares in Dinesh's estate together with their shares of Neesha's and Kasun's estates?
- ISS-M061-Q02-03: What fraction does Rohan Jayaweera, the widower of Neesha Gamage, presently hold?
AGENT AUTHORITY VIEW: statute_only</t>
        </is>
      </c>
      <c r="E37" s="32" t="inlineStr">
        <is>
          <t>(no enrichment; the original background is used as is)</t>
        </is>
      </c>
      <c r="F37" s="21" t="n"/>
      <c r="G37" s="21" t="n"/>
      <c r="H37" s="21" t="n"/>
      <c r="I37" s="21" t="n"/>
      <c r="J37" s="21" t="n"/>
      <c r="K37" s="21" t="n"/>
      <c r="L37" s="21" t="n"/>
      <c r="M37" s="21" t="n"/>
      <c r="N37" s="21" t="n"/>
      <c r="O37" s="21" t="n"/>
      <c r="P37" s="21" t="n"/>
      <c r="Q37" s="32">
        <f>IF(B37="","",IF(AND(F37&lt;&gt;"",G37&lt;&gt;"",H37&lt;&gt;"",I37&lt;&gt;"",K37&lt;&gt;"",L37&lt;&gt;"",M37&lt;&gt;"",O37&lt;&gt;""),"Complete","Pending"))</f>
        <v/>
      </c>
    </row>
    <row r="38">
      <c r="A38" s="19" t="inlineStr">
        <is>
          <t>M064</t>
        </is>
      </c>
      <c r="B38" s="19" t="inlineStr">
        <is>
          <t>M064-Q01</t>
        </is>
      </c>
      <c r="C38" s="32" t="inlineStr">
        <is>
          <t>2020-10</t>
        </is>
      </c>
      <c r="D38" s="32" t="inlineStr">
        <is>
          <t>BACKGROUND
A client asks whether you have attested his father's will.
QUESTION
Should you tell your client about his father's will?
AGENT ISSUE LIST
- ISS-M064-Q01-01: Whether knowledge that a notary attested a particular will, and knowledge of its contents, is a secret which he became possessed of in the execution of his office.
- ISS-M064-Q01-02: Who the notary's "employer" is for the purposes of the duty of secrecy where a will was drawn and attested on the testator's instructions, and whether express permission to disclose has been given.
- ISS-M064-Q01-03: Whether disclosure to the testator's son is "required to do so by law" so as to fall within the second exception.
AGENT AUTHORITY VIEW: statute_only</t>
        </is>
      </c>
      <c r="E38" s="32" t="inlineStr">
        <is>
          <t>ENRICHED BACKGROUND
Ranjith Perera, a businessman of Nugegoda, calls at your office and tells you that he believes his father made a will some years ago. You did in fact draw and attest that will as a notary public on 12 October 2018, and the protocol of it remains in your custody. His father, Sarath Perera, aged 78, is alive, lives on his own and is of sound mind. When he gave you his instructions he asked you to keep the will and its contents to yourself, and he has since neither withdrawn that instruction nor given you permission, in writing or otherwise, to speak about the will to anyone. Ranjith is not an executant of that will and is not named in it as an executor. No court, and no officer acting under any written law, has called on you to produce the will or to disclose what it contains. Ranjith now asks you to confirm whether you attested his father's will and to tell him what it says.
ADDED FACTS
- FACT-M064-Q01-001 [synthetic_decisive]: You yourself drew and attested the will as a notary public on 12 October 2018 and the protocol remains in your custody.
- FACT-M064-Q01-002 [synthetic_decisive]: The father, Sarath Perera, aged 78, is alive and of sound mind.
- FACT-M064-Q01-003 [synthetic_decisive]: The father instructed you to keep the will and its contents to yourself and has never given you permission, in writing or otherwise, to disclose them to anyone.
- FACT-M064-Q01-004 [synthetic_decisive]: No court and no officer acting under any written law has required you to produce the will or to disclose its contents.
- FACT-M064-Q01-005 [synthetic_neutral]: The client, Ranjith Perera, is the testator's son; he is not an executant of the will and is not named in it as an executor.</t>
        </is>
      </c>
      <c r="F38" s="21" t="n"/>
      <c r="G38" s="21" t="n"/>
      <c r="H38" s="21" t="n"/>
      <c r="I38" s="21" t="n"/>
      <c r="J38" s="21" t="n"/>
      <c r="K38" s="21" t="n"/>
      <c r="L38" s="21" t="n"/>
      <c r="M38" s="21" t="n"/>
      <c r="N38" s="21" t="n"/>
      <c r="O38" s="21" t="n"/>
      <c r="P38" s="21" t="n"/>
      <c r="Q38" s="32">
        <f>IF(B38="","",IF(AND(F38&lt;&gt;"",G38&lt;&gt;"",H38&lt;&gt;"",I38&lt;&gt;"",K38&lt;&gt;"",L38&lt;&gt;"",M38&lt;&gt;"",O38&lt;&gt;""),"Complete","Pending"))</f>
        <v/>
      </c>
    </row>
    <row r="39">
      <c r="A39" s="19" t="inlineStr">
        <is>
          <t>M065</t>
        </is>
      </c>
      <c r="B39" s="19" t="inlineStr">
        <is>
          <t>M065-Q01</t>
        </is>
      </c>
      <c r="C39" s="32" t="inlineStr">
        <is>
          <t>2020-10</t>
        </is>
      </c>
      <c r="D39" s="32" t="inlineStr">
        <is>
          <t>BACKGROUND
Anil Fernando is a Notary practising in Colombo. A company named Cyril &amp; Cyril (Private) Limited wishes to lease out a warehouse situated in Galle. The company wants Anil Fernando to attest its Lease Agreement. Anil Fernando knows the directors of the said company but he does not know the owner of the warehouse, namely Mr. Russel Perera. Mr.Russel Perera wants his Notary Ruwan Perera who is practising in Galle to draft and attest the Lease Agreement. Russel Perera does not want to come to Colombo.
QUESTION
How can they execute this Lease Agreement?
AGENT ISSUE LIST
- ISS-M065-Q01-01: Whether one lease agreement may be executed before two different notaries when the parties will not sign at the same time and place.
- ISS-M065-Q01-02: Whether a notary authorised to practise in Colombo may attest a signature given in Galle, or the reverse.
- ISS-M065-Q01-03: How a private limited company signs a lease that the law requires to be notarially attested.
- ISS-M065-Q01-04: What the notary who did not draft the deed must have endorsed on it before he attests it.
AGENT AUTHORITY VIEW: statute_only</t>
        </is>
      </c>
      <c r="E39" s="32" t="inlineStr">
        <is>
          <t>(no enrichment; the original background is used as is)</t>
        </is>
      </c>
      <c r="F39" s="21" t="n"/>
      <c r="G39" s="21" t="n"/>
      <c r="H39" s="21" t="n"/>
      <c r="I39" s="21" t="n"/>
      <c r="J39" s="21" t="n"/>
      <c r="K39" s="21" t="n"/>
      <c r="L39" s="21" t="n"/>
      <c r="M39" s="21" t="n"/>
      <c r="N39" s="21" t="n"/>
      <c r="O39" s="21" t="n"/>
      <c r="P39" s="21" t="n"/>
      <c r="Q39" s="32">
        <f>IF(B39="","",IF(AND(F39&lt;&gt;"",G39&lt;&gt;"",H39&lt;&gt;"",I39&lt;&gt;"",K39&lt;&gt;"",L39&lt;&gt;"",M39&lt;&gt;"",O39&lt;&gt;""),"Complete","Pending"))</f>
        <v/>
      </c>
    </row>
    <row r="40">
      <c r="A40" s="19" t="inlineStr">
        <is>
          <t>M068</t>
        </is>
      </c>
      <c r="B40" s="19" t="inlineStr">
        <is>
          <t>M068-Q02</t>
        </is>
      </c>
      <c r="C40" s="32" t="inlineStr">
        <is>
          <t>2020-04</t>
        </is>
      </c>
      <c r="D40" s="32" t="inlineStr">
        <is>
          <t>BACKGROUND
Anura Perera your client wants to purchase a house and property situated in Rajagiriya said to be belonging to one Kusum Peiris and gives you a copy of a Transfer Deed No. 234 dated 23rd March, 2015 attested by Walter de Silva Notary Public and a copy of a Survey Plan No.1125 dated 2nd January, 2000 made by Anil Silva Licensed Surveyor relating to an allotment of land marked Lot B together with a Reservation for a Road marked Lot R of the Land called Dewatagahawatta in extent of 30 perches situated in Rajagiriya. On examining the documents tendered and after a search at the Colombo Land Registry you observe that Lot B and R depicted in the said Survey Plan are sub-divisions of Lot 1 containing in extent of One Rood and 10 Perches depicted in Partition Plan No. 567 dated 4th April 1998 also made by Anil Silva Licensed Surveyor (herein after referred to as the Original land). 1. The Original Land was allotted to one Alfred Almeida by Final Decree in the District Court of Colombo Partition case No. 1256/P and subsequently by Survey Plan 1125 made by Anil Silva Licensed surveyor sub-divided the said Lot 1 into 4 allotments of land marked A,B,C.and R. and by Deed of Transfer No. 234 dated 23rd March 2015 attested by Walter de Silva Notary Public sold Lot B together with undivided 1/3rd share of the Road Reservation marked Lot R to Sunil Peiris. 2. Sunil Peiris had died Intestate without children on 6th December 2016 leaving behind his widow Kusum Peiris. His estate was duly Administered in District Court Testamentary Case No. 345/16/T and proceedings terminated on 7th May 2018.On examining the Testamentary Case it was observed that the father of Sunil Peiris one Charles Peiris had pre-deceased him leaving behind 2 children named Upul and Wimal by his 1st marriage to Kamala Peiris and three children named Sunil, Kanthi and Manel by his 2nd marriage to Pushpa Peiris. Pushpa Peiris was alive and she too had a child by her 1st marriage to Lal Perera named Keerthi Perera and three children named Sunil, Kanthi and Manel by her 2nd marriage to Charles Peiris.
QUESTION
Set out the shares owned by each of the present heirs.
AGENT ISSUE LIST
- ISS-M068-Q02-01: What share the widow Kusum Peiris takes in Lot B and in the undivided one-third share of Lot R.
- ISS-M068-Q02-02: How the remaining half devolves where the intestate left no descendants, a surviving mother and a predeceased father.
- ISS-M068-Q02-03: Which half-siblings qualify, and in particular whether Keerthi Perera, related only through the surviving mother, takes anything.
- ISS-M068-Q02-04: How the collateral portion is divided between the full sisters and the paternal half-brothers.
AGENT AUTHORITY VIEW: statute_only</t>
        </is>
      </c>
      <c r="E40" s="32" t="inlineStr">
        <is>
          <t>(no enrichment; the original background is used as is)</t>
        </is>
      </c>
      <c r="F40" s="21" t="n"/>
      <c r="G40" s="21" t="n"/>
      <c r="H40" s="21" t="n"/>
      <c r="I40" s="21" t="n"/>
      <c r="J40" s="21" t="n"/>
      <c r="K40" s="21" t="n"/>
      <c r="L40" s="21" t="n"/>
      <c r="M40" s="21" t="n"/>
      <c r="N40" s="21" t="n"/>
      <c r="O40" s="21" t="n"/>
      <c r="P40" s="21" t="n"/>
      <c r="Q40" s="32">
        <f>IF(B40="","",IF(AND(F40&lt;&gt;"",G40&lt;&gt;"",H40&lt;&gt;"",I40&lt;&gt;"",K40&lt;&gt;"",L40&lt;&gt;"",M40&lt;&gt;"",O40&lt;&gt;""),"Complete","Pending"))</f>
        <v/>
      </c>
    </row>
    <row r="41">
      <c r="A41" s="19" t="inlineStr">
        <is>
          <t>M071</t>
        </is>
      </c>
      <c r="B41" s="19" t="inlineStr">
        <is>
          <t>M071-Q01</t>
        </is>
      </c>
      <c r="C41" s="32" t="inlineStr">
        <is>
          <t>2020-04</t>
        </is>
      </c>
      <c r="D41" s="32" t="inlineStr">
        <is>
          <t>BACKGROUND
Nimal Perera is a Notary practicing in Colombo. Waruna Liyanage a client of his said that his father who is very sick and bed ridden living in Kandy wishes to execute a Partition Deed by himself together with his two brothers and wanted Nimal Perera to attest it. A Notary in Kandy is willing to visit the bed ridden father and get it executed by him. The other two brothers are willing to come to Colombo to execute it before Nimal Perera.
QUESTION
What are the rules set out in the Notaries Ordinance in a situation like this?
AGENT ISSUE LIST
- ISS-M071-Q01-01: Whether a Colombo notary may attest a partition deed in respect of a signature placed in Kandy before a different notary, given the requirement that the executant and witnesses sign in the attesting notary's presence.
- ISS-M071-Q01-02: Whether the Notaries Ordinance permits one deed to be executed before two notaries at different times and places, and how the attestation, dating, numbering, protocol and duplicate duties are then divided.
- ISS-M071-Q01-03: Whether the Colombo notary could instead travel to Kandy and attest the bedridden father's execution there.
AGENT AUTHORITY VIEW: statute_only</t>
        </is>
      </c>
      <c r="E41" s="32" t="inlineStr">
        <is>
          <t>(no enrichment; the original background is used as is)</t>
        </is>
      </c>
      <c r="F41" s="21" t="n"/>
      <c r="G41" s="21" t="n"/>
      <c r="H41" s="21" t="n"/>
      <c r="I41" s="21" t="n"/>
      <c r="J41" s="21" t="n"/>
      <c r="K41" s="21" t="n"/>
      <c r="L41" s="21" t="n"/>
      <c r="M41" s="21" t="n"/>
      <c r="N41" s="21" t="n"/>
      <c r="O41" s="21" t="n"/>
      <c r="P41" s="21" t="n"/>
      <c r="Q41" s="32">
        <f>IF(B41="","",IF(AND(F41&lt;&gt;"",G41&lt;&gt;"",H41&lt;&gt;"",I41&lt;&gt;"",K41&lt;&gt;"",L41&lt;&gt;"",M41&lt;&gt;"",O41&lt;&gt;""),"Complete","Pending"))</f>
        <v/>
      </c>
    </row>
    <row r="42">
      <c r="A42" s="19" t="inlineStr">
        <is>
          <t>M078</t>
        </is>
      </c>
      <c r="B42" s="19" t="inlineStr">
        <is>
          <t>M078-Q01</t>
        </is>
      </c>
      <c r="C42" s="32" t="inlineStr">
        <is>
          <t>2020-04</t>
        </is>
      </c>
      <c r="D42" s="32" t="inlineStr">
        <is>
          <t>BACKGROUND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
QUESTION
Kamal seeks your advice. Advise him.
AGENT ISSUE LIST
- ISS-M078-Q01-01: Whether the Indenture of Lease granted to Jayantha de Siva and the mortgage bond in favour of the Lending Institution are instruments affecting the Nugegoda land, so that their ranking is governed by the Registration of Documents Ordinance.
- ISS-M078-Q01-02: Whether the mortgage bond, executed after the lease, can nevertheless take priority over the lease, and on what condition.
- ISS-M078-Q01-03: What Kamal Perera and the Lending Institution must do in the land registry to obtain and protect that priority, and what Kamal can lawfully promise the Lending Institution if the lease has already been registered.
AGENT AUTHORITY VIEW: statute_only</t>
        </is>
      </c>
      <c r="E42" s="32" t="inlineStr">
        <is>
          <t>(no enrichment; the original background is used as is)</t>
        </is>
      </c>
      <c r="F42" s="21" t="n"/>
      <c r="G42" s="21" t="n"/>
      <c r="H42" s="21" t="n"/>
      <c r="I42" s="21" t="n"/>
      <c r="J42" s="21" t="n"/>
      <c r="K42" s="21" t="n"/>
      <c r="L42" s="21" t="n"/>
      <c r="M42" s="21" t="n"/>
      <c r="N42" s="21" t="n"/>
      <c r="O42" s="21" t="n"/>
      <c r="P42" s="21" t="n"/>
      <c r="Q42" s="32">
        <f>IF(B42="","",IF(AND(F42&lt;&gt;"",G42&lt;&gt;"",H42&lt;&gt;"",I42&lt;&gt;"",K42&lt;&gt;"",L42&lt;&gt;"",M42&lt;&gt;"",O42&lt;&gt;""),"Complete","Pending"))</f>
        <v/>
      </c>
    </row>
    <row r="43">
      <c r="A43" s="19" t="inlineStr">
        <is>
          <t>M078</t>
        </is>
      </c>
      <c r="B43" s="19" t="inlineStr">
        <is>
          <t>M078-Q04</t>
        </is>
      </c>
      <c r="C43" s="32" t="inlineStr">
        <is>
          <t>2020-04</t>
        </is>
      </c>
      <c r="D43" s="32" t="inlineStr">
        <is>
          <t>BACKGROUND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
QUESTION
Who should pay the Stamp duty for this Mortgage Bond and to whom should it be paid? What is the procedure?
AGENT ISSUE LIST
- ISS-M078-Q04-01: Who is liable to pay the stamp duty on the Mortgage Bond, and whether that liability can be displaced by agreement between Kamal Perera and the Lending Institution.
- ISS-M078-Q04-02: To whom the duty on a mortgage bond over immovable property is paid, given that the house is in the Western Province.
- ISS-M078-Q04-03: What the procedure is: when the duty must be paid, how payment is evidenced on the instrument, what the notary must do before attesting, and what follows if the bond is insufficiently stamped.
AGENT AUTHORITY VIEW: statute_only</t>
        </is>
      </c>
      <c r="E43" s="32" t="inlineStr">
        <is>
          <t>(no enrichment; the original background is used as is)</t>
        </is>
      </c>
      <c r="F43" s="21" t="n"/>
      <c r="G43" s="21" t="n"/>
      <c r="H43" s="21" t="n"/>
      <c r="I43" s="21" t="n"/>
      <c r="J43" s="21" t="n"/>
      <c r="K43" s="21" t="n"/>
      <c r="L43" s="21" t="n"/>
      <c r="M43" s="21" t="n"/>
      <c r="N43" s="21" t="n"/>
      <c r="O43" s="21" t="n"/>
      <c r="P43" s="21" t="n"/>
      <c r="Q43" s="32">
        <f>IF(B43="","",IF(AND(F43&lt;&gt;"",G43&lt;&gt;"",H43&lt;&gt;"",I43&lt;&gt;"",K43&lt;&gt;"",L43&lt;&gt;"",M43&lt;&gt;"",O43&lt;&gt;""),"Complete","Pending"))</f>
        <v/>
      </c>
    </row>
    <row r="44">
      <c r="A44" s="19" t="inlineStr">
        <is>
          <t>M079</t>
        </is>
      </c>
      <c r="B44" s="19" t="inlineStr">
        <is>
          <t>M079-Q02</t>
        </is>
      </c>
      <c r="C44" s="32" t="inlineStr">
        <is>
          <t>2019-10</t>
        </is>
      </c>
      <c r="D44" s="32" t="inlineStr">
        <is>
          <t>BACKGROUND
By a Final Decree dated 3rd September 2006 entered in DC Negambo Partition Action No. 321/P premises No. 3/2 Alwis Town, Hendala depicted as Lot 5 in Plan No. 213 dated 5th March 2006 made by H.S. Weerasena Licensed Surveyor in extent of 36 perches was allotted to one Albert Perera. By Deed of Gift No.675 dated 2nd June 2008 attested by G.N.de Silva Notary Public the said Albert Perera gifted the above Lot 5 in extent of 36 perches to his daughter Kusum Perera. The said Kusum Perera caused the said Lot 5 to be subdivided into. 2 Lots depicted as Lot 5A and 5B (bearing Assessment Nos. 3/2A and 3/2B) in Plan No. 225 dated 3rd June 2009 made by the same surveyor each containing 18 perches and executed a Last will No.980 dated 6th April 2010 attested by G.N.de Silva Notary Public. She died on 23rd May 2012 and her Will was proved in DC Negambo Case No. 456/DTS on 10th March 2013. By the said Last Will she left Lot 5A to her son Gayan Peiris and Lot 5B to her daughter Malika Peiris and an Executors Conveyance was executed by the Executor at the conclusion of the case. In 2014 Gayan Peiris was a minor who was 15 years old and his sister Malika Peiris was 20 years old decided to sell the property to Mrs. Mala Nadaraja and accordingly sold both lots 5A and 5B to her by Deed of Transfer No. 1234 dated 1st August 2014 attested by Alex Perera Notary Public. Mrs. Mala Nadaraja who was governed by the Law of Thesawalamai sold Lot 5A to Nihal &amp; Company by Deed of Transfer 456 dated 3rd February 2015 attested by W.N. de Silva Notary Public .The husband of Mrs. Mala Nadaraja, Moahan Nadaraja was living at that time. After his death Mrs. Mala Nadarja sold lot 5B to Lalith Perera by Deed of Transfer No. 789 dated 5th April 2017 attested by Gamini Peiris Notary Public. The said Lalith Perera died intestate on 2nd March 2018 leaving as his intestate heirs his wife Kamani and two children Hasini and Kushan. The Estate was administered and letters of Administration was issued in DC Colombo Case No. 1579/DTS and an Administrators Conveyance was executed by the Administrator. Kamani was previously married and was having a daughter named Ruvini who was living with her. Kamani gifted her share to all three children.
QUESTION
What are the shares presently owned by each heir to the property bearing assessment No. 3/2B.
AGENT ISSUE LIST
- ISS-M079-Q02-01: Which law governs intestate succession to Lot 5B, being immovable property in Sri Lanka left by Lalith Perera on his death on 2 March 2018?
- ISS-M079-Q02-02: What shares did Kamani, Hasini and Kushan take in Lot 5B on that intestacy?
- ISS-M079-Q02-03: What is the effect of Kamani's gift of her share to her three children, including Ruvini, who is her daughter by an earlier marriage and not an heir of Lalith Perera?
AGENT AUTHORITY VIEW: statute_only</t>
        </is>
      </c>
      <c r="E44" s="32" t="inlineStr">
        <is>
          <t>(no enrichment; the original background is used as is)</t>
        </is>
      </c>
      <c r="F44" s="21" t="n"/>
      <c r="G44" s="21" t="n"/>
      <c r="H44" s="21" t="n"/>
      <c r="I44" s="21" t="n"/>
      <c r="J44" s="21" t="n"/>
      <c r="K44" s="21" t="n"/>
      <c r="L44" s="21" t="n"/>
      <c r="M44" s="21" t="n"/>
      <c r="N44" s="21" t="n"/>
      <c r="O44" s="21" t="n"/>
      <c r="P44" s="21" t="n"/>
      <c r="Q44" s="32">
        <f>IF(B44="","",IF(AND(F44&lt;&gt;"",G44&lt;&gt;"",H44&lt;&gt;"",I44&lt;&gt;"",K44&lt;&gt;"",L44&lt;&gt;"",M44&lt;&gt;"",O44&lt;&gt;""),"Complete","Pending"))</f>
        <v/>
      </c>
    </row>
    <row r="45">
      <c r="A45" s="19" t="inlineStr">
        <is>
          <t>M080</t>
        </is>
      </c>
      <c r="B45" s="19" t="inlineStr">
        <is>
          <t>M080-Q01</t>
        </is>
      </c>
      <c r="C45" s="32" t="inlineStr">
        <is>
          <t>2019-10</t>
        </is>
      </c>
      <c r="D45" s="32" t="inlineStr">
        <is>
          <t>BACKGROUND
A Deed of Gift States that it is absolute and irrevocable.
QUESTION
Could it be revoked?
AGENT ISSUE LIST
- ISS-M080-Q01-01: Whether a recital in a deed of gift that the gift is absolute and irrevocable prevents the gift from being revoked at all.
- ISS-M080-Q01-02: If revocation is possible, on what ground, at whose instance and by what mode it may be effected, and whether the donor can revoke by his own act.
- ISS-M080-Q01-03: Whether the revocation action is open in time, measured both from the execution of the deed and from the date the cause of action arose.
- ISS-M080-Q01-04: What must accompany the plaint in such an action and what procedure governs it.
AGENT AUTHORITY VIEW: statute_only</t>
        </is>
      </c>
      <c r="E45" s="32" t="inlineStr">
        <is>
          <t>ENRICHED BACKGROUND
By a Deed of Gift bearing No. 2418 dated 12 March 2018, attested by a notary public at Kadawatha, Wimalasena Perera, a retired schoolmaster of Kadawatha, gifted to his nephew Chandana Perera the land and two-storeyed dwelling house called Sirisara Watta, eighteen perches in extent, situated at Kadawatha in the District of Gampaha. The deed was registered in the Gampaha land registry on 3 April 2018. The deed states that it is absolute and irrevocable, and no life interest, fiduciary interest or right of residence was reserved in it. After the gift Wimalasena, who is now seventy-four, continued to live in the house with his nephew's agreement. From February 2019 Chandana stopped supplying the donor with food and medicine, and in the course of a quarrel over the property he assaulted him. On 20 May 2019 he locked the donor out of the house and had the donor's belongings removed to a relative's home, where the donor has lived since. In October 2019 Wimalasena instructs an attorney-at-law that he wishes to have the gift undone. Chandana refuses to join in any cancellation of the deed and denies that he has done anything wrong.
ADDED FACTS
- FACT-M080-Q01-001 [synthetic_neutral]: The donor is Wimalasena Perera, a retired schoolmaster of Kadawatha; the donee is his nephew Chandana Perera.
- FACT-M080-Q01-002 [synthetic_neutral]: The subject matter is the land and two-storeyed dwelling house called Sirisara Watta, eighteen perches in extent, at Kadawatha in the District of Gampaha.
- FACT-M080-Q01-003 [synthetic_decisive]: The deed bears No. 2418, was executed on 12 March 2018 before a notary public, and was registered in the Gampaha land registry on 3 April 2018.
- FACT-M080-Q01-004 [synthetic_decisive]: From February 2019 the donee stopped supplying the elderly donor with food and medicine, assaulted him during a quarrel over the property, and on 20 May 2019 locked him out of the gifted house and had his belongings removed.
- FACT-M080-Q01-005 [synthetic_decisive]: The eviction on 20 May 2019 is the latest act complained of, the donor instructs an attorney-at-law in October 2019, and the donee refuses to join in any cancellation of the deed.</t>
        </is>
      </c>
      <c r="F45" s="21" t="n"/>
      <c r="G45" s="21" t="n"/>
      <c r="H45" s="21" t="n"/>
      <c r="I45" s="21" t="n"/>
      <c r="J45" s="21" t="n"/>
      <c r="K45" s="21" t="n"/>
      <c r="L45" s="21" t="n"/>
      <c r="M45" s="21" t="n"/>
      <c r="N45" s="21" t="n"/>
      <c r="O45" s="21" t="n"/>
      <c r="P45" s="21" t="n"/>
      <c r="Q45" s="32">
        <f>IF(B45="","",IF(AND(F45&lt;&gt;"",G45&lt;&gt;"",H45&lt;&gt;"",I45&lt;&gt;"",K45&lt;&gt;"",L45&lt;&gt;"",M45&lt;&gt;"",O45&lt;&gt;""),"Complete","Pending"))</f>
        <v/>
      </c>
    </row>
    <row r="46">
      <c r="A46" s="19" t="inlineStr">
        <is>
          <t>M081</t>
        </is>
      </c>
      <c r="B46" s="19" t="inlineStr">
        <is>
          <t>M081-Q01</t>
        </is>
      </c>
      <c r="C46" s="32" t="inlineStr">
        <is>
          <t>2019-10</t>
        </is>
      </c>
      <c r="D46" s="32" t="inlineStr">
        <is>
          <t>BACKGROUND
In 1978 March Nimal Perera had purchased a land in extent of 26 Perches situated in Kohuwala for Rs.120,000/- and constructed a house on it. The cost of construction of the house was Rs. 2,900,000/- He wishes to gift this house and land to his son Aruna and instructs you to prepare a Deed of Gift. The present market value of the house and property is Rs.5,700,000/-
QUESTION
How would an Assessor attached to the Western Provincial Council arrive at the value of the property for the purposes of Stamp duty in this Deed of Gift?
AGENT ISSUE LIST
- ISS-M081-Q01-01: Whether a Deed of Gift of land and a house in Kohuwala falls within the Western Provincial Council's stamp duty charge, so that a Provincial Assessor of Revenue values it.
- ISS-M081-Q01-02: What 'value' the Assessor must ascertain for gifted immovable property, and which limb of the statutory definition applies where the donor acquired the property in March 1978.
- ISS-M081-Q01-03: How the cost of the house built after acquisition and the present market value of the whole property enter that computation.
AGENT AUTHORITY VIEW: statute_only</t>
        </is>
      </c>
      <c r="E46" s="32" t="inlineStr">
        <is>
          <t>(no enrichment; the original background is used as is)</t>
        </is>
      </c>
      <c r="F46" s="21" t="n"/>
      <c r="G46" s="21" t="n"/>
      <c r="H46" s="21" t="n"/>
      <c r="I46" s="21" t="n"/>
      <c r="J46" s="21" t="n"/>
      <c r="K46" s="21" t="n"/>
      <c r="L46" s="21" t="n"/>
      <c r="M46" s="21" t="n"/>
      <c r="N46" s="21" t="n"/>
      <c r="O46" s="21" t="n"/>
      <c r="P46" s="21" t="n"/>
      <c r="Q46" s="32">
        <f>IF(B46="","",IF(AND(F46&lt;&gt;"",G46&lt;&gt;"",H46&lt;&gt;"",I46&lt;&gt;"",K46&lt;&gt;"",L46&lt;&gt;"",M46&lt;&gt;"",O46&lt;&gt;""),"Complete","Pending"))</f>
        <v/>
      </c>
    </row>
    <row r="47">
      <c r="A47" s="19" t="inlineStr">
        <is>
          <t>M084</t>
        </is>
      </c>
      <c r="B47" s="19" t="inlineStr">
        <is>
          <t>M084-Q01</t>
        </is>
      </c>
      <c r="C47" s="32" t="inlineStr">
        <is>
          <t>2019-10</t>
        </is>
      </c>
      <c r="D47" s="32" t="inlineStr">
        <is>
          <t>BACKGROUND
The Notary does not know the executant but he is well known to one of the witnesses. This witness is the Notary's own brother.
QUESTION
Could the Notary attest the deed?
AGENT ISSUE LIST
- ISS-M084-Q01-01: Whether a notary who does not himself know the executant may attest the deed when only one of the two attesting witnesses is well acquainted with the executant.
- ISS-M084-Q01-02: Whether an attesting witness who is the notary's own brother is disqualified from attesting, or bars the notary from attesting the deed.
- ISS-M084-Q01-03: Which text of rule (9) of section 31 governs a deed attested in October 2019, given the substitutions made in 2022 and 2024.
AGENT AUTHORITY VIEW: statute_only</t>
        </is>
      </c>
      <c r="E47" s="32" t="inlineStr">
        <is>
          <t>ENRICHED BACKGROUND
Mr. K. A. Dharmasena is a notary public authorised to practise in Sinhala in the Colombo judicial zone. On 12 October 2019 Mr. Sunil Rajapaksha comes to his office and asks him to attest a deed of transfer, drawn by the notary himself, by which Mr. Rajapaksha transfers to Ms. Nirmali Fernando an allotment of land at Maharagama; Mr. Rajapaksha produces the title deed by which he bought the land. He brings two persons with him to sign as attesting witnesses. The Notary does not know the executant but he is well known to one of the witnesses. This witness is the Notary's own brother, Mr. P. A. Dharmasena, a retired schoolmaster of good repute who has lived next door to Mr. Rajapaksha for many years and can state his full name, his occupation and his address. The second witness is a clerk from the shop next to the notary's office who had never met Mr. Rajapaksha before that morning and cannot say what his occupation or his residence is. Mr. Rajapaksha produces no identity card, passport or driving licence. The notary is not a party to the deed and has no interest in the land.
ADDED FACTS
- FACT-M084-Q01-001 [synthetic_neutral]: The notary is Mr. K. A. Dharmasena, practising in Sinhala in the Colombo judicial zone; the executant is Mr. Sunil Rajapaksha; the transferee is Ms. Nirmali Fernando; the instrument is a deed of transfer of an allotment of land at Maharagama, presented for attestation on 12 October 2019, and the executant produces the title deed under which he bought the land.
- FACT-M084-Q01-002 [synthetic_neutral]: The witness who is the notary's brother, Mr. P. A. Dharmasena, is a retired schoolmaster of good repute, has lived next door to the executant for many years, and can state the executant's proper name, occupation and residence.
- FACT-M084-Q01-003 [synthetic_decisive]: The second attesting witness is a clerk from the shop next to the notary's office who had never met the executant before that morning and cannot say what the executant's occupation or residence is.
- FACT-M084-Q01-004 [synthetic_neutral]: The executant produces no national identity card, passport or driving licence to the notary.
- FACT-M084-Q01-005 [synthetic_neutral]: The notary is not a party to the deed and has no interest in the land transferred.</t>
        </is>
      </c>
      <c r="F47" s="21" t="n"/>
      <c r="G47" s="21" t="n"/>
      <c r="H47" s="21" t="n"/>
      <c r="I47" s="21" t="n"/>
      <c r="J47" s="21" t="n"/>
      <c r="K47" s="21" t="n"/>
      <c r="L47" s="21" t="n"/>
      <c r="M47" s="21" t="n"/>
      <c r="N47" s="21" t="n"/>
      <c r="O47" s="21" t="n"/>
      <c r="P47" s="21" t="n"/>
      <c r="Q47" s="32">
        <f>IF(B47="","",IF(AND(F47&lt;&gt;"",G47&lt;&gt;"",H47&lt;&gt;"",I47&lt;&gt;"",K47&lt;&gt;"",L47&lt;&gt;"",M47&lt;&gt;"",O47&lt;&gt;""),"Complete","Pending"))</f>
        <v/>
      </c>
    </row>
    <row r="48">
      <c r="A48" s="19" t="inlineStr">
        <is>
          <t>M087</t>
        </is>
      </c>
      <c r="B48" s="19" t="inlineStr">
        <is>
          <t>M087-Q01</t>
        </is>
      </c>
      <c r="C48" s="32" t="inlineStr">
        <is>
          <t>2019-04</t>
        </is>
      </c>
      <c r="D48" s="32" t="inlineStr">
        <is>
          <t>BACKGROUND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
QUESTION
Draw up the Pedigree indicating the devolution of title of Kanthi Perera's Estate upto the present owners as set out above.
AGENT ISSUE LIST
- ISS-M087-Q01-01: What property formed part of Kanthi Perera's intestate estate at her death on 1st September 2014, given the 2005 gift of Lot 1 subject to a reserved life interest.
- ISS-M087-Q01-02: How Kanthi Perera's intestate estate devolves between her surviving husband Kamal De Silva and her three children Amali, Anusha and Anuk.
- ISS-M087-Q01-03: How Amali Perera's inherited share devolves on her death intestate and issueless about a month later, leaving a surviving husband, no living parent, and two half-blood siblings on her mother's side.
- ISS-M087-Q01-04: What effect the Administrator's Conveyance of 3rd December 2015 and Kamal De Silva's subsequent gift of his share to his two children have on the pedigree.
AGENT AUTHORITY VIEW: statute_only</t>
        </is>
      </c>
      <c r="E48" s="32" t="inlineStr">
        <is>
          <t>(no enrichment; the original background is used as is)</t>
        </is>
      </c>
      <c r="F48" s="21" t="n"/>
      <c r="G48" s="21" t="n"/>
      <c r="H48" s="21" t="n"/>
      <c r="I48" s="21" t="n"/>
      <c r="J48" s="21" t="n"/>
      <c r="K48" s="21" t="n"/>
      <c r="L48" s="21" t="n"/>
      <c r="M48" s="21" t="n"/>
      <c r="N48" s="21" t="n"/>
      <c r="O48" s="21" t="n"/>
      <c r="P48" s="21" t="n"/>
      <c r="Q48" s="32">
        <f>IF(B48="","",IF(AND(F48&lt;&gt;"",G48&lt;&gt;"",H48&lt;&gt;"",I48&lt;&gt;"",K48&lt;&gt;"",L48&lt;&gt;"",M48&lt;&gt;"",O48&lt;&gt;""),"Complete","Pending"))</f>
        <v/>
      </c>
    </row>
    <row r="49">
      <c r="A49" s="19" t="inlineStr">
        <is>
          <t>M087</t>
        </is>
      </c>
      <c r="B49" s="19" t="inlineStr">
        <is>
          <t>M087-Q03</t>
        </is>
      </c>
      <c r="C49" s="32" t="inlineStr">
        <is>
          <t>2019-04</t>
        </is>
      </c>
      <c r="D49" s="32" t="inlineStr">
        <is>
          <t>BACKGROUND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
QUESTION
What are the shares presently owned by each heir in the property?
AGENT ISSUE LIST
- ISS-M087-Q03-01: What fractions of Lots 2 and 3 of Plan No. 567 each heir took on Kanthi Perera's intestacy.
- ISS-M087-Q03-02: How Amali Perera's one sixth was redistributed on her own intestacy between her surviving husband and her half-blood siblings.
- ISS-M087-Q03-03: What each heir owns today once Kamal De Silva's gift of his inherited half to Anusha and Anuk is taken into account.
AGENT AUTHORITY VIEW: statute_only</t>
        </is>
      </c>
      <c r="E49" s="32" t="inlineStr">
        <is>
          <t>(no enrichment; the original background is used as is)</t>
        </is>
      </c>
      <c r="F49" s="21" t="n"/>
      <c r="G49" s="21" t="n"/>
      <c r="H49" s="21" t="n"/>
      <c r="I49" s="21" t="n"/>
      <c r="J49" s="21" t="n"/>
      <c r="K49" s="21" t="n"/>
      <c r="L49" s="21" t="n"/>
      <c r="M49" s="21" t="n"/>
      <c r="N49" s="21" t="n"/>
      <c r="O49" s="21" t="n"/>
      <c r="P49" s="21" t="n"/>
      <c r="Q49" s="32">
        <f>IF(B49="","",IF(AND(F49&lt;&gt;"",G49&lt;&gt;"",H49&lt;&gt;"",I49&lt;&gt;"",K49&lt;&gt;"",L49&lt;&gt;"",M49&lt;&gt;"",O49&lt;&gt;""),"Complete","Pending"))</f>
        <v/>
      </c>
    </row>
    <row r="50">
      <c r="A50" s="19" t="inlineStr">
        <is>
          <t>M098</t>
        </is>
      </c>
      <c r="B50" s="19" t="inlineStr">
        <is>
          <t>M098-Q02</t>
        </is>
      </c>
      <c r="C50" s="32" t="inlineStr">
        <is>
          <t>2018-10</t>
        </is>
      </c>
      <c r="D50" s="32" t="inlineStr">
        <is>
          <t>BACKGROUND
Lot 3 of the land called Mahatenna in extent of 30 perches in Plan No. 251 dated 5/7/1999 made by A.Samaranayaka Liscensed Surveyor is registered in the Homagama Land Registry under Vol/Folio A 350/25. The owner, sub divided Lot 3 into 2 lots namely Lots 34 and 3B as depicted in Plan No.255 dated 8/12/2000 made by the same Surveyor. He sold Lot 3A to Dininda Perera by Deed No.351 attested by Gamini Herath, Notary Public. Lot 3A was sold at a price of Rupees 7 million but the Commissioner of Revenue of the Western Provincial Council in his opinion of valuation for stamp duty, values the property at Rupees 7.5 million. Dininda Perera constructed a house on Lot 3A and Leased it out to Nimal Fernando for 2 years on a monthly rental of Rs. 75,000/-, He obtained 1 years rent as an advance to set off against 2nd years rent. When the Lease Agreement was submitted for registration the Land Registry informed that it could not be registered because the sub division of Lot 3A is wrongfully registered in the same folio as the original land (Lot 3) is registered namely in Vol/Folio A 350/25.
QUESTION
Write the procedure to follow to get this error corrected.
AGENT ISSUE LIST
- ISS-M098-Q02-01: Whether registering the divided Lot 3A in Vol/Folio A 350/25, the folio of the parent Lot 3, is an error or omission made in registering an instrument within section 35(1) of the Registration of Documents Ordinance.
- ISS-M098-Q02-02: What steps the Registration of Documents Ordinance requires to have that registration corrected, and which officer takes each step.
- ISS-M098-Q02-03: What effect the correction has on priorities accrued before it, and what happens where notice to a party to Deed No. 351 cannot be issued.
AGENT AUTHORITY VIEW: statute_only</t>
        </is>
      </c>
      <c r="E50" s="32" t="inlineStr">
        <is>
          <t>(no enrichment; the original background is used as is)</t>
        </is>
      </c>
      <c r="F50" s="21" t="n"/>
      <c r="G50" s="21" t="n"/>
      <c r="H50" s="21" t="n"/>
      <c r="I50" s="21" t="n"/>
      <c r="J50" s="21" t="n"/>
      <c r="K50" s="21" t="n"/>
      <c r="L50" s="21" t="n"/>
      <c r="M50" s="21" t="n"/>
      <c r="N50" s="21" t="n"/>
      <c r="O50" s="21" t="n"/>
      <c r="P50" s="21" t="n"/>
      <c r="Q50" s="32">
        <f>IF(B50="","",IF(AND(F50&lt;&gt;"",G50&lt;&gt;"",H50&lt;&gt;"",I50&lt;&gt;"",K50&lt;&gt;"",L50&lt;&gt;"",M50&lt;&gt;"",O50&lt;&gt;""),"Complete","Pending"))</f>
        <v/>
      </c>
    </row>
    <row r="51">
      <c r="A51" s="19" t="inlineStr">
        <is>
          <t>M106</t>
        </is>
      </c>
      <c r="B51" s="19" t="inlineStr">
        <is>
          <t>M106-Q01</t>
        </is>
      </c>
      <c r="C51" s="32" t="inlineStr">
        <is>
          <t>2018-04</t>
        </is>
      </c>
      <c r="D51" s="32" t="inlineStr">
        <is>
          <t>BACKGROUND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
QUESTION
Draw up the Pedigree showing the devolution of title from Nimal up to the present owners in respect of his Estate
AGENT ISSUE LIST
- ISS-M106-Q01-01: Which law governs the intestate devolution of Nimal's interest in the divided lots, and does it apply to this family?
- ISS-M106-Q01-02: What did Nimal own at his death, given the 1996 Final Decree allotment and the 1998 purchase of Aruni's share?
- ISS-M106-Q01-03: How is Nimal's estate split between his surviving spouse Nalini and his children, and does Achini, his daughter by a first wife, share in it?
- ISS-M106-Q01-04: Who inherits Nalini's estate, and is Achini included among her heirs?
- ISS-M106-Q01-05: How does the share of Bimal, who died issueless leaving a widow and with both parents predeceased, devolve between his widow, his full siblings and his half-sister?
AGENT AUTHORITY VIEW: statute_only</t>
        </is>
      </c>
      <c r="E51" s="32" t="inlineStr">
        <is>
          <t>(no enrichment; the original background is used as is)</t>
        </is>
      </c>
      <c r="F51" s="21" t="n"/>
      <c r="G51" s="21" t="n"/>
      <c r="H51" s="21" t="n"/>
      <c r="I51" s="21" t="n"/>
      <c r="J51" s="21" t="n"/>
      <c r="K51" s="21" t="n"/>
      <c r="L51" s="21" t="n"/>
      <c r="M51" s="21" t="n"/>
      <c r="N51" s="21" t="n"/>
      <c r="O51" s="21" t="n"/>
      <c r="P51" s="21" t="n"/>
      <c r="Q51" s="32">
        <f>IF(B51="","",IF(AND(F51&lt;&gt;"",G51&lt;&gt;"",H51&lt;&gt;"",I51&lt;&gt;"",K51&lt;&gt;"",L51&lt;&gt;"",M51&lt;&gt;"",O51&lt;&gt;""),"Complete","Pending"))</f>
        <v/>
      </c>
    </row>
    <row r="52">
      <c r="A52" s="19" t="inlineStr">
        <is>
          <t>M106</t>
        </is>
      </c>
      <c r="B52" s="19" t="inlineStr">
        <is>
          <t>M106-Q02</t>
        </is>
      </c>
      <c r="C52" s="32" t="inlineStr">
        <is>
          <t>2018-04</t>
        </is>
      </c>
      <c r="D52" s="32" t="inlineStr">
        <is>
          <t>BACKGROUND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
QUESTION
What are the shares presently owned by each heir in the Property?
AGENT ISSUE LIST
- ISS-M106-Q02-01: What fraction of the land formed Nimal's estate at his death?
- ISS-M106-Q02-02: What fractions did Nalini and each of the four children take from Nimal's estate?
- ISS-M106-Q02-03: What fractions did Amal, Bimal and Krishni take from Nalini's estate, and why is Achini excluded?
- ISS-M106-Q02-04: How is Bimal's fraction apportioned between Amali, the full siblings and the paternal half-sister under section 27?
- ISS-M106-Q02-05: What are the resulting shares of all present co-owners, including Sunil and Kusum whose shares were untouched?
AGENT AUTHORITY VIEW: statute_only</t>
        </is>
      </c>
      <c r="E52" s="32" t="inlineStr">
        <is>
          <t>(no enrichment; the original background is used as is)</t>
        </is>
      </c>
      <c r="F52" s="21" t="n"/>
      <c r="G52" s="21" t="n"/>
      <c r="H52" s="21" t="n"/>
      <c r="I52" s="21" t="n"/>
      <c r="J52" s="21" t="n"/>
      <c r="K52" s="21" t="n"/>
      <c r="L52" s="21" t="n"/>
      <c r="M52" s="21" t="n"/>
      <c r="N52" s="21" t="n"/>
      <c r="O52" s="21" t="n"/>
      <c r="P52" s="21" t="n"/>
      <c r="Q52" s="32">
        <f>IF(B52="","",IF(AND(F52&lt;&gt;"",G52&lt;&gt;"",H52&lt;&gt;"",I52&lt;&gt;"",K52&lt;&gt;"",L52&lt;&gt;"",M52&lt;&gt;"",O52&lt;&gt;""),"Complete","Pending"))</f>
        <v/>
      </c>
    </row>
    <row r="53">
      <c r="A53" s="19" t="inlineStr">
        <is>
          <t>M108</t>
        </is>
      </c>
      <c r="B53" s="19" t="inlineStr">
        <is>
          <t>M108-Q01</t>
        </is>
      </c>
      <c r="C53" s="32" t="inlineStr">
        <is>
          <t>2018-04</t>
        </is>
      </c>
      <c r="D53" s="32" t="inlineStr">
        <is>
          <t>BACKGROUND
Rehan de Silva is the owner of 2 Condominium properties. His brother Gihan de Silva intends to prepare a Deed of Declaration claiming 1/2 of the property, where the Condominium is situated and register the Deed under the Registration of Documents Ordinance.
QUESTION
Can he execute and register such a Deed?
AGENT ISSUE LIST
- ISS-M108-Q01-01: Whether a person who owns no condominium parcel can, by a unilateral Deed of Declaration, acquire or assert an undivided half share in the land parcel on which a registered condominium stands, that land being common elements.
- ISS-M108-Q01-02: Whether such a Deed of Declaration is an instrument that may be executed and presented for registration under the Registration of Documents Ordinance, and what registration would achieve if it were accepted.
- ISS-M108-Q01-03: Whether the Apartment Ownership Law or the Registration of Documents Ordinance governs where the two conflict.
AGENT AUTHORITY VIEW: statute_only</t>
        </is>
      </c>
      <c r="E53" s="32" t="inlineStr">
        <is>
          <t>ENRICHED BACKGROUND
Rehan de Silva is the owner of 2 Condominium properties. His brother Gihan de Silva intends to prepare a Deed of Declaration claiming 1/2 of the property, where the Condominium is situated and register the Deed under the Registration of Documents Ordinance.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Rehan de Silva is named in that registered plan as the owner of the whole land parcel and of the two condominium parcels he holds, Units 2B and 4A, and no share of the land parcel has at any time been transferred to Gihan. A management corporation for the building was constituted when the plan was registered, and it has passed no resolution about transferring any part of the land or of the shared areas to anyone.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
ADDED FACTS
- FACT-M108-Q01-001 [synthetic_decisive]: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 FACT-M108-Q01-002 [synthetic_decisive]: Rehan de Silva is named in that registered plan as the owner of the whole land parcel and of the two condominium parcels he holds, Units 2B and 4A, and no share of the land parcel has at any time been transferred to Gihan de Silva.
- FACT-M108-Q01-003 [synthetic_decisive]: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
- FACT-M108-Q01-004 [synthetic_neutral]: A management corporation for the building was constituted when the plan was registered and it has passed no resolution about transferring any part of the land or of the shared areas to anyone.</t>
        </is>
      </c>
      <c r="F53" s="21" t="n"/>
      <c r="G53" s="21" t="n"/>
      <c r="H53" s="21" t="n"/>
      <c r="I53" s="21" t="n"/>
      <c r="J53" s="21" t="n"/>
      <c r="K53" s="21" t="n"/>
      <c r="L53" s="21" t="n"/>
      <c r="M53" s="21" t="n"/>
      <c r="N53" s="21" t="n"/>
      <c r="O53" s="21" t="n"/>
      <c r="P53" s="21" t="n"/>
      <c r="Q53" s="32">
        <f>IF(B53="","",IF(AND(F53&lt;&gt;"",G53&lt;&gt;"",H53&lt;&gt;"",I53&lt;&gt;"",K53&lt;&gt;"",L53&lt;&gt;"",M53&lt;&gt;"",O53&lt;&gt;""),"Complete","Pending"))</f>
        <v/>
      </c>
    </row>
    <row r="54">
      <c r="A54" s="19" t="inlineStr">
        <is>
          <t>M112</t>
        </is>
      </c>
      <c r="B54" s="19" t="inlineStr">
        <is>
          <t>M112-Q01</t>
        </is>
      </c>
      <c r="C54" s="32" t="inlineStr">
        <is>
          <t>2018-04</t>
        </is>
      </c>
      <c r="D54" s="32" t="inlineStr">
        <is>
          <t>BACKGROUND
Lal Peiris is a Notary practicing in Colombo. Waruna Liyanage a friend of Lal Peiris wishes to purchase a house and property in Matara and wants it to be attested by Lal Peiris. The market value of the property is Rs.1,000,000/-
QUESTION
How can Lal Peiris attest this Deed?
AGENT ISSUE LIST
- ISS-M112-Q01-01: Whether the area restriction on a notary's practice bars a Colombo notary from attesting a deed of transfer of land situated in the Matara District, or whether it restricts only the place at which the act of attestation is performed.
- ISS-M112-Q01-02: How far the warrant of a notary who resides in Colombo extends, and what counts as the area in which he is authorised to practise.
- ISS-M112-Q01-03: Whether the notary's friendship with the purchaser disqualifies him from attesting the deed.
- ISS-M112-Q01-04: What the notary must do on the face of the deed, in particular as to language and the description of the land, in order to attest it lawfully.
AGENT AUTHORITY VIEW: statute_only</t>
        </is>
      </c>
      <c r="E54" s="32" t="inlineStr">
        <is>
          <t>ENRICHED BACKGROUND
Lal Peiris is a Notary practicing in Colombo. Waruna Liyanage a friend of Lal Peiris wishes to purchase a house and property in Matara and wants it to be attested by Lal Peiris. The market value of the property is Rs.1,000,000/-. Lal Peiris holds a notarial warrant authorising him to practise as a notary in the Sinhala language in the judicial division in which he resides, Colombo, and he lives and keeps his only notarial office at No. 42, Barnes Place, Colombo 07. The property Waruna Liyanage is buying is Lot 3 in Survey Plan No. 2214 dated 4 January 2016, fifteen perches in extent with a two-storeyed dwelling house standing on it, at Kumbalwella within the Matara Four Gravets in the Matara District of the Southern Province; the vendor is Nimal Wickramasinghe of Matara, who holds a clear paper title. The deed of transfer is drawn in Sinhala, and Nimal Wickramasinghe, Waruna Liyanage and two witnesses have arranged to come to Lal Peiris's Colombo office and to sign it there together, in one another's presence and in the presence of Lal Peiris, on 12 March 2018. Lal Peiris is neither the vendor nor the purchaser, takes nothing under the deed and has no interest of any kind in the Matara property; his only connection with the transaction is his friendship with Waruna Liyanage. Waruna Liyanage has told Lal Peiris that he will put him in funds for the stamps before the day of signing.
ADDED FACTS
- FACT-M112-Q01-001 [synthetic_decisive]: Lal Peiris holds a notarial warrant authorising him to practise as a notary in the Sinhala language in the judicial division in which he resides, Colombo, and he lives and keeps his only notarial office at No. 42, Barnes Place, Colombo 07.
- FACT-M112-Q01-002 [synthetic_neutral]: The property is Lot 3 in Survey Plan No. 2214 dated 4 January 2016, fifteen perches in extent with a two-storeyed dwelling house standing on it, at Kumbalwella within the Matara Four Gravets in the Matara District of the Southern Province, and the vendor is Nimal Wickramasinghe of Matara, who holds a clear paper title.
- FACT-M112-Q01-003 [synthetic_decisive]: The deed of transfer is drawn in Sinhala, and the vendor, Waruna Liyanage and two witnesses have arranged to sign it together at Lal Peiris's Colombo office, in one another's presence and in the presence of Lal Peiris, on 12 March 2018.
- FACT-M112-Q01-004 [synthetic_decisive]: Lal Peiris is neither the vendor nor the purchaser, takes nothing under the deed and has no interest of any kind in the Matara property; his only connection with the transaction is his friendship with Waruna Liyanage.</t>
        </is>
      </c>
      <c r="F54" s="21" t="n"/>
      <c r="G54" s="21" t="n"/>
      <c r="H54" s="21" t="n"/>
      <c r="I54" s="21" t="n"/>
      <c r="J54" s="21" t="n"/>
      <c r="K54" s="21" t="n"/>
      <c r="L54" s="21" t="n"/>
      <c r="M54" s="21" t="n"/>
      <c r="N54" s="21" t="n"/>
      <c r="O54" s="21" t="n"/>
      <c r="P54" s="21" t="n"/>
      <c r="Q54" s="32">
        <f>IF(B54="","",IF(AND(F54&lt;&gt;"",G54&lt;&gt;"",H54&lt;&gt;"",I54&lt;&gt;"",K54&lt;&gt;"",L54&lt;&gt;"",M54&lt;&gt;"",O54&lt;&gt;""),"Complete","Pending"))</f>
        <v/>
      </c>
    </row>
    <row r="55">
      <c r="A55" s="19" t="inlineStr">
        <is>
          <t>M112</t>
        </is>
      </c>
      <c r="B55" s="19" t="inlineStr">
        <is>
          <t>M112-Q02</t>
        </is>
      </c>
      <c r="C55" s="32" t="inlineStr">
        <is>
          <t>2018-04</t>
        </is>
      </c>
      <c r="D55" s="32" t="inlineStr">
        <is>
          <t>BACKGROUND
Lal Peiris is a Notary practicing in Colombo. Waruna Liyanage a friend of Lal Peiris wishes to purchase a house and property in Matara and wants it to be attested by Lal Peiris. The market value of the property is Rs.1,000,000/-
QUESTION
What is the duty cast on Lal Peiris regarding this Deed as the land is situated outside the District in which he resides?
AGENT ISSUE LIST
- ISS-M112-Q02-01: What a notary must deliver or transmit, to whom, and by when, where the deed he attests affects land situated in a district other than that in which he resides.
- ISS-M112-Q02-02: Whether that duty is in substitution for, or in addition to, the ordinary monthly duty to transmit the duplicate to the Registrar of Lands of the district in which the notary resides.
- ISS-M112-Q02-03: Whether the out-of-district duty is engaged on these facts, the notary residing in the Colombo District and the land lying in the Matara District.
AGENT AUTHORITY VIEW: statute_only</t>
        </is>
      </c>
      <c r="E55" s="32" t="inlineStr">
        <is>
          <t>ENRICHED BACKGROUND
Lal Peiris is a Notary practicing in Colombo. Waruna Liyanage a friend of Lal Peiris wishes to purchase a house and property in Matara and wants it to be attested by Lal Peiris. The market value of the property is Rs.1,000,000/-. Lal Peiris resides at No. 42, Barnes Place, Colombo 07, in the Colombo District, and that is where his notarial office is; the land registry that serves his district is the Colombo Land Registry. The property Waruna Liyanage is buying is Lot 3 in Survey Plan No. 2214, fifteen perches in extent with a two-storeyed dwelling house standing on it, at Kumbalwella within the Matara Four Gravets in the Matara District, which is served by the Matara Land Registry. The vendor is Nimal Wickramasinghe of Matara. The instrument is an ordinary deed of transfer, not a will or a codicil, and Lal Peiris is the only notary before whom it is executed. It is signed by the vendor, by Waruna Liyanage and by two witnesses in his presence at his Colombo office on 12 March 2018, and he enters it as No. 1147 in his protocol register.
ADDED FACTS
- FACT-M112-Q02-001 [synthetic_decisive]: Lal Peiris resides at No. 42, Barnes Place, Colombo 07, in the Colombo District, where his notarial office is, and the land registry that serves his district is the Colombo Land Registry.
- FACT-M112-Q02-002 [synthetic_decisive]: The land is Lot 3 in Survey Plan No. 2214, fifteen perches in extent with a two-storeyed dwelling house on it, at Kumbalwella within the Matara Four Gravets in the Matara District, which is served by the Matara Land Registry; the vendor is Nimal Wickramasinghe of Matara.
- FACT-M112-Q02-003 [synthetic_decisive]: The instrument is an ordinary deed of transfer and not a will or a codicil, Lal Peiris is the only notary before whom it is executed, it is signed by the vendor, the purchaser and two witnesses in his presence at his Colombo office on 12 March 2018, and he enters it as No. 1147 in his protocol register.</t>
        </is>
      </c>
      <c r="F55" s="21" t="n"/>
      <c r="G55" s="21" t="n"/>
      <c r="H55" s="21" t="n"/>
      <c r="I55" s="21" t="n"/>
      <c r="J55" s="21" t="n"/>
      <c r="K55" s="21" t="n"/>
      <c r="L55" s="21" t="n"/>
      <c r="M55" s="21" t="n"/>
      <c r="N55" s="21" t="n"/>
      <c r="O55" s="21" t="n"/>
      <c r="P55" s="21" t="n"/>
      <c r="Q55" s="32">
        <f>IF(B55="","",IF(AND(F55&lt;&gt;"",G55&lt;&gt;"",H55&lt;&gt;"",I55&lt;&gt;"",K55&lt;&gt;"",L55&lt;&gt;"",M55&lt;&gt;"",O55&lt;&gt;""),"Complete","Pending"))</f>
        <v/>
      </c>
    </row>
  </sheetData>
  <autoFilter ref="A5:Q55"/>
  <mergeCells count="2">
    <mergeCell ref="A3:Q3"/>
    <mergeCell ref="A2:Q2"/>
  </mergeCells>
  <conditionalFormatting sqref="Q6:Q55">
    <cfRule type="cellIs" priority="1" operator="equal" dxfId="8">
      <formula>"Complete"</formula>
    </cfRule>
    <cfRule type="cellIs" priority="2" operator="equal" dxfId="9">
      <formula>"Pending"</formula>
    </cfRule>
  </conditionalFormatting>
  <dataValidations count="8">
    <dataValidation sqref="F6:F55" showDropDown="0" showInputMessage="0" showErrorMessage="0" allowBlank="1" type="list">
      <formula1>"Yes,No,Unclear,Not applicable"</formula1>
    </dataValidation>
    <dataValidation sqref="G6:G55" showDropDown="0" showInputMessage="0" showErrorMessage="0" allowBlank="1" type="list">
      <formula1>"Yes,No,Unclear,Not applicable"</formula1>
    </dataValidation>
    <dataValidation sqref="H6:H55" showDropDown="0" showInputMessage="0" showErrorMessage="0" allowBlank="1" type="list">
      <formula1>"Yes,No,Unclear"</formula1>
    </dataValidation>
    <dataValidation sqref="I6:I55" showDropDown="0" showInputMessage="0" showErrorMessage="0" allowBlank="1" type="list">
      <formula1>"Yes,No,Unclear"</formula1>
    </dataValidation>
    <dataValidation sqref="J6:J55" showDropDown="0" showInputMessage="0" showErrorMessage="0" allowBlank="1" type="list">
      <formula1>"None,Case law,Common law,Regulations,Forms / practice,Multiple sources"</formula1>
    </dataValidation>
    <dataValidation sqref="K6:K55" showDropDown="0" showInputMessage="0" showErrorMessage="0" allowBlank="1" type="list">
      <formula1>"Approved,Corrections required,Rejected"</formula1>
    </dataValidation>
    <dataValidation sqref="N6:N55" showDropDown="0" showInputMessage="0" showErrorMessage="0" allowBlank="1" type="whole" operator="between">
      <formula1>0</formula1>
      <formula2>1440</formula2>
    </dataValidation>
    <dataValidation sqref="O6:O55" showDropDown="0" showInputMessage="0" showErrorMessage="0" allowBlank="1" type="whole" operator="between">
      <formula1>1</formula1>
      <formula2>5</formula2>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Q62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0" customWidth="1" min="3" max="3"/>
    <col width="18" customWidth="1" min="4" max="4"/>
    <col width="14" customWidth="1" min="5" max="5"/>
    <col width="26" customWidth="1" min="6" max="6"/>
    <col width="60" customWidth="1" min="7" max="7"/>
    <col width="30" customWidth="1" min="8" max="8"/>
    <col width="20" customWidth="1" min="9" max="9"/>
    <col width="60" customWidth="1" min="10" max="10"/>
    <col width="50" customWidth="1" min="11" max="11"/>
    <col width="20" customWidth="1" min="12" max="12"/>
    <col width="30" customWidth="1" min="13" max="13"/>
    <col width="22" customWidth="1" min="14" max="14"/>
    <col width="38" customWidth="1" min="15" max="15"/>
    <col width="16" customWidth="1" min="16" max="16"/>
    <col width="15" customWidth="1" min="17" max="17"/>
  </cols>
  <sheetData>
    <row r="2" ht="24" customHeight="1">
      <c r="A2" s="29" t="inlineStr">
        <is>
          <t>Statutory QA Lawyer Review - Provisions</t>
        </is>
      </c>
    </row>
    <row r="3" ht="48" customHeight="1">
      <c r="A3" s="5" t="inlineStr">
        <is>
          <t>Label every proposed provision. The agent's label, rationale and the verifier's note are shown for context; your label in the yellow column is the one that counts. Use Wrong citation only when the legal proposition may be relevant but the cited Act or section is incorrect; then complete both corrected-citation columns.</t>
        </is>
      </c>
    </row>
    <row r="4">
      <c r="A4" s="30" t="n"/>
      <c r="B4" s="30" t="n"/>
      <c r="C4" s="30" t="n"/>
      <c r="D4" s="30" t="n"/>
      <c r="E4" s="30" t="n"/>
      <c r="F4" s="30" t="n"/>
      <c r="G4" s="30" t="n"/>
      <c r="H4" s="30" t="n"/>
      <c r="I4" s="30" t="n"/>
      <c r="J4" s="30" t="n"/>
      <c r="K4" s="30" t="n"/>
      <c r="L4" s="30" t="n"/>
      <c r="M4" s="30" t="n"/>
      <c r="N4" s="30" t="n"/>
      <c r="O4" s="30" t="n"/>
    </row>
    <row r="5" ht="34" customHeight="1">
      <c r="A5" s="31" t="inlineStr">
        <is>
          <t>Question ID</t>
        </is>
      </c>
      <c r="B5" s="31" t="inlineStr">
        <is>
          <t>Provision ID</t>
        </is>
      </c>
      <c r="C5" s="31" t="inlineStr">
        <is>
          <t>Act / Instrument</t>
        </is>
      </c>
      <c r="D5" s="31" t="inlineStr">
        <is>
          <t>Section / Rule</t>
        </is>
      </c>
      <c r="E5" s="31" t="inlineStr">
        <is>
          <t>Reference Date</t>
        </is>
      </c>
      <c r="F5" s="31" t="inlineStr">
        <is>
          <t>Temporal Status</t>
        </is>
      </c>
      <c r="G5" s="31" t="inlineStr">
        <is>
          <t>Verbatim Excerpt</t>
        </is>
      </c>
      <c r="H5" s="31" t="inlineStr">
        <is>
          <t>Source Link</t>
        </is>
      </c>
      <c r="I5" s="31" t="inlineStr">
        <is>
          <t>Agent Proposed Label</t>
        </is>
      </c>
      <c r="J5" s="31" t="inlineStr">
        <is>
          <t>Agent Rationale</t>
        </is>
      </c>
      <c r="K5" s="31" t="inlineStr">
        <is>
          <t>Verifier Note</t>
        </is>
      </c>
      <c r="L5" s="31" t="inlineStr">
        <is>
          <t>Lawyer Label</t>
        </is>
      </c>
      <c r="M5" s="31" t="inlineStr">
        <is>
          <t>Corrected Act / Instrument</t>
        </is>
      </c>
      <c r="N5" s="31" t="inlineStr">
        <is>
          <t>Corrected Section / Rule</t>
        </is>
      </c>
      <c r="O5" s="31" t="inlineStr">
        <is>
          <t>Reviewer Notes</t>
        </is>
      </c>
      <c r="P5" s="31" t="inlineStr">
        <is>
          <t>Reviewer ID</t>
        </is>
      </c>
      <c r="Q5" s="31" t="inlineStr">
        <is>
          <t>Review Status</t>
        </is>
      </c>
    </row>
    <row r="6">
      <c r="A6" s="19" t="inlineStr">
        <is>
          <t>M001-Q03</t>
        </is>
      </c>
      <c r="B6" s="19" t="inlineStr">
        <is>
          <t>PROV-M001-010</t>
        </is>
      </c>
      <c r="C6" s="17" t="inlineStr">
        <is>
          <t>Land (Restrictions on Alienation) Act No. 38 of 2014</t>
        </is>
      </c>
      <c r="D6" s="17" t="inlineStr">
        <is>
          <t>s.1 (2)</t>
        </is>
      </c>
      <c r="E6" s="17" t="inlineStr">
        <is>
          <t>2026-04</t>
        </is>
      </c>
      <c r="F6" s="17" t="inlineStr">
        <is>
          <t>Current on reference date</t>
        </is>
      </c>
      <c r="G6" s="17" t="inlineStr">
        <is>
          <t>The provisions of this Act shall be deemed to have come into operation with effect from January 1, 2013.</t>
        </is>
      </c>
      <c r="H6" s="17" t="inlineStr">
        <is>
          <t>https://www.rgd.gov.lk/web/images/ActsPDF/notary/2014-38E.pdf</t>
        </is>
      </c>
      <c r="I6" s="17" t="inlineStr">
        <is>
          <t>Indispensable</t>
        </is>
      </c>
      <c r="J6" s="17" t="inlineStr">
        <is>
          <t>Fixes the temporal reach of the Act. Suresh died on 10 December 1995, so the Act cannot touch the devolution of his estate; the deaths of Rakitha in 2022 and Muditha in 2023 fall inside the operative period.
TEMPORAL: In force from 2014, deemed operative from 1 January 2013; in force at 2026-04.</t>
        </is>
      </c>
      <c r="K6" s="17" t="inlineStr">
        <is>
          <t>[verified]</t>
        </is>
      </c>
      <c r="L6" s="21" t="n"/>
      <c r="M6" s="21" t="n"/>
      <c r="N6" s="21" t="n"/>
      <c r="O6" s="21" t="n"/>
      <c r="P6" s="21" t="n"/>
      <c r="Q6" s="17">
        <f>IF(OR(A6="",B6=""),"",IF(AND(L6&lt;&gt;"",P6&lt;&gt;"",IF(L6="Wrong citation",AND(M6&lt;&gt;"",N6&lt;&gt;""),TRUE)),"Complete","Pending"))</f>
        <v/>
      </c>
    </row>
    <row r="7">
      <c r="A7" s="19" t="inlineStr">
        <is>
          <t>M001-Q03</t>
        </is>
      </c>
      <c r="B7" s="19" t="inlineStr">
        <is>
          <t>PROV-M001-011</t>
        </is>
      </c>
      <c r="C7" s="17" t="inlineStr">
        <is>
          <t>Land (Restrictions on Alienation) Act No. 38 of 2014</t>
        </is>
      </c>
      <c r="D7" s="17" t="inlineStr">
        <is>
          <t>s.2 (1)(a)</t>
        </is>
      </c>
      <c r="E7" s="17" t="inlineStr">
        <is>
          <t>2026-04</t>
        </is>
      </c>
      <c r="F7" s="17" t="inlineStr">
        <is>
          <t>Current on reference date</t>
        </is>
      </c>
      <c r="G7" s="17" t="inlineStr">
        <is>
          <t>Notwithstanding any provision to the contrary in any other written law, the transfer of title of any land situated in Sri Lanka, shall be prohibited if such transfer is- (a) to a foreigner;</t>
        </is>
      </c>
      <c r="H7" s="17" t="inlineStr">
        <is>
          <t>https://www.rgd.gov.lk/web/images/ActsPDF/notary/2014-38E.pdf</t>
        </is>
      </c>
      <c r="I7" s="17" t="inlineStr">
        <is>
          <t>Indispensable</t>
        </is>
      </c>
      <c r="J7" s="17" t="inlineStr">
        <is>
          <t>The prohibition Samantha would have to escape. It bites only on a transfer of title of land to a foreigner and is expressly subject to the exemptions in section 3.
TEMPORAL: In force from 2014, deemed operative from 1 January 2013; unamended by Act No. 21 of 2018; in force at 2026-04.</t>
        </is>
      </c>
      <c r="K7" s="17" t="inlineStr">
        <is>
          <t>[verified]</t>
        </is>
      </c>
      <c r="L7" s="21" t="n"/>
      <c r="M7" s="21" t="n"/>
      <c r="N7" s="21" t="n"/>
      <c r="O7" s="21" t="n"/>
      <c r="P7" s="21" t="n"/>
      <c r="Q7" s="17">
        <f>IF(OR(A7="",B7=""),"",IF(AND(L7&lt;&gt;"",P7&lt;&gt;"",IF(L7="Wrong citation",AND(M7&lt;&gt;"",N7&lt;&gt;""),TRUE)),"Complete","Pending"))</f>
        <v/>
      </c>
    </row>
    <row r="8">
      <c r="A8" s="19" t="inlineStr">
        <is>
          <t>M001-Q03</t>
        </is>
      </c>
      <c r="B8" s="19" t="inlineStr">
        <is>
          <t>PROV-M001-012</t>
        </is>
      </c>
      <c r="C8" s="17" t="inlineStr">
        <is>
          <t>Land (Restrictions on Alienation) Act No. 38 of 2014</t>
        </is>
      </c>
      <c r="D8" s="17" t="inlineStr">
        <is>
          <t>s.3 (1)(d)</t>
        </is>
      </c>
      <c r="E8" s="17" t="inlineStr">
        <is>
          <t>2026-04</t>
        </is>
      </c>
      <c r="F8" s="17" t="inlineStr">
        <is>
          <t>Current on reference date</t>
        </is>
      </c>
      <c r="G8" s="17" t="inlineStr">
        <is>
          <t>any land the title of which is transferred by intestacy, gift or testamentary disposition to a next of kin (who is a foreigner) of the in accordance with the applicable law of succession of Sri Lanka;</t>
        </is>
      </c>
      <c r="H8" s="17" t="inlineStr">
        <is>
          <t>https://www.rgd.gov.lk/web/images/ActsPDF/notary/2014-38E.pdf</t>
        </is>
      </c>
      <c r="I8" s="17" t="inlineStr">
        <is>
          <t>Indispensable</t>
        </is>
      </c>
      <c r="J8" s="17" t="inlineStr">
        <is>
          <t>The decisive exemption. Title passing on intestacy to a next of kin who is a foreigner, under the Sri Lankan law of succession, is taken out of section 2 altogether. Samantha's entitlement arises exactly this way.
TEMPORAL: Section 3 was amended by Act No. 21 of 2018 with effect from 1 April 2018, but that amendment touched paragraphs (b) and (h) and added a new paragraph (i). Paragraph (d) is unchanged and was in the Act from its operative date of 1 January 2013.</t>
        </is>
      </c>
      <c r="K8" s="17" t="inlineStr">
        <is>
          <t>[verified]</t>
        </is>
      </c>
      <c r="L8" s="21" t="n"/>
      <c r="M8" s="21" t="n"/>
      <c r="N8" s="21" t="n"/>
      <c r="O8" s="21" t="n"/>
      <c r="P8" s="21" t="n"/>
      <c r="Q8" s="17">
        <f>IF(OR(A8="",B8=""),"",IF(AND(L8&lt;&gt;"",P8&lt;&gt;"",IF(L8="Wrong citation",AND(M8&lt;&gt;"",N8&lt;&gt;""),TRUE)),"Complete","Pending"))</f>
        <v/>
      </c>
    </row>
    <row r="9">
      <c r="A9" s="19" t="inlineStr">
        <is>
          <t>M001-Q03</t>
        </is>
      </c>
      <c r="B9" s="19" t="inlineStr">
        <is>
          <t>PROV-M001-014</t>
        </is>
      </c>
      <c r="C9" s="17" t="inlineStr">
        <is>
          <t>Land (Restrictions on Alienation) Act No. 38 of 2014</t>
        </is>
      </c>
      <c r="D9" s="17" t="inlineStr">
        <is>
          <t>s.25 definition of "foreigner"</t>
        </is>
      </c>
      <c r="E9" s="17" t="inlineStr">
        <is>
          <t>2026-04</t>
        </is>
      </c>
      <c r="F9" s="17" t="inlineStr">
        <is>
          <t>Current on reference date</t>
        </is>
      </c>
      <c r="G9" s="17" t="inlineStr">
        <is>
          <t>means a person who is not a citizen of Sri Lanka;</t>
        </is>
      </c>
      <c r="H9" s="17" t="inlineStr">
        <is>
          <t>https://www.rgd.gov.lk/web/images/ActsPDF/notary/2014-38E.pdf</t>
        </is>
      </c>
      <c r="I9" s="17" t="inlineStr">
        <is>
          <t>Indispensable</t>
        </is>
      </c>
      <c r="J9" s="17" t="inlineStr">
        <is>
          <t>Defines the class the section 2 prohibition targets. Whether Samantha is a foreigner turns on Sri Lankan citizenship, not on her United States citizenship.
TEMPORAL: In force from 2014, deemed operative from 1 January 2013; in force at 2026-04.</t>
        </is>
      </c>
      <c r="K9" s="17" t="inlineStr">
        <is>
          <t>[verified]</t>
        </is>
      </c>
      <c r="L9" s="21" t="n"/>
      <c r="M9" s="21" t="n"/>
      <c r="N9" s="21" t="n"/>
      <c r="O9" s="21" t="n"/>
      <c r="P9" s="21" t="n"/>
      <c r="Q9" s="17">
        <f>IF(OR(A9="",B9=""),"",IF(AND(L9&lt;&gt;"",P9&lt;&gt;"",IF(L9="Wrong citation",AND(M9&lt;&gt;"",N9&lt;&gt;""),TRUE)),"Complete","Pending"))</f>
        <v/>
      </c>
    </row>
    <row r="10">
      <c r="A10" s="19" t="inlineStr">
        <is>
          <t>M001-Q03</t>
        </is>
      </c>
      <c r="B10" s="19" t="inlineStr">
        <is>
          <t>PROV-M001-005</t>
        </is>
      </c>
      <c r="C10" s="17" t="inlineStr">
        <is>
          <t>Matrimonial Rights and Inheritance Ordinance No. 15 of 1876</t>
        </is>
      </c>
      <c r="D10" s="17" t="inlineStr">
        <is>
          <t>s.24</t>
        </is>
      </c>
      <c r="E10" s="17" t="inlineStr">
        <is>
          <t>2026-04</t>
        </is>
      </c>
      <c r="F10" s="17" t="inlineStr">
        <is>
          <t>Current on reference date</t>
        </is>
      </c>
      <c r="G10" s="17" t="inlineStr">
        <is>
          <t>Children, grandchildren, and remoter descendants are preferent to all others in the estate of the parents; all the children take equally per capita, but the children or remoter issue of a deceased child take per stirpes or by representation.</t>
        </is>
      </c>
      <c r="H10" s="17" t="inlineStr">
        <is>
          <t>https://lankalaw.net/wp-content/uploads/2024/03/mrai69364.pdf</t>
        </is>
      </c>
      <c r="I10" s="17" t="inlineStr">
        <is>
          <t>Indispensable</t>
        </is>
      </c>
      <c r="J10" s="17" t="inlineStr">
        <is>
          <t>Divides the half of Suresh's estate not taken by Kanthi equally among his three children, Samantha, Rakitha and Muditha, per capita. It is also the provision that makes Samantha, a child of Suresh's first marriage, an heir of Suresh at all.
TEMPORAL: In force from 1876 and unamended in the corpus text; in force on 10 December 1995 when Suresh died and at 2026-04.</t>
        </is>
      </c>
      <c r="K10" s="17" t="inlineStr">
        <is>
          <t>[verified]</t>
        </is>
      </c>
      <c r="L10" s="21" t="n"/>
      <c r="M10" s="21" t="n"/>
      <c r="N10" s="21" t="n"/>
      <c r="O10" s="21" t="n"/>
      <c r="P10" s="21" t="n"/>
      <c r="Q10" s="17">
        <f>IF(OR(A10="",B10=""),"",IF(AND(L10&lt;&gt;"",P10&lt;&gt;"",IF(L10="Wrong citation",AND(M10&lt;&gt;"",N10&lt;&gt;""),TRUE)),"Complete","Pending"))</f>
        <v/>
      </c>
    </row>
    <row r="11">
      <c r="A11" s="19" t="inlineStr">
        <is>
          <t>M001-Q03</t>
        </is>
      </c>
      <c r="B11" s="19" t="inlineStr">
        <is>
          <t>PROV-M001-006</t>
        </is>
      </c>
      <c r="C11" s="17" t="inlineStr">
        <is>
          <t>Matrimonial Rights and Inheritance Ordinance No. 15 of 1876</t>
        </is>
      </c>
      <c r="D11" s="17" t="inlineStr">
        <is>
          <t>s.25</t>
        </is>
      </c>
      <c r="E11" s="17" t="inlineStr">
        <is>
          <t>2026-04</t>
        </is>
      </c>
      <c r="F11" s="17" t="inlineStr">
        <is>
          <t>Current on reference date</t>
        </is>
      </c>
      <c r="G11"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11" s="17" t="inlineStr">
        <is>
          <t>https://lankalaw.net/wp-content/uploads/2024/03/mrai69364.pdf</t>
        </is>
      </c>
      <c r="I11" s="17" t="inlineStr">
        <is>
          <t>Indispensable</t>
        </is>
      </c>
      <c r="J11" s="17" t="inlineStr">
        <is>
          <t>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TEMPORAL: In force from 1876 and unamended in the corpus text; in force on 2 July 2022 and 5 June 2023 and at 2026-04.</t>
        </is>
      </c>
      <c r="K11" s="17" t="inlineStr">
        <is>
          <t>[verified]</t>
        </is>
      </c>
      <c r="L11" s="21" t="n"/>
      <c r="M11" s="21" t="n"/>
      <c r="N11" s="21" t="n"/>
      <c r="O11" s="21" t="n"/>
      <c r="P11" s="21" t="n"/>
      <c r="Q11" s="17">
        <f>IF(OR(A11="",B11=""),"",IF(AND(L11&lt;&gt;"",P11&lt;&gt;"",IF(L11="Wrong citation",AND(M11&lt;&gt;"",N11&lt;&gt;""),TRUE)),"Complete","Pending"))</f>
        <v/>
      </c>
    </row>
    <row r="12">
      <c r="A12" s="19" t="inlineStr">
        <is>
          <t>M001-Q03</t>
        </is>
      </c>
      <c r="B12" s="19" t="inlineStr">
        <is>
          <t>PROV-M001-013</t>
        </is>
      </c>
      <c r="C12" s="17" t="inlineStr">
        <is>
          <t>Land (Restrictions on Alienation) Act No. 38 of 2014</t>
        </is>
      </c>
      <c r="D12" s="17" t="inlineStr">
        <is>
          <t>s.3 (1)(e)</t>
        </is>
      </c>
      <c r="E12" s="17" t="inlineStr">
        <is>
          <t>2026-04</t>
        </is>
      </c>
      <c r="F12" s="17" t="inlineStr">
        <is>
          <t>Current on reference date</t>
        </is>
      </c>
      <c r="G12" s="17" t="inlineStr">
        <is>
          <t>any land the title of which is transferred to a dual citizen of Sri Lanka within the meaning of the Citizenship Act;</t>
        </is>
      </c>
      <c r="H12" s="17" t="inlineStr">
        <is>
          <t>https://www.rgd.gov.lk/web/images/ActsPDF/notary/2014-38E.pdf</t>
        </is>
      </c>
      <c r="I12" s="17" t="inlineStr">
        <is>
          <t>Supporting</t>
        </is>
      </c>
      <c r="J12" s="17" t="inlineStr">
        <is>
          <t>An independent exemption that would apply if Samantha holds Sri Lankan citizenship as well as United States citizenship. The scenario says only that she is a citizen of the United States of America, which does not settle whether she is also a citizen of Sri Lanka.
TEMPORAL: Unchanged by Act No. 21 of 2018; in force at 2026-04.</t>
        </is>
      </c>
      <c r="K12" s="17" t="inlineStr">
        <is>
          <t>[verified]</t>
        </is>
      </c>
      <c r="L12" s="21" t="n"/>
      <c r="M12" s="21" t="n"/>
      <c r="N12" s="21" t="n"/>
      <c r="O12" s="21" t="n"/>
      <c r="P12" s="21" t="n"/>
      <c r="Q12" s="17">
        <f>IF(OR(A12="",B12=""),"",IF(AND(L12&lt;&gt;"",P12&lt;&gt;"",IF(L12="Wrong citation",AND(M12&lt;&gt;"",N12&lt;&gt;""),TRUE)),"Complete","Pending"))</f>
        <v/>
      </c>
    </row>
    <row r="13">
      <c r="A13" s="19" t="inlineStr">
        <is>
          <t>M001-Q03</t>
        </is>
      </c>
      <c r="B13" s="19" t="inlineStr">
        <is>
          <t>PROV-M001-015</t>
        </is>
      </c>
      <c r="C13" s="17" t="inlineStr">
        <is>
          <t>Land (Restrictions on Alienation) Act No. 38 of 2014</t>
        </is>
      </c>
      <c r="D13" s="17" t="inlineStr">
        <is>
          <t>s.25 definition of "transfer"</t>
        </is>
      </c>
      <c r="E13" s="17" t="inlineStr">
        <is>
          <t>2026-04</t>
        </is>
      </c>
      <c r="F13" s="17" t="inlineStr">
        <is>
          <t>Current on reference date</t>
        </is>
      </c>
      <c r="G13" s="17" t="inlineStr">
        <is>
          <t>means any sale, donation, gift or any conveyance by or under which the title of such land passes to another person;</t>
        </is>
      </c>
      <c r="H13" s="17" t="inlineStr">
        <is>
          <t>https://www.rgd.gov.lk/web/images/ActsPDF/notary/2014-38E.pdf</t>
        </is>
      </c>
      <c r="I13" s="17" t="inlineStr">
        <is>
          <t>Supporting</t>
        </is>
      </c>
      <c r="J13" s="17" t="inlineStr">
        <is>
          <t>Defines the act section 2 prohibits. The listed acts are voluntary dispositions; devolution by operation of law on an intestacy is not obviously a sale, donation, gift or conveyance, which is a second and independent reason the prohibition does not reach Samantha.
TEMPORAL: In force from 2014, deemed operative from 1 January 2013; in force at 2026-04.</t>
        </is>
      </c>
      <c r="K13" s="17" t="inlineStr">
        <is>
          <t>[partially_verified] The definition is quoted correctly, but the inference drawn from it, that an intestate devolution falls outside the word transfer, is contradicted by section 3(1)(d), which exempts land transferred by intestacy, and by the section 2(1)(b) proviso on shares devolving on a next of kin; it is not a second independent ground.</t>
        </is>
      </c>
      <c r="L13" s="21" t="n"/>
      <c r="M13" s="21" t="n"/>
      <c r="N13" s="21" t="n"/>
      <c r="O13" s="21" t="n"/>
      <c r="P13" s="21" t="n"/>
      <c r="Q13" s="17">
        <f>IF(OR(A13="",B13=""),"",IF(AND(L13&lt;&gt;"",P13&lt;&gt;"",IF(L13="Wrong citation",AND(M13&lt;&gt;"",N13&lt;&gt;""),TRUE)),"Complete","Pending"))</f>
        <v/>
      </c>
    </row>
    <row r="14">
      <c r="A14" s="19" t="inlineStr">
        <is>
          <t>M001-Q03</t>
        </is>
      </c>
      <c r="B14" s="19" t="inlineStr">
        <is>
          <t>PROV-M001-016</t>
        </is>
      </c>
      <c r="C14" s="17" t="inlineStr">
        <is>
          <t>Land (Restrictions on Alienation) Act No. 38 of 2014</t>
        </is>
      </c>
      <c r="D14" s="17" t="inlineStr">
        <is>
          <t>s.18</t>
        </is>
      </c>
      <c r="E14" s="17" t="inlineStr">
        <is>
          <t>2026-04</t>
        </is>
      </c>
      <c r="F14" s="17" t="inlineStr">
        <is>
          <t>Current on reference date</t>
        </is>
      </c>
      <c r="G14" s="17" t="inlineStr">
        <is>
          <t>Any alienation of land effected in contravention of the provisions of this Act, shall be void and shall have no effect in law.</t>
        </is>
      </c>
      <c r="H14" s="17" t="inlineStr">
        <is>
          <t>https://www.rgd.gov.lk/web/images/ActsPDF/notary/2014-38E.pdf</t>
        </is>
      </c>
      <c r="I14" s="17" t="inlineStr">
        <is>
          <t>Supporting</t>
        </is>
      </c>
      <c r="J14" s="17" t="inlineStr">
        <is>
          <t>States the consequence Samantha would face if section 2 applied and no exemption were available. Because section 3(1)(d) applies, this section is not engaged.
TEMPORAL: In force from 2014, deemed operative from 1 January 2013; in force at 2026-04.</t>
        </is>
      </c>
      <c r="K14" s="17" t="inlineStr">
        <is>
          <t>[verified]</t>
        </is>
      </c>
      <c r="L14" s="21" t="n"/>
      <c r="M14" s="21" t="n"/>
      <c r="N14" s="21" t="n"/>
      <c r="O14" s="21" t="n"/>
      <c r="P14" s="21" t="n"/>
      <c r="Q14" s="17">
        <f>IF(OR(A14="",B14=""),"",IF(AND(L14&lt;&gt;"",P14&lt;&gt;"",IF(L14="Wrong citation",AND(M14&lt;&gt;"",N14&lt;&gt;""),TRUE)),"Complete","Pending"))</f>
        <v/>
      </c>
    </row>
    <row r="15">
      <c r="A15" s="19" t="inlineStr">
        <is>
          <t>M001-Q03</t>
        </is>
      </c>
      <c r="B15" s="19" t="inlineStr">
        <is>
          <t>PROV-M001-017</t>
        </is>
      </c>
      <c r="C15" s="17" t="inlineStr">
        <is>
          <t>Land (Restrictions on Alienation) (Amendment) Act No. 21 of 2018</t>
        </is>
      </c>
      <c r="D15" s="17" t="inlineStr">
        <is>
          <t>s.1</t>
        </is>
      </c>
      <c r="E15" s="17" t="inlineStr">
        <is>
          <t>2026-04</t>
        </is>
      </c>
      <c r="F15" s="17" t="inlineStr">
        <is>
          <t>Current on reference date</t>
        </is>
      </c>
      <c r="G15" s="17" t="inlineStr">
        <is>
          <t>This Act may be cited as the Land (Restrictions on Alienation) (Amendment) Act, No. 21 of 2018 and shall be deemed to have come into operation on April 1, 2018.</t>
        </is>
      </c>
      <c r="H15" s="17" t="inlineStr">
        <is>
          <t>data/legal-sources/library/finalized/38-2014-land-restrictions-on-alienation-act/21-2018-land-restrictions-on-alienation-amendment.json</t>
        </is>
      </c>
      <c r="I15" s="17" t="inlineStr">
        <is>
          <t>Supporting</t>
        </is>
      </c>
      <c r="J15" s="17" t="inlineStr">
        <is>
          <t>Fixes when the amendment named in the question took effect, which matters because Rakitha died in 2022 and Muditha in 2023, both after that date.
TEMPORAL: Deemed operative from 1 April 2018; in force at 2026-04.</t>
        </is>
      </c>
      <c r="K15" s="17" t="inlineStr">
        <is>
          <t>[verified]</t>
        </is>
      </c>
      <c r="L15" s="21" t="n"/>
      <c r="M15" s="21" t="n"/>
      <c r="N15" s="21" t="n"/>
      <c r="O15" s="21" t="n"/>
      <c r="P15" s="21" t="n"/>
      <c r="Q15" s="17">
        <f>IF(OR(A15="",B15=""),"",IF(AND(L15&lt;&gt;"",P15&lt;&gt;"",IF(L15="Wrong citation",AND(M15&lt;&gt;"",N15&lt;&gt;""),TRUE)),"Complete","Pending"))</f>
        <v/>
      </c>
    </row>
    <row r="16">
      <c r="A16" s="19" t="inlineStr">
        <is>
          <t>M001-Q03</t>
        </is>
      </c>
      <c r="B16" s="19" t="inlineStr">
        <is>
          <t>PROV-M001-018</t>
        </is>
      </c>
      <c r="C16" s="17" t="inlineStr">
        <is>
          <t>Land (Restrictions on Alienation) (Amendment) Act No. 21 of 2018</t>
        </is>
      </c>
      <c r="D16" s="17" t="inlineStr">
        <is>
          <t>s.2</t>
        </is>
      </c>
      <c r="E16" s="17" t="inlineStr">
        <is>
          <t>2026-04</t>
        </is>
      </c>
      <c r="F16" s="17" t="inlineStr">
        <is>
          <t>Current on reference date</t>
        </is>
      </c>
      <c r="G16" s="17" t="inlineStr">
        <is>
          <t>is hereby amended in subsection (1) - (a) by the repeal of paragraph (b) of that subsection and the substitution therefor of the following paragraph:-</t>
        </is>
      </c>
      <c r="H16" s="17" t="inlineStr">
        <is>
          <t>data/legal-sources/library/finalized/38-2014-land-restrictions-on-alienation-act/21-2018-land-restrictions-on-alienation-amendment.json</t>
        </is>
      </c>
      <c r="I16" s="17" t="inlineStr">
        <is>
          <t>Supporting</t>
        </is>
      </c>
      <c r="J16" s="17" t="inlineStr">
        <is>
          <t>Shows the reach of the 2018 amendment to section 3. It substitutes paragraph (b), alters paragraph (h) and adds a new paragraph (i). It does not disturb the intestacy exemption in paragraph (d) that Samantha relies on.
TEMPORAL: Deemed operative from 1 April 2018; in force at 2026-04. The corpus text of this section is truncated: the substituted paragraph (b) and the new paragraph (i) are not reproduced in the body.</t>
        </is>
      </c>
      <c r="K16" s="17" t="inlineStr">
        <is>
          <t>[verified]</t>
        </is>
      </c>
      <c r="L16" s="21" t="n"/>
      <c r="M16" s="21" t="n"/>
      <c r="N16" s="21" t="n"/>
      <c r="O16" s="21" t="n"/>
      <c r="P16" s="21" t="n"/>
      <c r="Q16" s="17">
        <f>IF(OR(A16="",B16=""),"",IF(AND(L16&lt;&gt;"",P16&lt;&gt;"",IF(L16="Wrong citation",AND(M16&lt;&gt;"",N16&lt;&gt;""),TRUE)),"Complete","Pending"))</f>
        <v/>
      </c>
    </row>
    <row r="17">
      <c r="A17" s="19" t="inlineStr">
        <is>
          <t>M001-Q03</t>
        </is>
      </c>
      <c r="B17" s="19" t="inlineStr">
        <is>
          <t>PROV-M001-007</t>
        </is>
      </c>
      <c r="C17" s="17" t="inlineStr">
        <is>
          <t>Matrimonial Rights and Inheritance Ordinance No. 15 of 1876</t>
        </is>
      </c>
      <c r="D17" s="17" t="inlineStr">
        <is>
          <t>s.27</t>
        </is>
      </c>
      <c r="E17" s="17" t="inlineStr">
        <is>
          <t>2026-04</t>
        </is>
      </c>
      <c r="F17" s="17" t="inlineStr">
        <is>
          <t>Current on reference date</t>
        </is>
      </c>
      <c r="G17"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17" s="17" t="inlineStr">
        <is>
          <t>https://lankalaw.net/wp-content/uploads/2024/03/mrai69364.pdf</t>
        </is>
      </c>
      <c r="I17" s="17" t="inlineStr">
        <is>
          <t>Supporting</t>
        </is>
      </c>
      <c r="J17" s="17" t="inlineStr">
        <is>
          <t>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TEMPORAL: In force from 1876 and unamended in the corpus text; in force on 2 July 2022 and 5 June 2023 and at 2026-04.</t>
        </is>
      </c>
      <c r="K17" s="17" t="inlineStr">
        <is>
          <t>[partially_verified] Correct for Rakitha's estate, where a full sister survived, but section 27 does not govern Muditha's estate, where no full brother or sister and no issue of one survived; section 29 governs that case and is added as PROV-M001-901.</t>
        </is>
      </c>
      <c r="L17" s="21" t="n"/>
      <c r="M17" s="21" t="n"/>
      <c r="N17" s="21" t="n"/>
      <c r="O17" s="21" t="n"/>
      <c r="P17" s="21" t="n"/>
      <c r="Q17" s="17">
        <f>IF(OR(A17="",B17=""),"",IF(AND(L17&lt;&gt;"",P17&lt;&gt;"",IF(L17="Wrong citation",AND(M17&lt;&gt;"",N17&lt;&gt;""),TRUE)),"Complete","Pending"))</f>
        <v/>
      </c>
    </row>
    <row r="18">
      <c r="A18" s="19" t="inlineStr">
        <is>
          <t>M001-Q03</t>
        </is>
      </c>
      <c r="B18" s="19" t="inlineStr">
        <is>
          <t>PROV-M001-901</t>
        </is>
      </c>
      <c r="C18" s="17" t="inlineStr">
        <is>
          <t>Matrimonial Rights and Inheritance Ordinance No. 15 of 1876</t>
        </is>
      </c>
      <c r="D18" s="17" t="inlineStr">
        <is>
          <t>s.29</t>
        </is>
      </c>
      <c r="E18" s="17" t="inlineStr">
        <is>
          <t>2026-04</t>
        </is>
      </c>
      <c r="F18" s="17" t="inlineStr">
        <is>
          <t>Current on reference date</t>
        </is>
      </c>
      <c r="G18" s="17" t="inlineStr">
        <is>
          <t>In case all the half-brothers and sisters, their children and remoter issue, are related to the intestate on one side only, they take the whole of the inheritance</t>
        </is>
      </c>
      <c r="H18" s="17" t="inlineStr">
        <is>
          <t>https://lankalaw.net/wp-content/uploads/2024/03/mrai69364.pdf</t>
        </is>
      </c>
      <c r="I18" s="17" t="inlineStr">
        <is>
          <t>Supporting</t>
        </is>
      </c>
      <c r="J18" s="17" t="inlineStr">
        <is>
          <t>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TEMPORAL: In force from 1876 and unamended in the corpus text; in force on 5 June 2023 and at 2026-04.</t>
        </is>
      </c>
      <c r="K18" s="17" t="inlineStr">
        <is>
          <t>[verified] Added by the verifier because the map anchored the decisive step in Muditha's estate on section 27, which on its terms presupposes surviving full-blood siblings.</t>
        </is>
      </c>
      <c r="L18" s="21" t="n"/>
      <c r="M18" s="21" t="n"/>
      <c r="N18" s="21" t="n"/>
      <c r="O18" s="21" t="n"/>
      <c r="P18" s="21" t="n"/>
      <c r="Q18" s="17">
        <f>IF(OR(A18="",B18=""),"",IF(AND(L18&lt;&gt;"",P18&lt;&gt;"",IF(L18="Wrong citation",AND(M18&lt;&gt;"",N18&lt;&gt;""),TRUE)),"Complete","Pending"))</f>
        <v/>
      </c>
    </row>
    <row r="19">
      <c r="A19" s="19" t="inlineStr">
        <is>
          <t>M001-Q03</t>
        </is>
      </c>
      <c r="B19" s="19" t="inlineStr">
        <is>
          <t>PROV-M001-902</t>
        </is>
      </c>
      <c r="C19" s="17" t="inlineStr">
        <is>
          <t>Land (Restrictions on Alienation) Act No. 38 of 2014</t>
        </is>
      </c>
      <c r="D19" s="17" t="inlineStr">
        <is>
          <t>s.3 (4)</t>
        </is>
      </c>
      <c r="E19" s="17" t="inlineStr">
        <is>
          <t>2026-04</t>
        </is>
      </c>
      <c r="F19" s="17" t="inlineStr">
        <is>
          <t>Current on reference date</t>
        </is>
      </c>
      <c r="G19" s="17" t="inlineStr">
        <is>
          <t>Where the transfer of title of a land is effected in terms of this section, the provisions of this Act shall also apply to every subsequent transfer of title of such land or part thereof.</t>
        </is>
      </c>
      <c r="H19" s="17" t="inlineStr">
        <is>
          <t>https://www.rgd.gov.lk/web/images/ActsPDF/notary/2014-38E.pdf</t>
        </is>
      </c>
      <c r="I19" s="17" t="inlineStr">
        <is>
          <t>Supporting</t>
        </is>
      </c>
      <c r="J19" s="17" t="inlineStr">
        <is>
          <t>Added by the verifier. The gold conclusion to M001-Q03 and claim CL-M001-Q03-013 assert that any later disposition by Samantha would still be tested against section 2 because the Act applies to every subsequent transfer of exempted land. That proposition comes from section 3(4), which the map cited in prose but carried no provision entry for.
TEMPORAL: In force from 2014, deemed operative from 1 January 2013; untouched by Act No. 21 of 2018; in force at 2026-04.</t>
        </is>
      </c>
      <c r="K19" s="17" t="inlineStr">
        <is>
          <t>[verified] Added by the verifier to close a citation gap in the M001-Q03 conclusion.</t>
        </is>
      </c>
      <c r="L19" s="21" t="n"/>
      <c r="M19" s="21" t="n"/>
      <c r="N19" s="21" t="n"/>
      <c r="O19" s="21" t="n"/>
      <c r="P19" s="21" t="n"/>
      <c r="Q19" s="17">
        <f>IF(OR(A19="",B19=""),"",IF(AND(L19&lt;&gt;"",P19&lt;&gt;"",IF(L19="Wrong citation",AND(M19&lt;&gt;"",N19&lt;&gt;""),TRUE)),"Complete","Pending"))</f>
        <v/>
      </c>
    </row>
    <row r="20">
      <c r="A20" s="19" t="inlineStr">
        <is>
          <t>M001-Q03</t>
        </is>
      </c>
      <c r="B20" s="19" t="inlineStr">
        <is>
          <t>PROV-M001-002</t>
        </is>
      </c>
      <c r="C20" s="17" t="inlineStr">
        <is>
          <t>Matrimonial Rights and Inheritance Ordinance No. 15 of 1876</t>
        </is>
      </c>
      <c r="D20" s="17" t="inlineStr">
        <is>
          <t>s.21 (1)</t>
        </is>
      </c>
      <c r="E20" s="17" t="inlineStr">
        <is>
          <t>2026-04</t>
        </is>
      </c>
      <c r="F20" s="17" t="inlineStr">
        <is>
          <t>Current on reference date</t>
        </is>
      </c>
      <c r="G20" s="17" t="inlineStr">
        <is>
          <t>Inheritance ab interstate to the immovable property in Sri Lanka of a person deceased shall be governed and regulated by the following provisions of this Ordinance wherever such person may have or have had his actual or matrimonial domicile.</t>
        </is>
      </c>
      <c r="H20" s="17" t="inlineStr">
        <is>
          <t>https://lankalaw.net/wp-content/uploads/2024/03/mrai69364.pdf</t>
        </is>
      </c>
      <c r="I20" s="17" t="inlineStr">
        <is>
          <t>Background</t>
        </is>
      </c>
      <c r="J20" s="17" t="inlineStr">
        <is>
          <t>Lot A is immovable property in Sri Lanka, so the intestate devolution of the shares of Suresh, Rakitha and Muditha is governed by this Ordinance irrespective of the domicile of any heir, including Samantha, who lives in the United States of America.
TEMPORAL: In force from 1876 and unamended in the corpus text; in force at the matter reference date 2026-04 and at each relevant death.</t>
        </is>
      </c>
      <c r="K20" s="17" t="inlineStr">
        <is>
          <t>[partially_verified] Section 21(1) makes the domicile of the deceased irrelevant to inheritance to immovable property in Sri Lanka; it says nothing about the domicile or citizenship of an heir, so the map's extension of it to Samantha is not sourced from this text.</t>
        </is>
      </c>
      <c r="L20" s="21" t="n"/>
      <c r="M20" s="21" t="n"/>
      <c r="N20" s="21" t="n"/>
      <c r="O20" s="21" t="n"/>
      <c r="P20" s="21" t="n"/>
      <c r="Q20" s="17">
        <f>IF(OR(A20="",B20=""),"",IF(AND(L20&lt;&gt;"",P20&lt;&gt;"",IF(L20="Wrong citation",AND(M20&lt;&gt;"",N20&lt;&gt;""),TRUE)),"Complete","Pending"))</f>
        <v/>
      </c>
    </row>
    <row r="21">
      <c r="A21" s="19" t="inlineStr">
        <is>
          <t>M001-Q03</t>
        </is>
      </c>
      <c r="B21" s="19" t="inlineStr">
        <is>
          <t>PROV-M001-001</t>
        </is>
      </c>
      <c r="C21" s="17" t="inlineStr">
        <is>
          <t>Matrimonial Rights and Inheritance Ordinance No. 15 of 1876</t>
        </is>
      </c>
      <c r="D21" s="17" t="inlineStr">
        <is>
          <t>s.20</t>
        </is>
      </c>
      <c r="E21" s="17" t="inlineStr">
        <is>
          <t>2026-04</t>
        </is>
      </c>
      <c r="F21" s="17" t="inlineStr">
        <is>
          <t>Current on reference date</t>
        </is>
      </c>
      <c r="G21" s="17" t="inlineStr">
        <is>
          <t>The following sections of this Ordinance shall apply to the estates of such persons only as shall die after the proclamation of this Ordinance</t>
        </is>
      </c>
      <c r="H21" s="17" t="inlineStr">
        <is>
          <t>https://lankalaw.net/wp-content/uploads/2024/03/mrai69364.pdf</t>
        </is>
      </c>
      <c r="I21" s="17" t="inlineStr">
        <is>
          <t>Background</t>
        </is>
      </c>
      <c r="J21" s="17" t="inlineStr">
        <is>
          <t>Fixes the scope of Part III. Every death in this matter (1990, 1995, 2022, 2023) is long after the proclamation of the Ordinance, so the Part III intestacy rules apply to each estate.
TEMPORAL: In force from 1876 and unamended in the corpus text; in force at the matter reference date 2026-04 and at each relevant death.</t>
        </is>
      </c>
      <c r="K21" s="17" t="inlineStr">
        <is>
          <t>[partially_verified] The excerpt stops at 'proclamation of this Ordinance' and drops the second limb of section 20, that the deceased must have been unmarried at death or married after the proclamation; that limb is satisfied on these facts but the map should state it.</t>
        </is>
      </c>
      <c r="L21" s="21" t="n"/>
      <c r="M21" s="21" t="n"/>
      <c r="N21" s="21" t="n"/>
      <c r="O21" s="21" t="n"/>
      <c r="P21" s="21" t="n"/>
      <c r="Q21" s="17">
        <f>IF(OR(A21="",B21=""),"",IF(AND(L21&lt;&gt;"",P21&lt;&gt;"",IF(L21="Wrong citation",AND(M21&lt;&gt;"",N21&lt;&gt;""),TRUE)),"Complete","Pending"))</f>
        <v/>
      </c>
    </row>
    <row r="22">
      <c r="A22" s="19" t="inlineStr">
        <is>
          <t>M002-Q01</t>
        </is>
      </c>
      <c r="B22" s="19" t="inlineStr">
        <is>
          <t>PROV-M002-001</t>
        </is>
      </c>
      <c r="C22" s="17" t="inlineStr">
        <is>
          <t>Notaries Ordinance No. 1 of 1907</t>
        </is>
      </c>
      <c r="D22" s="17" t="inlineStr">
        <is>
          <t>s.31 rule (17)(a)</t>
        </is>
      </c>
      <c r="E22" s="17" t="inlineStr">
        <is>
          <t>2026-04</t>
        </is>
      </c>
      <c r="F22" s="17" t="inlineStr">
        <is>
          <t>Current on reference date</t>
        </is>
      </c>
      <c r="G22"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22" s="17" t="inlineStr">
        <is>
          <t>https://www.rgd.gov.lk/web/images/ActsPDF/notary/Notaries-English.pdf</t>
        </is>
      </c>
      <c r="I22" s="17" t="inlineStr">
        <is>
          <t>Indispensable</t>
        </is>
      </c>
      <c r="J22" s="17" t="inlineStr">
        <is>
          <t>This is the primary statutory source of the notary's pre-purchase document check: before drawing the deed of transfer the notary must search the land registry registers to establish the vendor's title and any prior registered deed.
TEMPORAL: Section 31 stands as substituted and amended by Act No. 47 of 2011, Act No. 31 of 2022 and Act No. 6 of 2024, all before the April 2026 matter date, so the consolidated text is the text in force.</t>
        </is>
      </c>
      <c r="K22" s="17" t="inlineStr">
        <is>
          <t>[partially_verified] Wording is verbatim and the rule is correctly stated, but the corpus body of section 31 prints this rule without its number, so the subsection label follows conventional numbering and cannot be confirmed against the corpus text. The excerpt also omits the proviso at the end of the rule, under which the search is not compulsory if the parties authorise the notary in writing to dispense with it; that proviso is added as PROV-M002-901.</t>
        </is>
      </c>
      <c r="L22" s="21" t="n"/>
      <c r="M22" s="21" t="n"/>
      <c r="N22" s="21" t="n"/>
      <c r="O22" s="21" t="n"/>
      <c r="P22" s="21" t="n"/>
      <c r="Q22" s="17">
        <f>IF(OR(A22="",B22=""),"",IF(AND(L22&lt;&gt;"",P22&lt;&gt;"",IF(L22="Wrong citation",AND(M22&lt;&gt;"",N22&lt;&gt;""),TRUE)),"Complete","Pending"))</f>
        <v/>
      </c>
    </row>
    <row r="23">
      <c r="A23" s="19" t="inlineStr">
        <is>
          <t>M002-Q01</t>
        </is>
      </c>
      <c r="B23" s="19" t="inlineStr">
        <is>
          <t>PROV-M002-002</t>
        </is>
      </c>
      <c r="C23" s="17" t="inlineStr">
        <is>
          <t>Notaries Ordinance No. 1 of 1907</t>
        </is>
      </c>
      <c r="D23" s="17" t="inlineStr">
        <is>
          <t>s.31 rule (17)(b)(i)</t>
        </is>
      </c>
      <c r="E23" s="17" t="inlineStr">
        <is>
          <t>2026-04</t>
        </is>
      </c>
      <c r="F23" s="17" t="inlineStr">
        <is>
          <t>Current on reference date</t>
        </is>
      </c>
      <c r="G23"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23" s="17" t="inlineStr">
        <is>
          <t>https://www.rgd.gov.lk/web/images/ActsPDF/notary/Notaries-English.pdf</t>
        </is>
      </c>
      <c r="I23" s="17" t="inlineStr">
        <is>
          <t>Indispensable</t>
        </is>
      </c>
      <c r="J23" s="17" t="inlineStr">
        <is>
          <t>Names the specific document the notary must obtain: the certified folio extract showing ownership and registered encumbrances of the Galle land.
TEMPORAL: Inserted by the 2011, 2022 and 2024 amendments to section 31; in force well before April 2026.</t>
        </is>
      </c>
      <c r="K23" s="17" t="inlineStr">
        <is>
          <t>[partially_verified] Wording is verbatim and the rule is correctly stated, but the corpus body of section 31 prints this rule without its number, so the subsection label follows conventional numbering and cannot be confirmed against the corpus text.</t>
        </is>
      </c>
      <c r="L23" s="21" t="n"/>
      <c r="M23" s="21" t="n"/>
      <c r="N23" s="21" t="n"/>
      <c r="O23" s="21" t="n"/>
      <c r="P23" s="21" t="n"/>
      <c r="Q23" s="17">
        <f>IF(OR(A23="",B23=""),"",IF(AND(L23&lt;&gt;"",P23&lt;&gt;"",IF(L23="Wrong citation",AND(M23&lt;&gt;"",N23&lt;&gt;""),TRUE)),"Complete","Pending"))</f>
        <v/>
      </c>
    </row>
    <row r="24">
      <c r="A24" s="19" t="inlineStr">
        <is>
          <t>M002-Q01</t>
        </is>
      </c>
      <c r="B24" s="19" t="inlineStr">
        <is>
          <t>PROV-M002-003</t>
        </is>
      </c>
      <c r="C24" s="17" t="inlineStr">
        <is>
          <t>Notaries Ordinance No. 1 of 1907</t>
        </is>
      </c>
      <c r="D24" s="17" t="inlineStr">
        <is>
          <t>s.31 rule (17)(d)</t>
        </is>
      </c>
      <c r="E24" s="17" t="inlineStr">
        <is>
          <t>2026-04</t>
        </is>
      </c>
      <c r="F24" s="17" t="inlineStr">
        <is>
          <t>Current on reference date</t>
        </is>
      </c>
      <c r="G24" s="17" t="inlineStr">
        <is>
          <t>if a party to any deed or instrument is a corporate body he shall retain a certified copy of the certificate of incorporation or other instrument establishing such corporate entity and details of board of directors</t>
        </is>
      </c>
      <c r="H24" s="17" t="inlineStr">
        <is>
          <t>https://www.rgd.gov.lk/web/images/ActsPDF/notary/Notaries-English.pdf</t>
        </is>
      </c>
      <c r="I24" s="17" t="inlineStr">
        <is>
          <t>Indispensable</t>
        </is>
      </c>
      <c r="J24" s="17" t="inlineStr">
        <is>
          <t>The purchaser is a private limited company, so the notary must call for and retain a certified copy of its certificate of incorporation and the particulars of its board of directors.
TEMPORAL: Part of the amended section 31 text in force at April 2026.</t>
        </is>
      </c>
      <c r="K24" s="17" t="inlineStr">
        <is>
          <t>[partially_verified] Wording is verbatim and the rule is correctly stated, but the corpus body of section 31 prints this rule without its number, so the subsection label follows conventional numbering and cannot be confirmed against the corpus text.</t>
        </is>
      </c>
      <c r="L24" s="21" t="n"/>
      <c r="M24" s="21" t="n"/>
      <c r="N24" s="21" t="n"/>
      <c r="O24" s="21" t="n"/>
      <c r="P24" s="21" t="n"/>
      <c r="Q24" s="17">
        <f>IF(OR(A24="",B24=""),"",IF(AND(L24&lt;&gt;"",P24&lt;&gt;"",IF(L24="Wrong citation",AND(M24&lt;&gt;"",N24&lt;&gt;""),TRUE)),"Complete","Pending"))</f>
        <v/>
      </c>
    </row>
    <row r="25">
      <c r="A25" s="19" t="inlineStr">
        <is>
          <t>M002-Q01</t>
        </is>
      </c>
      <c r="B25" s="19" t="inlineStr">
        <is>
          <t>PROV-M002-004</t>
        </is>
      </c>
      <c r="C25" s="17" t="inlineStr">
        <is>
          <t>Notaries Ordinance No. 1 of 1907</t>
        </is>
      </c>
      <c r="D25" s="17" t="inlineStr">
        <is>
          <t>s.31 rule (14)</t>
        </is>
      </c>
      <c r="E25" s="17" t="inlineStr">
        <is>
          <t>2026-04</t>
        </is>
      </c>
      <c r="F25" s="17" t="inlineStr">
        <is>
          <t>Current on reference date</t>
        </is>
      </c>
      <c r="G25" s="17" t="inlineStr">
        <is>
          <t>Where the executant is a body corporate, he shall attach a copy of the board resolution authorizing the executant to sign such deed or instrument to the protocol of such deed or instrument.</t>
        </is>
      </c>
      <c r="H25" s="17" t="inlineStr">
        <is>
          <t>https://www.rgd.gov.lk/web/images/ActsPDF/notary/Notaries-English.pdf</t>
        </is>
      </c>
      <c r="I25" s="17" t="inlineStr">
        <is>
          <t>Indispensable</t>
        </is>
      </c>
      <c r="J25" s="17" t="inlineStr">
        <is>
          <t>Requires the notary to obtain the board resolution authorising the person who signs for the company, and to attach a copy to the protocol.
TEMPORAL: Substituted by Act No. 6 of 2024; in force before April 2026.</t>
        </is>
      </c>
      <c r="K25" s="17" t="inlineStr">
        <is>
          <t>[verified]</t>
        </is>
      </c>
      <c r="L25" s="21" t="n"/>
      <c r="M25" s="21" t="n"/>
      <c r="N25" s="21" t="n"/>
      <c r="O25" s="21" t="n"/>
      <c r="P25" s="21" t="n"/>
      <c r="Q25" s="17">
        <f>IF(OR(A25="",B25=""),"",IF(AND(L25&lt;&gt;"",P25&lt;&gt;"",IF(L25="Wrong citation",AND(M25&lt;&gt;"",N25&lt;&gt;""),TRUE)),"Complete","Pending"))</f>
        <v/>
      </c>
    </row>
    <row r="26">
      <c r="A26" s="19" t="inlineStr">
        <is>
          <t>M002-Q01</t>
        </is>
      </c>
      <c r="B26" s="19" t="inlineStr">
        <is>
          <t>PROV-M002-005</t>
        </is>
      </c>
      <c r="C26" s="17" t="inlineStr">
        <is>
          <t>Notaries Ordinance No. 1 of 1907</t>
        </is>
      </c>
      <c r="D26" s="17" t="inlineStr">
        <is>
          <t>s.31 rule (33)</t>
        </is>
      </c>
      <c r="E26" s="17" t="inlineStr">
        <is>
          <t>2026-04</t>
        </is>
      </c>
      <c r="F26" s="17" t="inlineStr">
        <is>
          <t>Current on reference date</t>
        </is>
      </c>
      <c r="G26" s="17" t="inlineStr">
        <is>
          <t>When a deed transferring any immovable property is executed or acknowledged before a notary, he shall use his best endeavours to obtain the title deed, if any, of such property</t>
        </is>
      </c>
      <c r="H26" s="17" t="inlineStr">
        <is>
          <t>https://www.rgd.gov.lk/web/images/ActsPDF/notary/Notaries-English.pdf</t>
        </is>
      </c>
      <c r="I26" s="17" t="inlineStr">
        <is>
          <t>Indispensable</t>
        </is>
      </c>
      <c r="J26" s="17" t="inlineStr">
        <is>
          <t>Obliges the notary to obtain the vendor's title deed itself, not merely the registry extract, and to endorse the new transaction on it.
TEMPORAL: Long-standing rule; unaffected on this point by the 2011 to 2024 amendments.</t>
        </is>
      </c>
      <c r="K26" s="17" t="inlineStr">
        <is>
          <t>[verified]</t>
        </is>
      </c>
      <c r="L26" s="21" t="n"/>
      <c r="M26" s="21" t="n"/>
      <c r="N26" s="21" t="n"/>
      <c r="O26" s="21" t="n"/>
      <c r="P26" s="21" t="n"/>
      <c r="Q26" s="17">
        <f>IF(OR(A26="",B26=""),"",IF(AND(L26&lt;&gt;"",P26&lt;&gt;"",IF(L26="Wrong citation",AND(M26&lt;&gt;"",N26&lt;&gt;""),TRUE)),"Complete","Pending"))</f>
        <v/>
      </c>
    </row>
    <row r="27">
      <c r="A27" s="19" t="inlineStr">
        <is>
          <t>M002-Q01</t>
        </is>
      </c>
      <c r="B27" s="19" t="inlineStr">
        <is>
          <t>PROV-M002-007</t>
        </is>
      </c>
      <c r="C27" s="17" t="inlineStr">
        <is>
          <t>Notaries Ordinance No. 1 of 1907</t>
        </is>
      </c>
      <c r="D27" s="17" t="inlineStr">
        <is>
          <t>s.31 rule (30)</t>
        </is>
      </c>
      <c r="E27" s="17" t="inlineStr">
        <is>
          <t>2026-04</t>
        </is>
      </c>
      <c r="F27" s="17" t="inlineStr">
        <is>
          <t>Current on reference date</t>
        </is>
      </c>
      <c r="G27" s="17" t="inlineStr">
        <is>
          <t>If he attest any deed or instrument executed before him by means of an attorney, he shall preserve a true copy of the power of attorney with his protocol, and shall forward a like copy with the duplicate to the Registrar of Lands.</t>
        </is>
      </c>
      <c r="H27" s="17" t="inlineStr">
        <is>
          <t>https://www.rgd.gov.lk/web/images/ActsPDF/notary/Notaries-English.pdf</t>
        </is>
      </c>
      <c r="I27" s="17" t="inlineStr">
        <is>
          <t>Indispensable</t>
        </is>
      </c>
      <c r="J27" s="17" t="inlineStr">
        <is>
          <t>Where the vendor signs through an attorney, the power of attorney becomes a document the notary must obtain, copy and forward.
TEMPORAL: Long-standing rule in force at April 2026.</t>
        </is>
      </c>
      <c r="K27" s="17" t="inlineStr">
        <is>
          <t>[verified]</t>
        </is>
      </c>
      <c r="L27" s="21" t="n"/>
      <c r="M27" s="21" t="n"/>
      <c r="N27" s="21" t="n"/>
      <c r="O27" s="21" t="n"/>
      <c r="P27" s="21" t="n"/>
      <c r="Q27" s="17">
        <f>IF(OR(A27="",B27=""),"",IF(AND(L27&lt;&gt;"",P27&lt;&gt;"",IF(L27="Wrong citation",AND(M27&lt;&gt;"",N27&lt;&gt;""),TRUE)),"Complete","Pending"))</f>
        <v/>
      </c>
    </row>
    <row r="28">
      <c r="A28" s="19" t="inlineStr">
        <is>
          <t>M002-Q01</t>
        </is>
      </c>
      <c r="B28" s="19" t="inlineStr">
        <is>
          <t>PROV-M002-013</t>
        </is>
      </c>
      <c r="C28" s="17" t="inlineStr">
        <is>
          <t>Land (Restrictions on Alienation) Act No. 38 of 2014</t>
        </is>
      </c>
      <c r="D28" s="17" t="inlineStr">
        <is>
          <t>s.2 (1)</t>
        </is>
      </c>
      <c r="E28" s="17" t="inlineStr">
        <is>
          <t>2026-04</t>
        </is>
      </c>
      <c r="F28" s="17" t="inlineStr">
        <is>
          <t>Current on reference date</t>
        </is>
      </c>
      <c r="G28"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28" s="17" t="inlineStr">
        <is>
          <t>https://www.rgd.gov.lk/web/images/ActsPDF/notary/2014-38E.pdf</t>
        </is>
      </c>
      <c r="I28" s="17" t="inlineStr">
        <is>
          <t>Indispensable</t>
        </is>
      </c>
      <c r="J28" s="17" t="inlineStr">
        <is>
          <t>The purchaser is a Sri Lankan incorporated company, so the notary must establish from the company's own records what proportion of its shares is held directly or indirectly by foreigners.
TEMPORAL: Section 2 as amended by Act No. 3 of 2017 and Act No. 21 of 2018, both before April 2026.</t>
        </is>
      </c>
      <c r="K28" s="17" t="inlineStr">
        <is>
          <t>[partially_verified] Wording is verbatim but the temporal note misattributes the amendment history: in the corpus, Act No. 3 of 2017 inserts section 5A and Act No. 21 of 2018 amends sections 3 and 5A, and the corpus row for section 2 records no amendment events, so section 2 is not shown to have been amended by either Act.</t>
        </is>
      </c>
      <c r="L28" s="21" t="n"/>
      <c r="M28" s="21" t="n"/>
      <c r="N28" s="21" t="n"/>
      <c r="O28" s="21" t="n"/>
      <c r="P28" s="21" t="n"/>
      <c r="Q28" s="17">
        <f>IF(OR(A28="",B28=""),"",IF(AND(L28&lt;&gt;"",P28&lt;&gt;"",IF(L28="Wrong citation",AND(M28&lt;&gt;"",N28&lt;&gt;""),TRUE)),"Complete","Pending"))</f>
        <v/>
      </c>
    </row>
    <row r="29">
      <c r="A29" s="19" t="inlineStr">
        <is>
          <t>M002-Q01</t>
        </is>
      </c>
      <c r="B29" s="19" t="inlineStr">
        <is>
          <t>PROV-M002-014</t>
        </is>
      </c>
      <c r="C29" s="17" t="inlineStr">
        <is>
          <t>Land (Restrictions on Alienation) Act No. 38 of 2014</t>
        </is>
      </c>
      <c r="D29" s="17" t="inlineStr">
        <is>
          <t>s.4 (3)</t>
        </is>
      </c>
      <c r="E29" s="17" t="inlineStr">
        <is>
          <t>2026-04</t>
        </is>
      </c>
      <c r="F29" s="17" t="inlineStr">
        <is>
          <t>Current on reference date</t>
        </is>
      </c>
      <c r="G29"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t>
        </is>
      </c>
      <c r="H29" s="17" t="inlineStr">
        <is>
          <t>https://www.rgd.gov.lk/web/images/ActsPDF/notary/2014-38E.pdf</t>
        </is>
      </c>
      <c r="I29" s="17" t="inlineStr">
        <is>
          <t>Indispensable</t>
        </is>
      </c>
      <c r="J29" s="17" t="inlineStr">
        <is>
          <t>Identifies the exact document the notary must have ready before registration: the company secretary's documentary proof of the foreign shareholding percentage.
TEMPORAL: In force from 2014 and unaffected on this point by the 2017 and 2018 amendments.</t>
        </is>
      </c>
      <c r="K29" s="17" t="inlineStr">
        <is>
          <t>[verified]</t>
        </is>
      </c>
      <c r="L29" s="21" t="n"/>
      <c r="M29" s="21" t="n"/>
      <c r="N29" s="21" t="n"/>
      <c r="O29" s="21" t="n"/>
      <c r="P29" s="21" t="n"/>
      <c r="Q29" s="17">
        <f>IF(OR(A29="",B29=""),"",IF(AND(L29&lt;&gt;"",P29&lt;&gt;"",IF(L29="Wrong citation",AND(M29&lt;&gt;"",N29&lt;&gt;""),TRUE)),"Complete","Pending"))</f>
        <v/>
      </c>
    </row>
    <row r="30">
      <c r="A30" s="19" t="inlineStr">
        <is>
          <t>M002-Q01</t>
        </is>
      </c>
      <c r="B30" s="19" t="inlineStr">
        <is>
          <t>PROV-M002-015</t>
        </is>
      </c>
      <c r="C30" s="17" t="inlineStr">
        <is>
          <t>Land (Restrictions on Alienation) Act No. 38 of 2014</t>
        </is>
      </c>
      <c r="D30" s="17" t="inlineStr">
        <is>
          <t>s.18</t>
        </is>
      </c>
      <c r="E30" s="17" t="inlineStr">
        <is>
          <t>2026-04</t>
        </is>
      </c>
      <c r="F30" s="17" t="inlineStr">
        <is>
          <t>Current on reference date</t>
        </is>
      </c>
      <c r="G30" s="17" t="inlineStr">
        <is>
          <t>Any alienation of land effected in contravention of the provisions of this Act, shall be void and shall have no effect in law.</t>
        </is>
      </c>
      <c r="H30" s="17" t="inlineStr">
        <is>
          <t>https://www.rgd.gov.lk/web/images/ActsPDF/notary/2014-38E.pdf</t>
        </is>
      </c>
      <c r="I30" s="17" t="inlineStr">
        <is>
          <t>Indispensable</t>
        </is>
      </c>
      <c r="J30" s="17" t="inlineStr">
        <is>
          <t>Sets the consequence that makes the shareholding check indispensable rather than merely prudent.
TEMPORAL: Unamended and in force at April 2026.</t>
        </is>
      </c>
      <c r="K30" s="17" t="inlineStr">
        <is>
          <t>[verified]</t>
        </is>
      </c>
      <c r="L30" s="21" t="n"/>
      <c r="M30" s="21" t="n"/>
      <c r="N30" s="21" t="n"/>
      <c r="O30" s="21" t="n"/>
      <c r="P30" s="21" t="n"/>
      <c r="Q30" s="17">
        <f>IF(OR(A30="",B30=""),"",IF(AND(L30&lt;&gt;"",P30&lt;&gt;"",IF(L30="Wrong citation",AND(M30&lt;&gt;"",N30&lt;&gt;""),TRUE)),"Complete","Pending"))</f>
        <v/>
      </c>
    </row>
    <row r="31">
      <c r="A31" s="19" t="inlineStr">
        <is>
          <t>M002-Q01</t>
        </is>
      </c>
      <c r="B31" s="19" t="inlineStr">
        <is>
          <t>PROV-M002-016</t>
        </is>
      </c>
      <c r="C31" s="17" t="inlineStr">
        <is>
          <t>Prevention of Frauds Ordinance No. 7 of 1840</t>
        </is>
      </c>
      <c r="D31" s="17" t="inlineStr">
        <is>
          <t>s.2 (2)</t>
        </is>
      </c>
      <c r="E31" s="17" t="inlineStr">
        <is>
          <t>2026-04</t>
        </is>
      </c>
      <c r="F31" s="17" t="inlineStr">
        <is>
          <t>Current on reference date</t>
        </is>
      </c>
      <c r="G31" s="17" t="inlineStr">
        <is>
          <t>Provided further, where the transferee is a corporate body and where the Board of Directors of such corporate body is unable to be present and execute the deed or instrument, such Board shall authorise in writing, any other person to sign such deed or instrument on his behalf, who shall comply with the requirements set out in subsection (1).</t>
        </is>
      </c>
      <c r="H31" s="17" t="inlineStr">
        <is>
          <t>https://lankalaw.net/wp-content/uploads/2025/03/Prevention-of-Frauds-Consolidated-2024.pdf</t>
        </is>
      </c>
      <c r="I31" s="17" t="inlineStr">
        <is>
          <t>Indispensable</t>
        </is>
      </c>
      <c r="J31" s="17" t="inlineStr">
        <is>
          <t>The transferee company must itself execute the deed, so the notary must hold the board's written authorisation for whoever signs for the company.
TEMPORAL: Section 2 as amended by Act No. 30 of 2022 and Act No. 4 of 2024, both before April 2026.</t>
        </is>
      </c>
      <c r="K31" s="17" t="inlineStr">
        <is>
          <t>[partially_verified] Wording is verbatim but the subsection label should be (2)(a): the excerpt is the second proviso to paragraph (a) of subsection (2), not free-standing text of subsection (2).</t>
        </is>
      </c>
      <c r="L31" s="21" t="n"/>
      <c r="M31" s="21" t="n"/>
      <c r="N31" s="21" t="n"/>
      <c r="O31" s="21" t="n"/>
      <c r="P31" s="21" t="n"/>
      <c r="Q31" s="17">
        <f>IF(OR(A31="",B31=""),"",IF(AND(L31&lt;&gt;"",P31&lt;&gt;"",IF(L31="Wrong citation",AND(M31&lt;&gt;"",N31&lt;&gt;""),TRUE)),"Complete","Pending"))</f>
        <v/>
      </c>
    </row>
    <row r="32">
      <c r="A32" s="19" t="inlineStr">
        <is>
          <t>M002-Q01</t>
        </is>
      </c>
      <c r="B32" s="19" t="inlineStr">
        <is>
          <t>PROV-M002-017</t>
        </is>
      </c>
      <c r="C32" s="17" t="inlineStr">
        <is>
          <t>Powers of Attorney Ordinance No. 4 of 1902</t>
        </is>
      </c>
      <c r="D32" s="17" t="inlineStr">
        <is>
          <t>s.3 (1)(a)</t>
        </is>
      </c>
      <c r="E32" s="17" t="inlineStr">
        <is>
          <t>2026-04</t>
        </is>
      </c>
      <c r="F32" s="17" t="inlineStr">
        <is>
          <t>Current on reference date</t>
        </is>
      </c>
      <c r="G32" s="17" t="inlineStr">
        <is>
          <t>Every power of attorney executed in Sri Lanka or any other country shall be registered with the Registrar General.</t>
        </is>
      </c>
      <c r="H32" s="17" t="inlineStr">
        <is>
          <t>https://www.rgd.gov.lk/web/images/ActsPDF/notary/powers-of-Attorney-English.pdf</t>
        </is>
      </c>
      <c r="I32" s="17" t="inlineStr">
        <is>
          <t>Indispensable</t>
        </is>
      </c>
      <c r="J32" s="17" t="inlineStr">
        <is>
          <t>If the vendor signs through an attorney, the notary must see that the power of attorney is one registered with the Registrar-General.
TEMPORAL: Section 3 as substituted by Act No. 28 of 2022; in force before April 2026.</t>
        </is>
      </c>
      <c r="K32" s="17" t="inlineStr">
        <is>
          <t>[verified]</t>
        </is>
      </c>
      <c r="L32" s="21" t="n"/>
      <c r="M32" s="21" t="n"/>
      <c r="N32" s="21" t="n"/>
      <c r="O32" s="21" t="n"/>
      <c r="P32" s="21" t="n"/>
      <c r="Q32" s="17">
        <f>IF(OR(A32="",B32=""),"",IF(AND(L32&lt;&gt;"",P32&lt;&gt;"",IF(L32="Wrong citation",AND(M32&lt;&gt;"",N32&lt;&gt;""),TRUE)),"Complete","Pending"))</f>
        <v/>
      </c>
    </row>
    <row r="33">
      <c r="A33" s="19" t="inlineStr">
        <is>
          <t>M002-Q01</t>
        </is>
      </c>
      <c r="B33" s="19" t="inlineStr">
        <is>
          <t>PROV-M002-018</t>
        </is>
      </c>
      <c r="C33" s="17" t="inlineStr">
        <is>
          <t>Powers of Attorney Ordinance No. 4 of 1902</t>
        </is>
      </c>
      <c r="D33" s="17" t="inlineStr">
        <is>
          <t>s.3B (1)</t>
        </is>
      </c>
      <c r="E33" s="17" t="inlineStr">
        <is>
          <t>2026-04</t>
        </is>
      </c>
      <c r="F33" s="17" t="inlineStr">
        <is>
          <t>Current on reference date</t>
        </is>
      </c>
      <c r="G33" s="17" t="inlineStr">
        <is>
          <t>(a) examine the relevant volumes and folios in the Registrar General's department; (b) be satisfied that the power of attorney has not been revoked or cancelled and shall state such fact in his attestation: and (c) retain the copies of the National Identity Card or the driving license or the bio page of the passport, as the case may be, of the grantor and the attorney, and a copy of the power of attorney.</t>
        </is>
      </c>
      <c r="H33" s="17" t="inlineStr">
        <is>
          <t>https://www.rgd.gov.lk/web/images/ActsPDF/notary/powers-of-Attorney-English.pdf</t>
        </is>
      </c>
      <c r="I33" s="17" t="inlineStr">
        <is>
          <t>Indispensable</t>
        </is>
      </c>
      <c r="J33" s="17" t="inlineStr">
        <is>
          <t>Where the transfer is signed under a power of attorney the notary must check the Registrar-General's volumes and folios for a revocation, and retain identity documents of grantor and attorney.
TEMPORAL: Inserted by Act No. 28 of 2022, in force before the April 2026 matter date.</t>
        </is>
      </c>
      <c r="K33" s="17" t="inlineStr">
        <is>
          <t>[partially_verified] Wording is verbatim, but the duty in section 3B(1) applies only to a transaction referred to in section 3A; that gateway is missing from the map and is added as PROV-M002-902.</t>
        </is>
      </c>
      <c r="L33" s="21" t="n"/>
      <c r="M33" s="21" t="n"/>
      <c r="N33" s="21" t="n"/>
      <c r="O33" s="21" t="n"/>
      <c r="P33" s="21" t="n"/>
      <c r="Q33" s="17">
        <f>IF(OR(A33="",B33=""),"",IF(AND(L33&lt;&gt;"",P33&lt;&gt;"",IF(L33="Wrong citation",AND(M33&lt;&gt;"",N33&lt;&gt;""),TRUE)),"Complete","Pending"))</f>
        <v/>
      </c>
    </row>
    <row r="34">
      <c r="A34" s="19" t="inlineStr">
        <is>
          <t>M002-Q01</t>
        </is>
      </c>
      <c r="B34" s="19" t="inlineStr">
        <is>
          <t>PROV-M002-902</t>
        </is>
      </c>
      <c r="C34" s="17" t="inlineStr">
        <is>
          <t>Powers of Attorney Ordinance No. 4 of 1902</t>
        </is>
      </c>
      <c r="D34" s="17" t="inlineStr">
        <is>
          <t>s.3A (3)</t>
        </is>
      </c>
      <c r="E34" s="17" t="inlineStr">
        <is>
          <t>2026-04</t>
        </is>
      </c>
      <c r="F34" s="17" t="inlineStr">
        <is>
          <t>Current on reference date</t>
        </is>
      </c>
      <c r="G34" s="17" t="inlineStr">
        <is>
          <t>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t>
        </is>
      </c>
      <c r="H34" s="17" t="inlineStr">
        <is>
          <t>https://www.rgd.gov.lk/web/images/ActsPDF/notary/powers-of-Attorney-English.pdf</t>
        </is>
      </c>
      <c r="I34" s="17" t="inlineStr">
        <is>
          <t>Indispensable</t>
        </is>
      </c>
      <c r="J34" s="17" t="inlineStr">
        <is>
          <t>A power of attorney granted abroad for a transaction within section 2 of the Prevention of Frauds Ordinance must satisfy these execution and content requirements. It is the gateway that makes the section 3B duty in PROV-M002-018 apply, and it fixes what the notary must look for on the face of a power of attorney executed in Melbourne.
TEMPORAL: Inserted by Powers of Attorney (Amendment) Act No. 28 of 2022; not touched by Act No. 3 of 2024, which amends sections 2, 3D and 4. In force at April 2026.</t>
        </is>
      </c>
      <c r="K34" s="17" t="inlineStr">
        <is>
          <t>[verified] Added by the verifier: indispensable cross-reference from section 3B, and directly engaged by the enrichment fact that the power of attorney was granted in Melbourne.</t>
        </is>
      </c>
      <c r="L34" s="21" t="n"/>
      <c r="M34" s="21" t="n"/>
      <c r="N34" s="21" t="n"/>
      <c r="O34" s="21" t="n"/>
      <c r="P34" s="21" t="n"/>
      <c r="Q34" s="17">
        <f>IF(OR(A34="",B34=""),"",IF(AND(L34&lt;&gt;"",P34&lt;&gt;"",IF(L34="Wrong citation",AND(M34&lt;&gt;"",N34&lt;&gt;""),TRUE)),"Complete","Pending"))</f>
        <v/>
      </c>
    </row>
    <row r="35">
      <c r="A35" s="19" t="inlineStr">
        <is>
          <t>M002-Q01</t>
        </is>
      </c>
      <c r="B35" s="19" t="inlineStr">
        <is>
          <t>PROV-M002-903</t>
        </is>
      </c>
      <c r="C35" s="17" t="inlineStr">
        <is>
          <t>Notaries Ordinance No. 1 of 1907</t>
        </is>
      </c>
      <c r="D35" s="17" t="inlineStr">
        <is>
          <t>s.31 rule (15A)(c)</t>
        </is>
      </c>
      <c r="E35" s="17" t="inlineStr">
        <is>
          <t>2026-04</t>
        </is>
      </c>
      <c r="F35" s="17" t="inlineStr">
        <is>
          <t>Current on reference date</t>
        </is>
      </c>
      <c r="G35" s="17" t="inlineStr">
        <is>
          <t>where a deed or instrument is signed by an attorney, such attorney shall submit to the notary an affidavit affirming that the Power of Attorney is genuine and in force and the grantor is alive when executing such deed or instrument</t>
        </is>
      </c>
      <c r="H35" s="17" t="inlineStr">
        <is>
          <t>https://www.rgd.gov.lk/web/images/ActsPDF/notary/Notaries-English.pdf</t>
        </is>
      </c>
      <c r="I35" s="17" t="inlineStr">
        <is>
          <t>Indispensable</t>
        </is>
      </c>
      <c r="J35" s="17" t="inlineStr">
        <is>
          <t>Names a further document the notary must obtain where the vendor signs through an attorney: the attorney's affidavit that the power is genuine and in force and that the grantor is alive. The researcher's attorney limb stops at the power of attorney and the revocation search.
TEMPORAL: Part of the section 31 text as amended before April 2026. The corpus body prints this rule without its number, so the label follows conventional numbering and is not confirmable from the corpus text.</t>
        </is>
      </c>
      <c r="K35" s="17" t="inlineStr">
        <is>
          <t>[verified] Added by the verifier: missing document requirement on the attorney limb.</t>
        </is>
      </c>
      <c r="L35" s="21" t="n"/>
      <c r="M35" s="21" t="n"/>
      <c r="N35" s="21" t="n"/>
      <c r="O35" s="21" t="n"/>
      <c r="P35" s="21" t="n"/>
      <c r="Q35" s="17">
        <f>IF(OR(A35="",B35=""),"",IF(AND(L35&lt;&gt;"",P35&lt;&gt;"",IF(L35="Wrong citation",AND(M35&lt;&gt;"",N35&lt;&gt;""),TRUE)),"Complete","Pending"))</f>
        <v/>
      </c>
    </row>
    <row r="36">
      <c r="A36" s="19" t="inlineStr">
        <is>
          <t>M002-Q01</t>
        </is>
      </c>
      <c r="B36" s="19" t="inlineStr">
        <is>
          <t>PROV-M002-006</t>
        </is>
      </c>
      <c r="C36" s="17" t="inlineStr">
        <is>
          <t>Notaries Ordinance No. 1 of 1907</t>
        </is>
      </c>
      <c r="D36" s="17" t="inlineStr">
        <is>
          <t>s.31 rule (16)(a)</t>
        </is>
      </c>
      <c r="E36" s="17" t="inlineStr">
        <is>
          <t>2026-04</t>
        </is>
      </c>
      <c r="F36" s="17" t="inlineStr">
        <is>
          <t>Current on reference date</t>
        </is>
      </c>
      <c r="G36"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t>
        </is>
      </c>
      <c r="H36" s="17" t="inlineStr">
        <is>
          <t>https://www.rgd.gov.lk/web/images/ActsPDF/notary/Notaries-English.pdf</t>
        </is>
      </c>
      <c r="I36" s="17" t="inlineStr">
        <is>
          <t>Supporting</t>
        </is>
      </c>
      <c r="J36" s="17" t="inlineStr">
        <is>
          <t>The notary can only produce the required accurate description by checking the survey plan and the descriptions in the prior deeds, which makes the plan and the prior deeds documents he must call for.
TEMPORAL: Text as amended before April 2026.</t>
        </is>
      </c>
      <c r="K36" s="17" t="inlineStr">
        <is>
          <t>[partially_verified] Wording is verbatim and the rule is correctly stated, but the corpus body of section 31 prints this rule without its number, so the subsection label follows conventional numbering and cannot be confirmed against the corpus text.</t>
        </is>
      </c>
      <c r="L36" s="21" t="n"/>
      <c r="M36" s="21" t="n"/>
      <c r="N36" s="21" t="n"/>
      <c r="O36" s="21" t="n"/>
      <c r="P36" s="21" t="n"/>
      <c r="Q36" s="17">
        <f>IF(OR(A36="",B36=""),"",IF(AND(L36&lt;&gt;"",P36&lt;&gt;"",IF(L36="Wrong citation",AND(M36&lt;&gt;"",N36&lt;&gt;""),TRUE)),"Complete","Pending"))</f>
        <v/>
      </c>
    </row>
    <row r="37">
      <c r="A37" s="19" t="inlineStr">
        <is>
          <t>M002-Q01</t>
        </is>
      </c>
      <c r="B37" s="19" t="inlineStr">
        <is>
          <t>PROV-M002-008</t>
        </is>
      </c>
      <c r="C37" s="17" t="inlineStr">
        <is>
          <t>Registration of Documents Ordinance No. 23 of 1927</t>
        </is>
      </c>
      <c r="D37" s="17" t="inlineStr">
        <is>
          <t>s.7 (1)</t>
        </is>
      </c>
      <c r="E37" s="17" t="inlineStr">
        <is>
          <t>2026-04</t>
        </is>
      </c>
      <c r="F37" s="17" t="inlineStr">
        <is>
          <t>Current on reference date</t>
        </is>
      </c>
      <c r="G37" s="17" t="inlineStr">
        <is>
          <t>An instrument executed or made on or after the 1st day of January, 1864, whether before or after the commencement of this Ordinance shall, unless it is duly registered under this Chapter</t>
        </is>
      </c>
      <c r="H37" s="17" t="inlineStr">
        <is>
          <t>https://lankalaw.net/wp-content/uploads/2025/03/Registration-of-Documents-Consolidated-2024.pdf</t>
        </is>
      </c>
      <c r="I37" s="17" t="inlineStr">
        <is>
          <t>Supporting</t>
        </is>
      </c>
      <c r="J37" s="17" t="inlineStr">
        <is>
          <t>Explains why the registry search matters: priority between competing deeds turns on registration, so the purchaser must see the registered chain before paying.
TEMPORAL: Unamended since 1927.</t>
        </is>
      </c>
      <c r="K37" s="17" t="inlineStr">
        <is>
          <t>[verified]</t>
        </is>
      </c>
      <c r="L37" s="21" t="n"/>
      <c r="M37" s="21" t="n"/>
      <c r="N37" s="21" t="n"/>
      <c r="O37" s="21" t="n"/>
      <c r="P37" s="21" t="n"/>
      <c r="Q37" s="17">
        <f>IF(OR(A37="",B37=""),"",IF(AND(L37&lt;&gt;"",P37&lt;&gt;"",IF(L37="Wrong citation",AND(M37&lt;&gt;"",N37&lt;&gt;""),TRUE)),"Complete","Pending"))</f>
        <v/>
      </c>
    </row>
    <row r="38">
      <c r="A38" s="19" t="inlineStr">
        <is>
          <t>M002-Q01</t>
        </is>
      </c>
      <c r="B38" s="19" t="inlineStr">
        <is>
          <t>PROV-M002-009</t>
        </is>
      </c>
      <c r="C38" s="17" t="inlineStr">
        <is>
          <t>Registration of Documents Ordinance No. 23 of 1927</t>
        </is>
      </c>
      <c r="D38" s="17" t="inlineStr">
        <is>
          <t>s.42</t>
        </is>
      </c>
      <c r="E38" s="17" t="inlineStr">
        <is>
          <t>2026-04</t>
        </is>
      </c>
      <c r="F38" s="17" t="inlineStr">
        <is>
          <t>Current on reference date</t>
        </is>
      </c>
      <c r="G38"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38" s="17" t="inlineStr">
        <is>
          <t>https://lankalaw.net/wp-content/uploads/2025/03/Registration-of-Documents-Consolidated-2024.pdf</t>
        </is>
      </c>
      <c r="I38" s="17" t="inlineStr">
        <is>
          <t>Supporting</t>
        </is>
      </c>
      <c r="J38" s="17" t="inlineStr">
        <is>
          <t>Gives the notary the statutory right of access to the registry books and to certified copies and extracts, which is the mechanism by which the section 31 search is carried out.
TEMPORAL: Unamended since 1927.</t>
        </is>
      </c>
      <c r="K38" s="17" t="inlineStr">
        <is>
          <t>[verified]</t>
        </is>
      </c>
      <c r="L38" s="21" t="n"/>
      <c r="M38" s="21" t="n"/>
      <c r="N38" s="21" t="n"/>
      <c r="O38" s="21" t="n"/>
      <c r="P38" s="21" t="n"/>
      <c r="Q38" s="17">
        <f>IF(OR(A38="",B38=""),"",IF(AND(L38&lt;&gt;"",P38&lt;&gt;"",IF(L38="Wrong citation",AND(M38&lt;&gt;"",N38&lt;&gt;""),TRUE)),"Complete","Pending"))</f>
        <v/>
      </c>
    </row>
    <row r="39">
      <c r="A39" s="19" t="inlineStr">
        <is>
          <t>M002-Q01</t>
        </is>
      </c>
      <c r="B39" s="19" t="inlineStr">
        <is>
          <t>PROV-M002-010</t>
        </is>
      </c>
      <c r="C39" s="17" t="inlineStr">
        <is>
          <t>Registration of Documents Ordinance No. 23 of 1927</t>
        </is>
      </c>
      <c r="D39" s="17" t="inlineStr">
        <is>
          <t>s.11 (1)</t>
        </is>
      </c>
      <c r="E39" s="17" t="inlineStr">
        <is>
          <t>2026-04</t>
        </is>
      </c>
      <c r="F39" s="17" t="inlineStr">
        <is>
          <t>Current on reference date</t>
        </is>
      </c>
      <c r="G39" s="17" t="inlineStr">
        <is>
          <t>shall bind a purchaser, unless and until the lis pendens is duly registered under this Chapter.</t>
        </is>
      </c>
      <c r="H39" s="17" t="inlineStr">
        <is>
          <t>https://lankalaw.net/wp-content/uploads/2025/03/Registration-of-Documents-Consolidated-2024.pdf</t>
        </is>
      </c>
      <c r="I39" s="17" t="inlineStr">
        <is>
          <t>Supporting</t>
        </is>
      </c>
      <c r="J39" s="17" t="inlineStr">
        <is>
          <t>A registered lis pendens binds the purchaser, so the search must extend to registered lis pendens entries against the land.
TEMPORAL: The 1947 amendment predates the matter date. The corpus text of subsection (1) carries an OCR artefact, rendering the opening words as 'No Us pendens'.</t>
        </is>
      </c>
      <c r="K39" s="17" t="inlineStr">
        <is>
          <t>[partially_verified] Wording is verbatim but the excerpt begins mid-sentence and drops the opening negative (no lis pendens shall bind a purchaser unless registered), so read alone it inverts the rule; the claim built on it states the rule correctly.</t>
        </is>
      </c>
      <c r="L39" s="21" t="n"/>
      <c r="M39" s="21" t="n"/>
      <c r="N39" s="21" t="n"/>
      <c r="O39" s="21" t="n"/>
      <c r="P39" s="21" t="n"/>
      <c r="Q39" s="17">
        <f>IF(OR(A39="",B39=""),"",IF(AND(L39&lt;&gt;"",P39&lt;&gt;"",IF(L39="Wrong citation",AND(M39&lt;&gt;"",N39&lt;&gt;""),TRUE)),"Complete","Pending"))</f>
        <v/>
      </c>
    </row>
    <row r="40">
      <c r="A40" s="19" t="inlineStr">
        <is>
          <t>M002-Q01</t>
        </is>
      </c>
      <c r="B40" s="19" t="inlineStr">
        <is>
          <t>PROV-M002-011</t>
        </is>
      </c>
      <c r="C40" s="17" t="inlineStr">
        <is>
          <t>Registration of Documents Ordinance No. 23 of 1927</t>
        </is>
      </c>
      <c r="D40" s="17" t="inlineStr">
        <is>
          <t>s.32 (1)</t>
        </is>
      </c>
      <c r="E40" s="17" t="inlineStr">
        <is>
          <t>2026-04</t>
        </is>
      </c>
      <c r="F40" s="17" t="inlineStr">
        <is>
          <t>Current on reference date</t>
        </is>
      </c>
      <c r="G40" s="17" t="inlineStr">
        <is>
          <t>may present for registration a caveat in the prescribed form requiring to be served with notice of the presentation for registration of any instrument affecting the land described in the caveat.</t>
        </is>
      </c>
      <c r="H40" s="17" t="inlineStr">
        <is>
          <t>https://lankalaw.net/wp-content/uploads/2025/03/Registration-of-Documents-Consolidated-2024.pdf</t>
        </is>
      </c>
      <c r="I40" s="17" t="inlineStr">
        <is>
          <t>Supporting</t>
        </is>
      </c>
      <c r="J40" s="17" t="inlineStr">
        <is>
          <t>Registered caveats are a further class of registry entry the notary must look for, because a caveator can move to have the transfer rectified or cancelled.
TEMPORAL: Unamended since 1927.</t>
        </is>
      </c>
      <c r="K40" s="17" t="inlineStr">
        <is>
          <t>[partially_verified] Wording is verbatim but the temporal note is wrong: the corpus edition is the 1990 consolidation, and Registration of Documents (Amendment) Act No. 32 of 2022 s.2(1) repealed and substituted subsection (1) (and s.2(5) substituted sixty days for thirty in subsection (5)), so this is not the text in force at April 2026, although the caveat mechanism it describes survives.</t>
        </is>
      </c>
      <c r="L40" s="21" t="n"/>
      <c r="M40" s="21" t="n"/>
      <c r="N40" s="21" t="n"/>
      <c r="O40" s="21" t="n"/>
      <c r="P40" s="21" t="n"/>
      <c r="Q40" s="17">
        <f>IF(OR(A40="",B40=""),"",IF(AND(L40&lt;&gt;"",P40&lt;&gt;"",IF(L40="Wrong citation",AND(M40&lt;&gt;"",N40&lt;&gt;""),TRUE)),"Complete","Pending"))</f>
        <v/>
      </c>
    </row>
    <row r="41">
      <c r="A41" s="19" t="inlineStr">
        <is>
          <t>M002-Q01</t>
        </is>
      </c>
      <c r="B41" s="19" t="inlineStr">
        <is>
          <t>PROV-M002-012</t>
        </is>
      </c>
      <c r="C41" s="17" t="inlineStr">
        <is>
          <t>Registration of Documents Ordinance No. 23 of 1927</t>
        </is>
      </c>
      <c r="D41" s="17" t="inlineStr">
        <is>
          <t>s.13 (1)</t>
        </is>
      </c>
      <c r="E41" s="17" t="inlineStr">
        <is>
          <t>2026-04</t>
        </is>
      </c>
      <c r="F41" s="17" t="inlineStr">
        <is>
          <t>Current on reference date</t>
        </is>
      </c>
      <c r="G41" s="17" t="inlineStr">
        <is>
          <t>Every instrument (except a will) presented for registration shall contain embodied therein, or in a schedule annexed thereto, an accurate and clear description of the land affected thereby, its boundaries, extent, and situation</t>
        </is>
      </c>
      <c r="H41" s="17" t="inlineStr">
        <is>
          <t>https://lankalaw.net/wp-content/uploads/2025/03/Registration-of-Documents-Consolidated-2024.pdf</t>
        </is>
      </c>
      <c r="I41" s="17" t="inlineStr">
        <is>
          <t>Supporting</t>
        </is>
      </c>
      <c r="J41" s="17" t="inlineStr">
        <is>
          <t>Registration will be refused unless the description is accurate, which is a second reason to obtain the survey plan and the prior deeds before drafting.
TEMPORAL: Subsections (5A) and (5B) were added before the matter date and do not affect subsection (1).</t>
        </is>
      </c>
      <c r="K41" s="17" t="inlineStr">
        <is>
          <t>[partially_verified] Wording is verbatim but the temporal note is wrong: subsection (1) was repealed and substituted by Registration of Documents (Amendment) Act No. 48 of 2011 s.2, which is in the corpus; the 1990 consolidation held here is the superseded text, although the description requirement it states survives the substitution.</t>
        </is>
      </c>
      <c r="L41" s="21" t="n"/>
      <c r="M41" s="21" t="n"/>
      <c r="N41" s="21" t="n"/>
      <c r="O41" s="21" t="n"/>
      <c r="P41" s="21" t="n"/>
      <c r="Q41" s="17">
        <f>IF(OR(A41="",B41=""),"",IF(AND(L41&lt;&gt;"",P41&lt;&gt;"",IF(L41="Wrong citation",AND(M41&lt;&gt;"",N41&lt;&gt;""),TRUE)),"Complete","Pending"))</f>
        <v/>
      </c>
    </row>
    <row r="42">
      <c r="A42" s="19" t="inlineStr">
        <is>
          <t>M002-Q01</t>
        </is>
      </c>
      <c r="B42" s="19" t="inlineStr">
        <is>
          <t>PROV-M002-019</t>
        </is>
      </c>
      <c r="C42" s="17" t="inlineStr">
        <is>
          <t>Companies Act No. 7 of 2007</t>
        </is>
      </c>
      <c r="D42" s="17" t="inlineStr">
        <is>
          <t>s.5 (3)</t>
        </is>
      </c>
      <c r="E42" s="17" t="inlineStr">
        <is>
          <t>2026-04</t>
        </is>
      </c>
      <c r="F42" s="17" t="inlineStr">
        <is>
          <t>Current on reference date</t>
        </is>
      </c>
      <c r="G42" s="17" t="inlineStr">
        <is>
          <t>A certificate of incorporation issued under this section in-respect of any company, shall be conclusive evidence of the fact that- (a) all the requirements under this Act relating to the incorporation of a company have been complied with; and (b) the company has been incorporated under this Act on the date specified in such certificate of incorporation.</t>
        </is>
      </c>
      <c r="H42" s="17" t="inlineStr">
        <is>
          <t>https://www.drc.gov.lk/en/wp-content/uploads/2018/04/Act-7-of-2007-English.pdf</t>
        </is>
      </c>
      <c r="I42" s="17" t="inlineStr">
        <is>
          <t>Supporting</t>
        </is>
      </c>
      <c r="J42" s="17" t="inlineStr">
        <is>
          <t>Explains what the certificate of incorporation the notary retains actually proves about the purchaser's existence and capacity to hold land.
TEMPORAL: The 2019 amendment does not touch section 5(3).</t>
        </is>
      </c>
      <c r="K42" s="17" t="inlineStr">
        <is>
          <t>[verified]</t>
        </is>
      </c>
      <c r="L42" s="21" t="n"/>
      <c r="M42" s="21" t="n"/>
      <c r="N42" s="21" t="n"/>
      <c r="O42" s="21" t="n"/>
      <c r="P42" s="21" t="n"/>
      <c r="Q42" s="17">
        <f>IF(OR(A42="",B42=""),"",IF(AND(L42&lt;&gt;"",P42&lt;&gt;"",IF(L42="Wrong citation",AND(M42&lt;&gt;"",N42&lt;&gt;""),TRUE)),"Complete","Pending"))</f>
        <v/>
      </c>
    </row>
    <row r="43">
      <c r="A43" s="19" t="inlineStr">
        <is>
          <t>M002-Q01</t>
        </is>
      </c>
      <c r="B43" s="19" t="inlineStr">
        <is>
          <t>PROV-M002-020</t>
        </is>
      </c>
      <c r="C43" s="17" t="inlineStr">
        <is>
          <t>Prescription Ordinance No. 22 of 1871</t>
        </is>
      </c>
      <c r="D43" s="17" t="inlineStr">
        <is>
          <t>s.3</t>
        </is>
      </c>
      <c r="E43" s="17" t="inlineStr">
        <is>
          <t>2026-04</t>
        </is>
      </c>
      <c r="F43" s="17" t="inlineStr">
        <is>
          <t>Current on reference date</t>
        </is>
      </c>
      <c r="G43" s="17" t="inlineStr">
        <is>
          <t>Proof of the undisturbed and uninterrupted possession by a defendant in any action, or by those under whom he claims, of lands or immovable property, by a title adverse to or independent of that of the claimant or plaintiff in such action</t>
        </is>
      </c>
      <c r="H43" s="17" t="inlineStr">
        <is>
          <t>https://lankalaw.net/wp-content/uploads/2024/03/Legislative-Enactments-Vol-4.pdf</t>
        </is>
      </c>
      <c r="I43" s="17" t="inlineStr">
        <is>
          <t>Supporting</t>
        </is>
      </c>
      <c r="J43" s="17" t="inlineStr">
        <is>
          <t>Paper title alone is not enough: ten years of adverse possession can defeat it, so the notary must also examine possession on the ground and not rely on the deeds in isolation.
TEMPORAL: Section 3 unamended; Act No. 26 of 2014 did not alter it.</t>
        </is>
      </c>
      <c r="K43" s="17" t="inlineStr">
        <is>
          <t>[verified]</t>
        </is>
      </c>
      <c r="L43" s="21" t="n"/>
      <c r="M43" s="21" t="n"/>
      <c r="N43" s="21" t="n"/>
      <c r="O43" s="21" t="n"/>
      <c r="P43" s="21" t="n"/>
      <c r="Q43" s="17">
        <f>IF(OR(A43="",B43=""),"",IF(AND(L43&lt;&gt;"",P43&lt;&gt;"",IF(L43="Wrong citation",AND(M43&lt;&gt;"",N43&lt;&gt;""),TRUE)),"Complete","Pending"))</f>
        <v/>
      </c>
    </row>
    <row r="44">
      <c r="A44" s="19" t="inlineStr">
        <is>
          <t>M002-Q01</t>
        </is>
      </c>
      <c r="B44" s="19" t="inlineStr">
        <is>
          <t>PROV-M002-901</t>
        </is>
      </c>
      <c r="C44" s="17" t="inlineStr">
        <is>
          <t>Notaries Ordinance No. 1 of 1907</t>
        </is>
      </c>
      <c r="D44" s="17" t="inlineStr">
        <is>
          <t>s.31(proviso to rule (17))</t>
        </is>
      </c>
      <c r="E44" s="17" t="inlineStr">
        <is>
          <t>2026-04</t>
        </is>
      </c>
      <c r="F44" s="17" t="inlineStr">
        <is>
          <t>Current on reference date</t>
        </is>
      </c>
      <c r="G44"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44" s="17" t="inlineStr">
        <is>
          <t>https://www.rgd.gov.lk/web/images/ActsPDF/notary/Notaries-English.pdf</t>
        </is>
      </c>
      <c r="I44" s="17" t="inlineStr">
        <is>
          <t>Supporting</t>
        </is>
      </c>
      <c r="J44" s="17" t="inlineStr">
        <is>
          <t>The exception to the search duty relied on in PROV-M002-001: the parties may authorise the notary in writing to dispense with the search, in which case he must still write the reference to the previous registration at the head of the deed. A checklist that states the search duty without its statutory exception is incomplete.
TEMPORAL: Part of the section 31 text as amended by Acts No. 47 of 2011, No. 31 of 2022 and No. 6 of 2024, all before April 2026.</t>
        </is>
      </c>
      <c r="K44" s="17" t="inlineStr">
        <is>
          <t>[verified] Added by the verifier: proviso missing from the researcher's map.</t>
        </is>
      </c>
      <c r="L44" s="21" t="n"/>
      <c r="M44" s="21" t="n"/>
      <c r="N44" s="21" t="n"/>
      <c r="O44" s="21" t="n"/>
      <c r="P44" s="21" t="n"/>
      <c r="Q44" s="17">
        <f>IF(OR(A44="",B44=""),"",IF(AND(L44&lt;&gt;"",P44&lt;&gt;"",IF(L44="Wrong citation",AND(M44&lt;&gt;"",N44&lt;&gt;""),TRUE)),"Complete","Pending"))</f>
        <v/>
      </c>
    </row>
    <row r="45">
      <c r="A45" s="19" t="inlineStr">
        <is>
          <t>M002-Q01</t>
        </is>
      </c>
      <c r="B45" s="19" t="inlineStr">
        <is>
          <t>PROV-M002-904</t>
        </is>
      </c>
      <c r="C45" s="17" t="inlineStr">
        <is>
          <t>Registration of Documents Ordinance No. 23 of 1927</t>
        </is>
      </c>
      <c r="D45" s="17" t="inlineStr">
        <is>
          <t>s.13 (5)</t>
        </is>
      </c>
      <c r="E45" s="17" t="inlineStr">
        <is>
          <t>2026-04</t>
        </is>
      </c>
      <c r="F45" s="17" t="inlineStr">
        <is>
          <t>Current on reference date</t>
        </is>
      </c>
      <c r="G45" s="17" t="inlineStr">
        <is>
          <t>Every Registrar shall refuse to register an instrument, other than a will, which docs not state the particulars required by the foregoing provisions of this section.</t>
        </is>
      </c>
      <c r="H45" s="17" t="inlineStr">
        <is>
          <t>https://lankalaw.net/wp-content/uploads/2025/03/Registration-of-Documents-Consolidated-2024.pdf</t>
        </is>
      </c>
      <c r="I45" s="17" t="inlineStr">
        <is>
          <t>Supporting</t>
        </is>
      </c>
      <c r="J45" s="17" t="inlineStr">
        <is>
          <t>Supplies the refusal consequence that claim CL-M002-Q01-007 asserts. The researcher cited only subsection (1), which states the description requirement but not the sanction.
TEMPORAL: In force at April 2026. The corpus edition is the 1990 consolidation; Acts No. 48 of 2011 and No. 21 of 2013 amend subsections (1) and (6) of this section and leave subsection (5) untouched. The word 'docs' is an OCR artefact for 'does'.</t>
        </is>
      </c>
      <c r="K45" s="17" t="inlineStr">
        <is>
          <t>[verified] Added by the verifier so that the refusal limb of CL-M002-Q01-007 rests on a cited provision.</t>
        </is>
      </c>
      <c r="L45" s="21" t="n"/>
      <c r="M45" s="21" t="n"/>
      <c r="N45" s="21" t="n"/>
      <c r="O45" s="21" t="n"/>
      <c r="P45" s="21" t="n"/>
      <c r="Q45" s="17">
        <f>IF(OR(A45="",B45=""),"",IF(AND(L45&lt;&gt;"",P45&lt;&gt;"",IF(L45="Wrong citation",AND(M45&lt;&gt;"",N45&lt;&gt;""),TRUE)),"Complete","Pending"))</f>
        <v/>
      </c>
    </row>
    <row r="46">
      <c r="A46" s="19" t="inlineStr">
        <is>
          <t>M002-Q01</t>
        </is>
      </c>
      <c r="B46" s="19" t="inlineStr">
        <is>
          <t>PROV-M002-905</t>
        </is>
      </c>
      <c r="C46" s="17" t="inlineStr">
        <is>
          <t>Registration of Documents Ordinance No. 23 of 1927</t>
        </is>
      </c>
      <c r="D46" s="17" t="inlineStr">
        <is>
          <t>s.32 (5)</t>
        </is>
      </c>
      <c r="E46" s="17" t="inlineStr">
        <is>
          <t>2026-04</t>
        </is>
      </c>
      <c r="F46" s="17" t="inlineStr">
        <is>
          <t>Current on reference date</t>
        </is>
      </c>
      <c r="G46" s="17" t="inlineStr">
        <is>
          <t>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t>
        </is>
      </c>
      <c r="H46" s="17" t="inlineStr">
        <is>
          <t>https://lankalaw.net/wp-content/uploads/2025/03/Registration-of-Documents-Consolidated-2024.pdf</t>
        </is>
      </c>
      <c r="I46" s="17" t="inlineStr">
        <is>
          <t>Supporting</t>
        </is>
      </c>
      <c r="J46" s="17" t="inlineStr">
        <is>
          <t>Supplies the rectification or cancellation consequence that claim CL-M002-Q01-005 asserts. The researcher cited only subsection (1), which creates the caveat but says nothing about the caveator's remedy.
TEMPORAL: The corpus edition is the 1990 consolidation. Registration of Documents (Amendment) Act No. 32 of 2022 s.2(5) substituted sixty days for the thirty days in this subsection, so the time limit in the corpus text is superseded; the rectification power itself is unchanged.</t>
        </is>
      </c>
      <c r="K46" s="17" t="inlineStr">
        <is>
          <t>[verified] Added by the verifier so that the rectification limb of CL-M002-Q01-005 rests on a cited provision.</t>
        </is>
      </c>
      <c r="L46" s="21" t="n"/>
      <c r="M46" s="21" t="n"/>
      <c r="N46" s="21" t="n"/>
      <c r="O46" s="21" t="n"/>
      <c r="P46" s="21" t="n"/>
      <c r="Q46" s="17">
        <f>IF(OR(A46="",B46=""),"",IF(AND(L46&lt;&gt;"",P46&lt;&gt;"",IF(L46="Wrong citation",AND(M46&lt;&gt;"",N46&lt;&gt;""),TRUE)),"Complete","Pending"))</f>
        <v/>
      </c>
    </row>
    <row r="47">
      <c r="A47" s="19" t="inlineStr">
        <is>
          <t>M002-Q01</t>
        </is>
      </c>
      <c r="B47" s="19" t="inlineStr">
        <is>
          <t>PROV-M002-906</t>
        </is>
      </c>
      <c r="C47" s="17" t="inlineStr">
        <is>
          <t>Powers of Attorney Ordinance No. 4 of 1902</t>
        </is>
      </c>
      <c r="D47" s="17" t="inlineStr">
        <is>
          <t>s.3C</t>
        </is>
      </c>
      <c r="E47" s="17" t="inlineStr">
        <is>
          <t>2026-04</t>
        </is>
      </c>
      <c r="F47" s="17" t="inlineStr">
        <is>
          <t>Current on reference date</t>
        </is>
      </c>
      <c r="G47" s="17" t="inlineStr">
        <is>
          <t>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t>
        </is>
      </c>
      <c r="H47" s="17" t="inlineStr">
        <is>
          <t>https://www.rgd.gov.lk/web/images/ActsPDF/notary/powers-of-Attorney-English.pdf</t>
        </is>
      </c>
      <c r="I47" s="17" t="inlineStr">
        <is>
          <t>Supporting</t>
        </is>
      </c>
      <c r="J47" s="17" t="inlineStr">
        <is>
          <t>The notary must check the age of the power of attorney, not only whether it has been revoked: a power is valid for five years from execution unless it states its own period. On the enriched facts the March 2024 power is still within that period, but the check belongs on the checklist.
TEMPORAL: Inserted by Powers of Attorney (Amendment) Act No. 28 of 2022; in force at April 2026.</t>
        </is>
      </c>
      <c r="K47" s="17" t="inlineStr">
        <is>
          <t>[verified] Added by the verifier: validity period check missing from the attorney limb.</t>
        </is>
      </c>
      <c r="L47" s="21" t="n"/>
      <c r="M47" s="21" t="n"/>
      <c r="N47" s="21" t="n"/>
      <c r="O47" s="21" t="n"/>
      <c r="P47" s="21" t="n"/>
      <c r="Q47" s="17">
        <f>IF(OR(A47="",B47=""),"",IF(AND(L47&lt;&gt;"",P47&lt;&gt;"",IF(L47="Wrong citation",AND(M47&lt;&gt;"",N47&lt;&gt;""),TRUE)),"Complete","Pending"))</f>
        <v/>
      </c>
    </row>
    <row r="48">
      <c r="A48" s="19" t="inlineStr">
        <is>
          <t>M002-Q01</t>
        </is>
      </c>
      <c r="B48" s="19" t="inlineStr">
        <is>
          <t>PROV-M002-021</t>
        </is>
      </c>
      <c r="C48" s="17" t="inlineStr">
        <is>
          <t>Land Acquisition Act No. 9 of 1950</t>
        </is>
      </c>
      <c r="D48" s="17" t="inlineStr">
        <is>
          <t>s.2 (1)</t>
        </is>
      </c>
      <c r="E48" s="17" t="inlineStr">
        <is>
          <t>2026-04</t>
        </is>
      </c>
      <c r="F48" s="17" t="inlineStr">
        <is>
          <t>Current on reference date</t>
        </is>
      </c>
      <c r="G48" s="17" t="inlineStr">
        <is>
          <t>Where the Minister decides that land in any area is needed for any public purpose, he may direct the acquiring officer of the district in which that area lies to cause a notice in accordance with subsection (2) to be exhibited in some conspicuous places in that area.</t>
        </is>
      </c>
      <c r="H48" s="17" t="inlineStr">
        <is>
          <t>https://faolex.fao.org/docs/pdf/srl13617.pdf</t>
        </is>
      </c>
      <c r="I48" s="17" t="inlineStr">
        <is>
          <t>Background</t>
        </is>
      </c>
      <c r="J48" s="17" t="inlineStr">
        <is>
          <t>Background for the check on whether an acquisition notice affects the area, since land under acquisition is of no use to the company for a hotel.
TEMPORAL: In force at April 2026; the 1969, 1979 and 1986 amendments do not affect section 2(1).</t>
        </is>
      </c>
      <c r="K48" s="17" t="inlineStr">
        <is>
          <t>[partially_verified] Wording is verbatim and the background role is right, but section 2 concerns a preliminary investigation notice exhibited in the area; it creates nothing registrable, so it does not support a check made through registry entries.</t>
        </is>
      </c>
      <c r="L48" s="21" t="n"/>
      <c r="M48" s="21" t="n"/>
      <c r="N48" s="21" t="n"/>
      <c r="O48" s="21" t="n"/>
      <c r="P48" s="21" t="n"/>
      <c r="Q48" s="17">
        <f>IF(OR(A48="",B48=""),"",IF(AND(L48&lt;&gt;"",P48&lt;&gt;"",IF(L48="Wrong citation",AND(M48&lt;&gt;"",N48&lt;&gt;""),TRUE)),"Complete","Pending"))</f>
        <v/>
      </c>
    </row>
    <row r="49">
      <c r="A49" s="19" t="inlineStr">
        <is>
          <t>M002-Q01</t>
        </is>
      </c>
      <c r="B49" s="19" t="inlineStr">
        <is>
          <t>PROV-M002-022</t>
        </is>
      </c>
      <c r="C49" s="17" t="inlineStr">
        <is>
          <t>Land Development Ordinance No. 19 of 1935</t>
        </is>
      </c>
      <c r="D49" s="17" t="inlineStr">
        <is>
          <t>s.46 (1)</t>
        </is>
      </c>
      <c r="E49" s="17" t="inlineStr">
        <is>
          <t>2026-04</t>
        </is>
      </c>
      <c r="F49" s="17" t="inlineStr">
        <is>
          <t>Current on reference date</t>
        </is>
      </c>
      <c r="G49" s="17" t="inlineStr">
        <is>
          <t>Subject to the provisions of subsection (2), no permit-holder shall execute or effect any disposition of the land alienated to him on the permit.</t>
        </is>
      </c>
      <c r="H49" s="17" t="inlineStr">
        <is>
          <t>https://lankalaw.net/wp-content/uploads/2025/03/Land-Development-Consolidated-2024.pdf</t>
        </is>
      </c>
      <c r="I49" s="17" t="inlineStr">
        <is>
          <t>Background</t>
        </is>
      </c>
      <c r="J49" s="17" t="inlineStr">
        <is>
          <t>Background for tracing the root of title back to any State grant or permit, because a disposition by a permit-holder is null and void.
TEMPORAL: In force at April 2026.</t>
        </is>
      </c>
      <c r="K49" s="17" t="inlineStr">
        <is>
          <t>[partially_verified] Wording is verbatim, but the nullity relied on in why_relevant is in subsection (3), not the excerpted subsection (1).</t>
        </is>
      </c>
      <c r="L49" s="21" t="n"/>
      <c r="M49" s="21" t="n"/>
      <c r="N49" s="21" t="n"/>
      <c r="O49" s="21" t="n"/>
      <c r="P49" s="21" t="n"/>
      <c r="Q49" s="17">
        <f>IF(OR(A49="",B49=""),"",IF(AND(L49&lt;&gt;"",P49&lt;&gt;"",IF(L49="Wrong citation",AND(M49&lt;&gt;"",N49&lt;&gt;""),TRUE)),"Complete","Pending"))</f>
        <v/>
      </c>
    </row>
    <row r="50">
      <c r="A50" s="19" t="inlineStr">
        <is>
          <t>M003-Q02</t>
        </is>
      </c>
      <c r="B50" s="19" t="inlineStr">
        <is>
          <t>PROV-M003-010</t>
        </is>
      </c>
      <c r="C50" s="17" t="inlineStr">
        <is>
          <t>Land Development Ordinance No. 19 of 1935</t>
        </is>
      </c>
      <c r="D50" s="17" t="inlineStr">
        <is>
          <t>s.19 (6)(b) and (7)</t>
        </is>
      </c>
      <c r="E50" s="17" t="inlineStr">
        <is>
          <t>2026-04</t>
        </is>
      </c>
      <c r="F50" s="17" t="inlineStr">
        <is>
          <t>Current on reference date</t>
        </is>
      </c>
      <c r="G50" s="17" t="inlineStr">
        <is>
          <t>(b) dispose of such holding except with the prior approval of the Government Agent. (7) Notwithstanding the provisions of paragraph (b) of subsection (6), the approval of the Divisional Secretary shall not be required when mortgaging such holding to a licenced commercial bank, the State Mortgage and Investment Bank, the Development Finance Corporation of Ceylon, the National Development Bank of Sri Lanka, the National Housing Development Authority, the Housing Development Finance Corporation Bank of Sri Lanka, any registered society or other prescribed institution.</t>
        </is>
      </c>
      <c r="H50" s="17" t="inlineStr">
        <is>
          <t>https://lankalaw.net/wp-content/uploads/2025/03/Land-Development-Consolidated-2024.pdf</t>
        </is>
      </c>
      <c r="I50" s="17" t="inlineStr">
        <is>
          <t>Indispensable</t>
        </is>
      </c>
      <c r="J50" s="17" t="inlineStr">
        <is>
          <t>This is the provision the question turns on. Subsection (6)(b) makes every grant subject to a condition that the owner shall not dispose of the holding except with prior approval; subsection (7) then removes that approval requirement where the disposition is a mortgage in favour of a licensed commercial bank or another listed institution.
TEMPORAL: Section 19 carries amendment events down to the Land Development (Amendment) Act No. 11 of 2022, which is the amendment named in the question, so subsection (7) is in force at the matter date of 2026-04. The corpus edition is consolidated to 2022 and no later change is recorded.</t>
        </is>
      </c>
      <c r="K50" s="17" t="inlineStr">
        <is>
          <t>[partially_verified] Excerpt verbatim and the role as the decisive provision is confirmed, but the temporal note overstates the corpus: both amendment events for Act No. 11 of 2022 on s.19 are recorded only as 'unknown', so the corpus does not show that the 2022 Act produced subsection (7). Separately, subsection (6)(b) requires the prior approval of the Government Agent while subsection (7) lifts the approval of the Divisional Secretary, and the Ordinance never reconciles the two offices.</t>
        </is>
      </c>
      <c r="L50" s="21" t="n"/>
      <c r="M50" s="21" t="n"/>
      <c r="N50" s="21" t="n"/>
      <c r="O50" s="21" t="n"/>
      <c r="P50" s="21" t="n"/>
      <c r="Q50" s="17">
        <f>IF(OR(A50="",B50=""),"",IF(AND(L50&lt;&gt;"",P50&lt;&gt;"",IF(L50="Wrong citation",AND(M50&lt;&gt;"",N50&lt;&gt;""),TRUE)),"Complete","Pending"))</f>
        <v/>
      </c>
    </row>
    <row r="51">
      <c r="A51" s="19" t="inlineStr">
        <is>
          <t>M003-Q02</t>
        </is>
      </c>
      <c r="B51" s="19" t="inlineStr">
        <is>
          <t>PROV-M003-011</t>
        </is>
      </c>
      <c r="C51" s="17" t="inlineStr">
        <is>
          <t>Land Development Ordinance No. 19 of 1935</t>
        </is>
      </c>
      <c r="D51" s="17" t="inlineStr">
        <is>
          <t>s.43 (b)</t>
        </is>
      </c>
      <c r="E51" s="17" t="inlineStr">
        <is>
          <t>2026-04</t>
        </is>
      </c>
      <c r="F51" s="17" t="inlineStr">
        <is>
          <t>Current on reference date</t>
        </is>
      </c>
      <c r="G51" s="17" t="inlineStr">
        <is>
          <t>The Owner of a holding- (a) shall not lease such holding to any other person except in such circumstances as may be prescribed; and (b) shall not mortgage such holding to any person other than a licensed commercial bank</t>
        </is>
      </c>
      <c r="H51" s="17" t="inlineStr">
        <is>
          <t>https://lankalaw.net/wp-content/uploads/2025/03/Land-Development-Consolidated-2024.pdf</t>
        </is>
      </c>
      <c r="I51" s="17" t="inlineStr">
        <is>
          <t>Indispensable</t>
        </is>
      </c>
      <c r="J51" s="17" t="inlineStr">
        <is>
          <t>Sets the closed list of permissible mortgagees for the owner of a holding. It confirms that a mortgage to a licensed commercial bank is a permitted transaction under the Ordinance, which is the premise on which the exemption in s.19(7) operates.
TEMPORAL: In force in its present form from 1993 (insertion by Act No. 22 of 1993) as amended in 1996; both precede the matter date, so it is in force at 2026-04.</t>
        </is>
      </c>
      <c r="K51" s="17" t="inlineStr">
        <is>
          <t>[verified]</t>
        </is>
      </c>
      <c r="L51" s="21" t="n"/>
      <c r="M51" s="21" t="n"/>
      <c r="N51" s="21" t="n"/>
      <c r="O51" s="21" t="n"/>
      <c r="P51" s="21" t="n"/>
      <c r="Q51" s="17">
        <f>IF(OR(A51="",B51=""),"",IF(AND(L51&lt;&gt;"",P51&lt;&gt;"",IF(L51="Wrong citation",AND(M51&lt;&gt;"",N51&lt;&gt;""),TRUE)),"Complete","Pending"))</f>
        <v/>
      </c>
    </row>
    <row r="52">
      <c r="A52" s="19" t="inlineStr">
        <is>
          <t>M003-Q02</t>
        </is>
      </c>
      <c r="B52" s="19" t="inlineStr">
        <is>
          <t>PROV-M003-012</t>
        </is>
      </c>
      <c r="C52" s="17" t="inlineStr">
        <is>
          <t>Land Development Ordinance No. 19 of 1935</t>
        </is>
      </c>
      <c r="D52" s="17" t="inlineStr">
        <is>
          <t>s.2 definition of "holding"</t>
        </is>
      </c>
      <c r="E52" s="17" t="inlineStr">
        <is>
          <t>2026-04</t>
        </is>
      </c>
      <c r="F52" s="17" t="inlineStr">
        <is>
          <t>Current on reference date</t>
        </is>
      </c>
      <c r="G52" s="17" t="inlineStr">
        <is>
          <t>means land alienated by grant under this Ordinance, and includes any part thereof or interest therein</t>
        </is>
      </c>
      <c r="H52" s="17" t="inlineStr">
        <is>
          <t>https://lankalaw.net/wp-content/uploads/2025/03/Land-Development-Consolidated-2024.pdf</t>
        </is>
      </c>
      <c r="I52" s="17" t="inlineStr">
        <is>
          <t>Indispensable</t>
        </is>
      </c>
      <c r="J52" s="17" t="inlineStr">
        <is>
          <t>Defines 'holding' as land alienated by grant. Sections 19(6) to (7) and 43 speak of a 'holding', so they apply only if Herath holds under a grant rather than a permit. The definition is what makes the grant and permit distinction decisive.
TEMPORAL: Section 2 carries amendment events down to 2022. The definition relied on is long-standing and is in force at 2026-04. In the corpus text of s.2 the defined terms are listed separately from the bodies of the definitions, so this excerpt appears without its headword.</t>
        </is>
      </c>
      <c r="K52" s="17" t="inlineStr">
        <is>
          <t>[verified]</t>
        </is>
      </c>
      <c r="L52" s="21" t="n"/>
      <c r="M52" s="21" t="n"/>
      <c r="N52" s="21" t="n"/>
      <c r="O52" s="21" t="n"/>
      <c r="P52" s="21" t="n"/>
      <c r="Q52" s="17">
        <f>IF(OR(A52="",B52=""),"",IF(AND(L52&lt;&gt;"",P52&lt;&gt;"",IF(L52="Wrong citation",AND(M52&lt;&gt;"",N52&lt;&gt;""),TRUE)),"Complete","Pending"))</f>
        <v/>
      </c>
    </row>
    <row r="53">
      <c r="A53" s="19" t="inlineStr">
        <is>
          <t>M003-Q02</t>
        </is>
      </c>
      <c r="B53" s="19" t="inlineStr">
        <is>
          <t>PROV-M003-013</t>
        </is>
      </c>
      <c r="C53" s="17" t="inlineStr">
        <is>
          <t>Land Development Ordinance No. 19 of 1935</t>
        </is>
      </c>
      <c r="D53" s="17" t="inlineStr">
        <is>
          <t>s.2 definition of "licensed commercial bank"</t>
        </is>
      </c>
      <c r="E53" s="17" t="inlineStr">
        <is>
          <t>2026-04</t>
        </is>
      </c>
      <c r="F53" s="17" t="inlineStr">
        <is>
          <t>Current on reference date</t>
        </is>
      </c>
      <c r="G53" s="17" t="inlineStr">
        <is>
          <t>means a licensed commercial bank within the meaning of the Banking Act, No. 30 of 1988</t>
        </is>
      </c>
      <c r="H53" s="17" t="inlineStr">
        <is>
          <t>https://lankalaw.net/wp-content/uploads/2025/03/Land-Development-Consolidated-2024.pdf</t>
        </is>
      </c>
      <c r="I53" s="17" t="inlineStr">
        <is>
          <t>Indispensable</t>
        </is>
      </c>
      <c r="J53" s="17" t="inlineStr">
        <is>
          <t>Defines the class of mortgagee that triggers the exemption in s.19(7) and the permission in s.43(b). Whether the intended mortgagee is a licensed commercial bank under the banking legislation is what decides the question.
TEMPORAL: Definition introduced by amendment and reflected in the consolidated text; in force at 2026-04. The Banking Act, No. 30 of 1988 is not in the corpus, so the content of that external definition cannot be checked here.</t>
        </is>
      </c>
      <c r="K53" s="17" t="inlineStr">
        <is>
          <t>[verified]</t>
        </is>
      </c>
      <c r="L53" s="21" t="n"/>
      <c r="M53" s="21" t="n"/>
      <c r="N53" s="21" t="n"/>
      <c r="O53" s="21" t="n"/>
      <c r="P53" s="21" t="n"/>
      <c r="Q53" s="17">
        <f>IF(OR(A53="",B53=""),"",IF(AND(L53&lt;&gt;"",P53&lt;&gt;"",IF(L53="Wrong citation",AND(M53&lt;&gt;"",N53&lt;&gt;""),TRUE)),"Complete","Pending"))</f>
        <v/>
      </c>
    </row>
    <row r="54">
      <c r="A54" s="19" t="inlineStr">
        <is>
          <t>M003-Q02</t>
        </is>
      </c>
      <c r="B54" s="19" t="inlineStr">
        <is>
          <t>PROV-M003-901</t>
        </is>
      </c>
      <c r="C54" s="17" t="inlineStr">
        <is>
          <t>Land Development Ordinance No. 19 of 1935</t>
        </is>
      </c>
      <c r="D54" s="17" t="inlineStr">
        <is>
          <t>s.2 definition of "owner"</t>
        </is>
      </c>
      <c r="E54" s="17" t="inlineStr">
        <is>
          <t>2026-04</t>
        </is>
      </c>
      <c r="F54" s="17" t="inlineStr">
        <is>
          <t>Current on reference date</t>
        </is>
      </c>
      <c r="G54" s="17" t="inlineStr">
        <is>
          <t>means the owner of a holding whose title thereto is derived from or under a grant issued under this Ordinance and includes a permit- holder who has paid all sums which he is required to pay under subsection (2) of section 19 and has complied with all the other conditions specified in the permit</t>
        </is>
      </c>
      <c r="H54" s="17" t="inlineStr">
        <is>
          <t>https://lankalaw.net/wp-content/uploads/2025/03/Land-Development-Consolidated-2024.pdf</t>
        </is>
      </c>
      <c r="I54" s="17" t="inlineStr">
        <is>
          <t>Indispensable</t>
        </is>
      </c>
      <c r="J54" s="17" t="inlineStr">
        <is>
          <t>Sections 19(6), 19(7) and 43 all fasten their conditions on 'the owner' of a holding, so neither the approval condition nor its exemption can be applied to Herath without this definition. It also does independent work on these facts: it extends 'owner' to a permit-holder who has paid every sum due under s.19(2) and complied with the conditions of his permit, so Herath is within the class even on the footing that the grant had not yet issued to him.
TEMPORAL: Long-standing definition carried in the consolidated s.2 text, whose latest recorded change year is 2022; in force at 2026-04.</t>
        </is>
      </c>
      <c r="K54" s="17" t="inlineStr">
        <is>
          <t>[verified] Added by the verifier. Excerpt checked verbatim against 19-1935/s2.</t>
        </is>
      </c>
      <c r="L54" s="21" t="n"/>
      <c r="M54" s="21" t="n"/>
      <c r="N54" s="21" t="n"/>
      <c r="O54" s="21" t="n"/>
      <c r="P54" s="21" t="n"/>
      <c r="Q54" s="17">
        <f>IF(OR(A54="",B54=""),"",IF(AND(L54&lt;&gt;"",P54&lt;&gt;"",IF(L54="Wrong citation",AND(M54&lt;&gt;"",N54&lt;&gt;""),TRUE)),"Complete","Pending"))</f>
        <v/>
      </c>
    </row>
    <row r="55">
      <c r="A55" s="19" t="inlineStr">
        <is>
          <t>M003-Q02</t>
        </is>
      </c>
      <c r="B55" s="19" t="inlineStr">
        <is>
          <t>PROV-M003-014</t>
        </is>
      </c>
      <c r="C55" s="17" t="inlineStr">
        <is>
          <t>Land Development Ordinance No. 19 of 1935</t>
        </is>
      </c>
      <c r="D55" s="17" t="inlineStr">
        <is>
          <t>s.2 definition of "disposition"</t>
        </is>
      </c>
      <c r="E55" s="17" t="inlineStr">
        <is>
          <t>2026-04</t>
        </is>
      </c>
      <c r="F55" s="17" t="inlineStr">
        <is>
          <t>Current on reference date</t>
        </is>
      </c>
      <c r="G55" s="17" t="inlineStr">
        <is>
          <t>'disposition' with its grammatical variations and cognate expressions means any transaction of whatever nature affecting land or the title thereto and includes any conveyance, devise, donation, exchange, lease, mortgage or transfer of land</t>
        </is>
      </c>
      <c r="H55" s="17" t="inlineStr">
        <is>
          <t>https://lankalaw.net/wp-content/uploads/2025/03/Land-Development-Consolidated-2024.pdf</t>
        </is>
      </c>
      <c r="I55" s="17" t="inlineStr">
        <is>
          <t>Supporting</t>
        </is>
      </c>
      <c r="J55" s="17" t="inlineStr">
        <is>
          <t>Confirms that a mortgage is a 'disposition', so the prohibition in s.19(6)(b) and the prohibition in s.46(1) both reach a mortgage. Without it the general approval condition would not obviously bite on a mortgage at all.
TEMPORAL: Long-standing definition in the consolidated text; in force at 2026-04.</t>
        </is>
      </c>
      <c r="K55" s="17" t="inlineStr">
        <is>
          <t>[verified]</t>
        </is>
      </c>
      <c r="L55" s="21" t="n"/>
      <c r="M55" s="21" t="n"/>
      <c r="N55" s="21" t="n"/>
      <c r="O55" s="21" t="n"/>
      <c r="P55" s="21" t="n"/>
      <c r="Q55" s="17">
        <f>IF(OR(A55="",B55=""),"",IF(AND(L55&lt;&gt;"",P55&lt;&gt;"",IF(L55="Wrong citation",AND(M55&lt;&gt;"",N55&lt;&gt;""),TRUE)),"Complete","Pending"))</f>
        <v/>
      </c>
    </row>
    <row r="56">
      <c r="A56" s="19" t="inlineStr">
        <is>
          <t>M003-Q02</t>
        </is>
      </c>
      <c r="B56" s="19" t="inlineStr">
        <is>
          <t>PROV-M003-015</t>
        </is>
      </c>
      <c r="C56" s="17" t="inlineStr">
        <is>
          <t>Land Development Ordinance No. 19 of 1935</t>
        </is>
      </c>
      <c r="D56" s="17" t="inlineStr">
        <is>
          <t>s.46 (1) and (2)</t>
        </is>
      </c>
      <c r="E56" s="17" t="inlineStr">
        <is>
          <t>2026-04</t>
        </is>
      </c>
      <c r="F56" s="17" t="inlineStr">
        <is>
          <t>Current on reference date</t>
        </is>
      </c>
      <c r="G56" s="17" t="inlineStr">
        <is>
          <t>(1) Subject to the provisions of subsection (2), no permit-holder shall execute or effect any disposition of the land alienated to him on the permit. (2) With the written consent of the Government Agent, a permit-holder may mortgage his interest in the land alienated to him on the permit to any registered society of which he is a member.</t>
        </is>
      </c>
      <c r="H56" s="17" t="inlineStr">
        <is>
          <t>https://lankalaw.net/wp-content/uploads/2025/03/Land-Development-Consolidated-2024.pdf</t>
        </is>
      </c>
      <c r="I56" s="17" t="inlineStr">
        <is>
          <t>Supporting</t>
        </is>
      </c>
      <c r="J56" s="17" t="inlineStr">
        <is>
          <t>The contrasting regime. If Herath held on a permit rather than a grant, he could not mortgage to a commercial bank at all: the only permitted mortgage would be to a registered society of which he is a member, and only with the written consent of the Government Agent. It marks the boundary of the answer.
TEMPORAL: Substituted by Act No. 16 of 1969; unchanged since in the corpus edition and in force at 2026-04.</t>
        </is>
      </c>
      <c r="K56" s="17" t="inlineStr">
        <is>
          <t>[verified]</t>
        </is>
      </c>
      <c r="L56" s="21" t="n"/>
      <c r="M56" s="21" t="n"/>
      <c r="N56" s="21" t="n"/>
      <c r="O56" s="21" t="n"/>
      <c r="P56" s="21" t="n"/>
      <c r="Q56" s="17">
        <f>IF(OR(A56="",B56=""),"",IF(AND(L56&lt;&gt;"",P56&lt;&gt;"",IF(L56="Wrong citation",AND(M56&lt;&gt;"",N56&lt;&gt;""),TRUE)),"Complete","Pending"))</f>
        <v/>
      </c>
    </row>
    <row r="57">
      <c r="A57" s="19" t="inlineStr">
        <is>
          <t>M003-Q02</t>
        </is>
      </c>
      <c r="B57" s="19" t="inlineStr">
        <is>
          <t>PROV-M003-016</t>
        </is>
      </c>
      <c r="C57" s="17" t="inlineStr">
        <is>
          <t>Land Development Ordinance No. 19 of 1935</t>
        </is>
      </c>
      <c r="D57" s="17" t="inlineStr">
        <is>
          <t>s.41A</t>
        </is>
      </c>
      <c r="E57" s="17" t="inlineStr">
        <is>
          <t>2026-04</t>
        </is>
      </c>
      <c r="F57" s="17" t="inlineStr">
        <is>
          <t>Current on reference date</t>
        </is>
      </c>
      <c r="G57" s="17" t="inlineStr">
        <is>
          <t>Nothing in the preceding provisions of this chapter shall be deemed to prohibit the seizure and sale, by a licensed commercial bank</t>
        </is>
      </c>
      <c r="H57" s="17" t="inlineStr">
        <is>
          <t>https://lankalaw.net/wp-content/uploads/2025/03/Land-Development-Consolidated-2024.pdf</t>
        </is>
      </c>
      <c r="I57" s="17" t="inlineStr">
        <is>
          <t>Background</t>
        </is>
      </c>
      <c r="J57" s="17" t="inlineStr">
        <is>
          <t>Context on why the Ordinance permits bank mortgages of a holding: the general bar on seizure and sale of alienated land does not prevent a licensed commercial bank enforcing a mortgage over land alienated on a grant. It shows the bank's security is enforceable, though it is not needed to answer the approval question.
TEMPORAL: In force in its present form from 1993 as substituted in 1996; in force at 2026-04.</t>
        </is>
      </c>
      <c r="K57" s="17" t="inlineStr">
        <is>
          <t>[verified]</t>
        </is>
      </c>
      <c r="L57" s="21" t="n"/>
      <c r="M57" s="21" t="n"/>
      <c r="N57" s="21" t="n"/>
      <c r="O57" s="21" t="n"/>
      <c r="P57" s="21" t="n"/>
      <c r="Q57" s="17">
        <f>IF(OR(A57="",B57=""),"",IF(AND(L57&lt;&gt;"",P57&lt;&gt;"",IF(L57="Wrong citation",AND(M57&lt;&gt;"",N57&lt;&gt;""),TRUE)),"Complete","Pending"))</f>
        <v/>
      </c>
    </row>
    <row r="58">
      <c r="A58" s="19" t="inlineStr">
        <is>
          <t>M005-Q01</t>
        </is>
      </c>
      <c r="B58" s="19" t="inlineStr">
        <is>
          <t>PROV-M005-001</t>
        </is>
      </c>
      <c r="C58" s="17" t="inlineStr">
        <is>
          <t>Notaries Ordinance No. 1 of 1907</t>
        </is>
      </c>
      <c r="D58" s="17" t="inlineStr">
        <is>
          <t>s.31(opening words (chapeau))</t>
        </is>
      </c>
      <c r="E58" s="17" t="inlineStr">
        <is>
          <t>2026-04</t>
        </is>
      </c>
      <c r="F58" s="17" t="inlineStr">
        <is>
          <t>Current on reference date</t>
        </is>
      </c>
      <c r="G58" s="17" t="inlineStr">
        <is>
          <t>It is and shall be the duty of every notary strictly to observe and act in conformity with the following rules</t>
        </is>
      </c>
      <c r="H58" s="17" t="inlineStr">
        <is>
          <t>https://www.rgd.gov.lk/web/images/ActsPDF/notary/Notaries-English.pdf</t>
        </is>
      </c>
      <c r="I58" s="17" t="inlineStr">
        <is>
          <t>Indispensable</t>
        </is>
      </c>
      <c r="J58" s="17" t="inlineStr">
        <is>
          <t>Makes the rules in section 31 mandatory duties of the notary personally, so a notary cannot treat any of them as optional because of an employer's instruction or urgency.
TEMPORAL: Section 31 is in force from 1907; the consolidated text used here carries the amendments up to Act No. 6 of 2024. The chapeau itself was not altered by those amendments and is in force at 2026-04.</t>
        </is>
      </c>
      <c r="K58" s="17" t="inlineStr">
        <is>
          <t>[verified]</t>
        </is>
      </c>
      <c r="L58" s="21" t="n"/>
      <c r="M58" s="21" t="n"/>
      <c r="N58" s="21" t="n"/>
      <c r="O58" s="21" t="n"/>
      <c r="P58" s="21" t="n"/>
      <c r="Q58" s="17">
        <f>IF(OR(A58="",B58=""),"",IF(AND(L58&lt;&gt;"",P58&lt;&gt;"",IF(L58="Wrong citation",AND(M58&lt;&gt;"",N58&lt;&gt;""),TRUE)),"Complete","Pending"))</f>
        <v/>
      </c>
    </row>
    <row r="59">
      <c r="A59" s="19" t="inlineStr">
        <is>
          <t>M005-Q01</t>
        </is>
      </c>
      <c r="B59" s="19" t="inlineStr">
        <is>
          <t>PROV-M005-002</t>
        </is>
      </c>
      <c r="C59" s="17" t="inlineStr">
        <is>
          <t>Notaries Ordinance No. 1 of 1907</t>
        </is>
      </c>
      <c r="D59" s="17" t="inlineStr">
        <is>
          <t>s.31 rule (17)(a)</t>
        </is>
      </c>
      <c r="E59" s="17" t="inlineStr">
        <is>
          <t>2026-04</t>
        </is>
      </c>
      <c r="F59" s="17" t="inlineStr">
        <is>
          <t>Current on reference date</t>
        </is>
      </c>
      <c r="G59"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59" s="17" t="inlineStr">
        <is>
          <t>https://www.rgd.gov.lk/web/images/ActsPDF/notary/Notaries-English.pdf</t>
        </is>
      </c>
      <c r="I59" s="17" t="inlineStr">
        <is>
          <t>Indispensable</t>
        </is>
      </c>
      <c r="J59" s="17" t="inlineStr">
        <is>
          <t>The provision that directly answers the question: the notary must search the land registry registers before drawing a deed affecting an interest in land, and must do so before the deed is drawn, not merely before it is registered.
TEMPORAL: Rule (17) of section 31 in the consolidated text reflects the substitutions made by Notaries (Amendment) Act No. 31 of 2022 and Act No. 6 of 2024, both of which precede 2026-04, so this text is in force at the matter date.</t>
        </is>
      </c>
      <c r="K59" s="17" t="inlineStr">
        <is>
          <t>[partially_verified] Wording is verbatim and the rule is in force at 2026-04, but the temporal note is corrected: paragraph (a) of rule (17) was not touched by Act No. 31 of 2022 (s.16(10) repealed and replaced only paragraph (b) and added paragraphs (c) to (e)) or by Act No. 6 of 2024 (s.3(6) altered only paragraph (b)(iii) and paragraph (c)), so the search duty stands in its pre-2022 form.</t>
        </is>
      </c>
      <c r="L59" s="21" t="n"/>
      <c r="M59" s="21" t="n"/>
      <c r="N59" s="21" t="n"/>
      <c r="O59" s="21" t="n"/>
      <c r="P59" s="21" t="n"/>
      <c r="Q59" s="17">
        <f>IF(OR(A59="",B59=""),"",IF(AND(L59&lt;&gt;"",P59&lt;&gt;"",IF(L59="Wrong citation",AND(M59&lt;&gt;"",N59&lt;&gt;""),TRUE)),"Complete","Pending"))</f>
        <v/>
      </c>
    </row>
    <row r="60">
      <c r="A60" s="19" t="inlineStr">
        <is>
          <t>M005-Q01</t>
        </is>
      </c>
      <c r="B60" s="19" t="inlineStr">
        <is>
          <t>PROV-M005-003</t>
        </is>
      </c>
      <c r="C60" s="17" t="inlineStr">
        <is>
          <t>Notaries Ordinance No. 1 of 1907</t>
        </is>
      </c>
      <c r="D60" s="17" t="inlineStr">
        <is>
          <t>s.31(proviso to rule (17))</t>
        </is>
      </c>
      <c r="E60" s="17" t="inlineStr">
        <is>
          <t>2026-04</t>
        </is>
      </c>
      <c r="F60" s="17" t="inlineStr">
        <is>
          <t>Current on reference date</t>
        </is>
      </c>
      <c r="G60"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60" s="17" t="inlineStr">
        <is>
          <t>https://www.rgd.gov.lk/web/images/ActsPDF/notary/Notaries-English.pdf</t>
        </is>
      </c>
      <c r="I60" s="17" t="inlineStr">
        <is>
          <t>Indispensable</t>
        </is>
      </c>
      <c r="J60" s="17" t="inlineStr">
        <is>
          <t>The only statutory route by which the search may lawfully be omitted. The answer turns on this exception, so it must be recorded and tested against the facts.
TEMPORAL: Appears in the consolidated rule (17) as amended to 2024; in force at 2026-04.</t>
        </is>
      </c>
      <c r="K60" s="17" t="inlineStr">
        <is>
          <t>[partially_verified] Excerpt verbatim and the proviso is carried at rule (17) level in the corpus (1-1907/s31/sub-17/pro-39), but the temporal note is corrected: neither Act No. 31 of 2022 nor Act No. 6 of 2024 amended the proviso; it is the original text, and by its terms it dispenses only with the search, not with the certified-folio-extract duty in paragraph (b)(i).</t>
        </is>
      </c>
      <c r="L60" s="21" t="n"/>
      <c r="M60" s="21" t="n"/>
      <c r="N60" s="21" t="n"/>
      <c r="O60" s="21" t="n"/>
      <c r="P60" s="21" t="n"/>
      <c r="Q60" s="17">
        <f>IF(OR(A60="",B60=""),"",IF(AND(L60&lt;&gt;"",P60&lt;&gt;"",IF(L60="Wrong citation",AND(M60&lt;&gt;"",N60&lt;&gt;""),TRUE)),"Complete","Pending"))</f>
        <v/>
      </c>
    </row>
    <row r="61">
      <c r="A61" s="19" t="inlineStr">
        <is>
          <t>M005-Q01</t>
        </is>
      </c>
      <c r="B61" s="19" t="inlineStr">
        <is>
          <t>PROV-M005-004</t>
        </is>
      </c>
      <c r="C61" s="17" t="inlineStr">
        <is>
          <t>Notaries Ordinance No. 1 of 1907</t>
        </is>
      </c>
      <c r="D61" s="17" t="inlineStr">
        <is>
          <t>s.31 rule (17)(b)(i)</t>
        </is>
      </c>
      <c r="E61" s="17" t="inlineStr">
        <is>
          <t>2026-04</t>
        </is>
      </c>
      <c r="F61" s="17" t="inlineStr">
        <is>
          <t>Current on reference date</t>
        </is>
      </c>
      <c r="G61"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61" s="17" t="inlineStr">
        <is>
          <t>https://www.rgd.gov.lk/web/images/ActsPDF/notary/Notaries-English.pdf</t>
        </is>
      </c>
      <c r="I61" s="17" t="inlineStr">
        <is>
          <t>Indispensable</t>
        </is>
      </c>
      <c r="J61" s="17" t="inlineStr">
        <is>
          <t>Shows what the required investigation of title consists of in concrete terms, so that inspecting a copy of an earlier deed handed over by a client or employer does not discharge the duty.
TEMPORAL: Inserted into rule (17) by the amendments consolidated up to 2024; in force at 2026-04.</t>
        </is>
      </c>
      <c r="K61" s="17" t="inlineStr">
        <is>
          <t>[partially_verified] Excerpt verbatim; role corrected from supporting to indispensable because the gold conclusion (CL-M005-Q01-012) requires the certified folio extract, and the temporal note is corrected: paragraph (b) was repealed and substituted by Act No. 31 of 2022 s.16(10)(a), and Act No. 6 of 2024 s.3(6)(a) touched only sub-paragraph (iii), not (i).</t>
        </is>
      </c>
      <c r="L61" s="21" t="n"/>
      <c r="M61" s="21" t="n"/>
      <c r="N61" s="21" t="n"/>
      <c r="O61" s="21" t="n"/>
      <c r="P61" s="21" t="n"/>
      <c r="Q61" s="17">
        <f>IF(OR(A61="",B61=""),"",IF(AND(L61&lt;&gt;"",P61&lt;&gt;"",IF(L61="Wrong citation",AND(M61&lt;&gt;"",N61&lt;&gt;""),TRUE)),"Complete","Pending"))</f>
        <v/>
      </c>
    </row>
    <row r="62">
      <c r="A62" s="19" t="inlineStr">
        <is>
          <t>M005-Q01</t>
        </is>
      </c>
      <c r="B62" s="19" t="inlineStr">
        <is>
          <t>PROV-M005-005</t>
        </is>
      </c>
      <c r="C62" s="17" t="inlineStr">
        <is>
          <t>Notaries Ordinance No. 1 of 1907</t>
        </is>
      </c>
      <c r="D62" s="17" t="inlineStr">
        <is>
          <t>s.31 rule (33)</t>
        </is>
      </c>
      <c r="E62" s="17" t="inlineStr">
        <is>
          <t>2026-04</t>
        </is>
      </c>
      <c r="F62" s="17" t="inlineStr">
        <is>
          <t>Current on reference date</t>
        </is>
      </c>
      <c r="G62" s="17" t="inlineStr">
        <is>
          <t>When a deed transferring any immovable property is executed or acknowledged before a notary, he shall use his best endeavours to obtain the title deed, if any, of such property</t>
        </is>
      </c>
      <c r="H62" s="17" t="inlineStr">
        <is>
          <t>https://www.rgd.gov.lk/web/images/ActsPDF/notary/Notaries-English.pdf</t>
        </is>
      </c>
      <c r="I62" s="17" t="inlineStr">
        <is>
          <t>Supporting</t>
        </is>
      </c>
      <c r="J62" s="17" t="inlineStr">
        <is>
          <t>A further title-related duty owed on a deed of transfer, which supports the conclusion that the Ordinance does not leave title investigation to the notary's convenience. Not indispensable: rule (17) alone decides the question.
TEMPORAL: Long-standing rule in section 31, not identified as altered by the 2011, 2022 or 2024 amendment events listed for the section; in force at 2026-04.</t>
        </is>
      </c>
      <c r="K62" s="17" t="inlineStr">
        <is>
          <t>[verified]</t>
        </is>
      </c>
      <c r="L62" s="21" t="n"/>
      <c r="M62" s="21" t="n"/>
      <c r="N62" s="21" t="n"/>
      <c r="O62" s="21" t="n"/>
      <c r="P62" s="21" t="n"/>
      <c r="Q62" s="17">
        <f>IF(OR(A62="",B62=""),"",IF(AND(L62&lt;&gt;"",P62&lt;&gt;"",IF(L62="Wrong citation",AND(M62&lt;&gt;"",N62&lt;&gt;""),TRUE)),"Complete","Pending"))</f>
        <v/>
      </c>
    </row>
    <row r="63">
      <c r="A63" s="19" t="inlineStr">
        <is>
          <t>M005-Q01</t>
        </is>
      </c>
      <c r="B63" s="19" t="inlineStr">
        <is>
          <t>PROV-M005-006</t>
        </is>
      </c>
      <c r="C63" s="17" t="inlineStr">
        <is>
          <t>Notaries Ordinance No. 1 of 1907</t>
        </is>
      </c>
      <c r="D63" s="17" t="inlineStr">
        <is>
          <t>s.34 (1)(c)</t>
        </is>
      </c>
      <c r="E63" s="17" t="inlineStr">
        <is>
          <t>2026-04</t>
        </is>
      </c>
      <c r="F63" s="17" t="inlineStr">
        <is>
          <t>Current on reference date</t>
        </is>
      </c>
      <c r="G63" s="17" t="inlineStr">
        <is>
          <t>any other rule set out in section 31, shall be guilty of an offence, and shall, on conviction after summary trial before a Magistrate, be liable to a fine not exceeding fifty thousand rupees, in addition to any civil liability he may incur thereby.</t>
        </is>
      </c>
      <c r="H63" s="17" t="inlineStr">
        <is>
          <t>https://www.rgd.gov.lk/web/images/ActsPDF/notary/Notaries-English.pdf</t>
        </is>
      </c>
      <c r="I63" s="17" t="inlineStr">
        <is>
          <t>Supporting</t>
        </is>
      </c>
      <c r="J63" s="17" t="inlineStr">
        <is>
          <t>Supplies the consequence of breaching rule (17). Rule (17) is not listed in section 34(1)(a) or (b), so it falls within the residual paragraph (c).
TEMPORAL: Section 34 was substituted by Notaries (Amendment) Act No. 31 of 2022, which precedes the matter date of 2026-04; the substituted text is the one in force.</t>
        </is>
      </c>
      <c r="K63" s="17" t="inlineStr">
        <is>
          <t>[verified]</t>
        </is>
      </c>
      <c r="L63" s="21" t="n"/>
      <c r="M63" s="21" t="n"/>
      <c r="N63" s="21" t="n"/>
      <c r="O63" s="21" t="n"/>
      <c r="P63" s="21" t="n"/>
      <c r="Q63" s="17">
        <f>IF(OR(A63="",B63=""),"",IF(AND(L63&lt;&gt;"",P63&lt;&gt;"",IF(L63="Wrong citation",AND(M63&lt;&gt;"",N63&lt;&gt;""),TRUE)),"Complete","Pending"))</f>
        <v/>
      </c>
    </row>
    <row r="64">
      <c r="A64" s="19" t="inlineStr">
        <is>
          <t>M005-Q01</t>
        </is>
      </c>
      <c r="B64" s="19" t="inlineStr">
        <is>
          <t>PROV-M005-007</t>
        </is>
      </c>
      <c r="C64" s="17" t="inlineStr">
        <is>
          <t>Notaries Ordinance No. 1 of 1907</t>
        </is>
      </c>
      <c r="D64" s="17" t="inlineStr">
        <is>
          <t>s.33</t>
        </is>
      </c>
      <c r="E64" s="17" t="inlineStr">
        <is>
          <t>2026-04</t>
        </is>
      </c>
      <c r="F64" s="17" t="inlineStr">
        <is>
          <t>Current on reference date</t>
        </is>
      </c>
      <c r="G64" s="17" t="inlineStr">
        <is>
          <t>No instrument shall be deemed to be invalid by reason only of the failure of any notary to observe any provision of any rule set out in section 31 in respect of any matter of form</t>
        </is>
      </c>
      <c r="H64" s="17" t="inlineStr">
        <is>
          <t>https://www.rgd.gov.lk/web/images/ActsPDF/notary/Notaries-English.pdf</t>
        </is>
      </c>
      <c r="I64" s="17" t="inlineStr">
        <is>
          <t>Background</t>
        </is>
      </c>
      <c r="J64" s="17" t="inlineStr">
        <is>
          <t>Context only: it limits the effect of a breach on the validity of the instrument, and only for matters of form. It says nothing about the notary's own liability, so it does not make the search optional.
TEMPORAL: In force from 1907 and carrying no amendment events in the corpus; in force at 2026-04.</t>
        </is>
      </c>
      <c r="K64" s="17" t="inlineStr">
        <is>
          <t>[verified]</t>
        </is>
      </c>
      <c r="L64" s="21" t="n"/>
      <c r="M64" s="21" t="n"/>
      <c r="N64" s="21" t="n"/>
      <c r="O64" s="21" t="n"/>
      <c r="P64" s="21" t="n"/>
      <c r="Q64" s="17">
        <f>IF(OR(A64="",B64=""),"",IF(AND(L64&lt;&gt;"",P64&lt;&gt;"",IF(L64="Wrong citation",AND(M64&lt;&gt;"",N64&lt;&gt;""),TRUE)),"Complete","Pending"))</f>
        <v/>
      </c>
    </row>
    <row r="65">
      <c r="A65" s="19" t="inlineStr">
        <is>
          <t>M006-Q01</t>
        </is>
      </c>
      <c r="B65" s="19" t="inlineStr">
        <is>
          <t>PROV-M006-001</t>
        </is>
      </c>
      <c r="C65" s="17" t="inlineStr">
        <is>
          <t>Notaries Ordinance No. 1 of 1907</t>
        </is>
      </c>
      <c r="D65" s="17" t="inlineStr">
        <is>
          <t>s.3(3(1))</t>
        </is>
      </c>
      <c r="E65" s="17" t="inlineStr">
        <is>
          <t>2026-04</t>
        </is>
      </c>
      <c r="F65" s="17" t="inlineStr">
        <is>
          <t>Current on reference date</t>
        </is>
      </c>
      <c r="G65" s="17" t="inlineStr">
        <is>
          <t>shall be entitled, on an application to a warrant authorizing him to practice as notary in the language in which he has passed the examination in conveyancing, within the judicial zone in which he resides.</t>
        </is>
      </c>
      <c r="H65" s="17" t="inlineStr">
        <is>
          <t>https://www.rgd.gov.lk/web/images/ActsPDF/notary/Notaries-English.pdf</t>
        </is>
      </c>
      <c r="I65" s="17" t="inlineStr">
        <is>
          <t>Indispensable</t>
        </is>
      </c>
      <c r="J65" s="17" t="inlineStr">
        <is>
          <t>Fixes what a notary's warrant authorises: practice in a stated language and within the judicial zone in which he resides. This is the source of the two limits (area and language) that rule (22) of section 31 enforces, and it identifies Saman's authorised area as the Judicial Zone of Colombo.
TEMPORAL: In force from 1907; the consolidated text records substitution by Act No. 20 of 1976 s.3 and by Act No. 31 of 2022 s.2, both before the matter date of 2026-04, so the text relied on is the operative text at that date.</t>
        </is>
      </c>
      <c r="K65" s="17" t="inlineStr">
        <is>
          <t>[verified]</t>
        </is>
      </c>
      <c r="L65" s="21" t="n"/>
      <c r="M65" s="21" t="n"/>
      <c r="N65" s="21" t="n"/>
      <c r="O65" s="21" t="n"/>
      <c r="P65" s="21" t="n"/>
      <c r="Q65" s="17">
        <f>IF(OR(A65="",B65=""),"",IF(AND(L65&lt;&gt;"",P65&lt;&gt;"",IF(L65="Wrong citation",AND(M65&lt;&gt;"",N65&lt;&gt;""),TRUE)),"Complete","Pending"))</f>
        <v/>
      </c>
    </row>
    <row r="66">
      <c r="A66" s="19" t="inlineStr">
        <is>
          <t>M006-Q01</t>
        </is>
      </c>
      <c r="B66" s="19" t="inlineStr">
        <is>
          <t>PROV-M006-002</t>
        </is>
      </c>
      <c r="C66" s="17" t="inlineStr">
        <is>
          <t>Notaries Ordinance No. 1 of 1907</t>
        </is>
      </c>
      <c r="D66" s="17" t="inlineStr">
        <is>
          <t>s.31(31(22))</t>
        </is>
      </c>
      <c r="E66" s="17" t="inlineStr">
        <is>
          <t>2026-04</t>
        </is>
      </c>
      <c r="F66" s="17" t="inlineStr">
        <is>
          <t>Current on reference date</t>
        </is>
      </c>
      <c r="G66"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66" s="17" t="inlineStr">
        <is>
          <t>https://www.rgd.gov.lk/web/images/ActsPDF/notary/Notaries-English.pdf</t>
        </is>
      </c>
      <c r="I66" s="17" t="inlineStr">
        <is>
          <t>Indispensable</t>
        </is>
      </c>
      <c r="J66" s="17" t="inlineStr">
        <is>
          <t>The operative prohibition. It restricts the area in which the notary may perform the act of attestation and the language of the instrument. It says nothing about where the land affected by the deed is situated, which is the point of the question.
TEMPORAL: Section 31 is in force from 1907 and the corpus edition is consolidated to 2024 (amendment events recorded for 1976, 2011, 2022 and 2024). No amendment event is recorded against the text of rule (22) itself; treated as in force at 2026-04.</t>
        </is>
      </c>
      <c r="K66" s="17" t="inlineStr">
        <is>
          <t>[verified] Excerpt and role confirmed against 1-1907/s31 rule (22); read Act No. 6 of 2024 s.3 directly in the corpus (it is present as act 6-2024, contrary to the third recorded corpus gap) and it does not touch rule (22), so the consolidated text is the text in force at 2026-04; note that rule (23) of the same section treats "area" and "zone" as capable of differing, so the equation of Saman's "area" with the Judicial Zone of Colombo runs through s.9 ("the area specified in his warrant") and s.3(1) rather than through a defined term.</t>
        </is>
      </c>
      <c r="L66" s="21" t="n"/>
      <c r="M66" s="21" t="n"/>
      <c r="N66" s="21" t="n"/>
      <c r="O66" s="21" t="n"/>
      <c r="P66" s="21" t="n"/>
      <c r="Q66" s="17">
        <f>IF(OR(A66="",B66=""),"",IF(AND(L66&lt;&gt;"",P66&lt;&gt;"",IF(L66="Wrong citation",AND(M66&lt;&gt;"",N66&lt;&gt;""),TRUE)),"Complete","Pending"))</f>
        <v/>
      </c>
    </row>
    <row r="67">
      <c r="A67" s="19" t="inlineStr">
        <is>
          <t>M006-Q01</t>
        </is>
      </c>
      <c r="B67" s="19" t="inlineStr">
        <is>
          <t>PROV-M006-003</t>
        </is>
      </c>
      <c r="C67" s="17" t="inlineStr">
        <is>
          <t>Notaries Ordinance No. 1 of 1907</t>
        </is>
      </c>
      <c r="D67" s="17" t="inlineStr">
        <is>
          <t>s.31(31(29))</t>
        </is>
      </c>
      <c r="E67" s="17" t="inlineStr">
        <is>
          <t>2026-04</t>
        </is>
      </c>
      <c r="F67" s="17" t="inlineStr">
        <is>
          <t>Current on reference date</t>
        </is>
      </c>
      <c r="G67" s="17" t="inlineStr">
        <is>
          <t>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67" s="17" t="inlineStr">
        <is>
          <t>https://www.rgd.gov.lk/web/images/ActsPDF/notary/Notaries-English.pdf</t>
        </is>
      </c>
      <c r="I67" s="17" t="inlineStr">
        <is>
          <t>Indispensable</t>
        </is>
      </c>
      <c r="J67" s="17" t="inlineStr">
        <is>
          <t>Shows on the face of the Ordinance that a notary may lawfully attest a deed affecting land in a district other than his own: the statute does not forbid it, it regulates it by adding a duty to transmit a certified copy and a list to the Registrar of Lands of the district where the land is situated. This is the provision that answers the Kurunegala point.
TEMPORAL: Part of section 31, in force from 1907; the consolidated edition carries amendments to 2024 and records no amendment event for rule (29). Treated as in force at 2026-04.</t>
        </is>
      </c>
      <c r="K67" s="17" t="inlineStr">
        <is>
          <t>[verified] Verified; note that the trigger for rule (29) is the district in which the notary resides, whereas the enriched facts fix only the district of his office, so the duty is engaged by inference from s.3(1) and s.9 rather than by a stated fact.</t>
        </is>
      </c>
      <c r="L67" s="21" t="n"/>
      <c r="M67" s="21" t="n"/>
      <c r="N67" s="21" t="n"/>
      <c r="O67" s="21" t="n"/>
      <c r="P67" s="21" t="n"/>
      <c r="Q67" s="17">
        <f>IF(OR(A67="",B67=""),"",IF(AND(L67&lt;&gt;"",P67&lt;&gt;"",IF(L67="Wrong citation",AND(M67&lt;&gt;"",N67&lt;&gt;""),TRUE)),"Complete","Pending"))</f>
        <v/>
      </c>
    </row>
    <row r="68">
      <c r="A68" s="19" t="inlineStr">
        <is>
          <t>M006-Q01</t>
        </is>
      </c>
      <c r="B68" s="19" t="inlineStr">
        <is>
          <t>PROV-M006-004</t>
        </is>
      </c>
      <c r="C68" s="17" t="inlineStr">
        <is>
          <t>Notaries Ordinance No. 1 of 1907</t>
        </is>
      </c>
      <c r="D68" s="17" t="inlineStr">
        <is>
          <t>s.31(31(30A))</t>
        </is>
      </c>
      <c r="E68" s="17" t="inlineStr">
        <is>
          <t>2026-04</t>
        </is>
      </c>
      <c r="F68" s="17" t="inlineStr">
        <is>
          <t>Current on reference date</t>
        </is>
      </c>
      <c r="G68" s="17" t="inlineStr">
        <is>
          <t>Provided that, where such deed or instrument is required to be registered outside the jurisdiction in which he is practicing, he shall submit such deed or instrument for registration before the expiry of sixty days from the date of attestation.</t>
        </is>
      </c>
      <c r="H68" s="17" t="inlineStr">
        <is>
          <t>https://www.rgd.gov.lk/web/images/ActsPDF/notary/Notaries-English.pdf</t>
        </is>
      </c>
      <c r="I68" s="17" t="inlineStr">
        <is>
          <t>Supporting</t>
        </is>
      </c>
      <c r="J68" s="17" t="inlineStr">
        <is>
          <t>Confirms again that attesting a deed registrable outside the notary's own jurisdiction is contemplated and permitted, and sets the longer sixty-day registration deadline that applies to Saman if he attests this deed in Colombo for registration in Kurunegala.
TEMPORAL: Rule (30A) sits within section 31 of the consolidated edition (consolidated to 2024) and is referred to in section 34(1)(b) as substituted by Act No. 31 of 2022. In force at 2026-04.</t>
        </is>
      </c>
      <c r="K68" s="17" t="inlineStr">
        <is>
          <t>[verified] Verified; the temporal note is imprecise in saying only that rule (30A) "sits within" section 31 - it was inserted by Notaries (Amendment) Act No. 31 of 2022 s.16(14), and section 34(1)(b) lists rule (30A), both confirmed in the corpus.</t>
        </is>
      </c>
      <c r="L68" s="21" t="n"/>
      <c r="M68" s="21" t="n"/>
      <c r="N68" s="21" t="n"/>
      <c r="O68" s="21" t="n"/>
      <c r="P68" s="21" t="n"/>
      <c r="Q68" s="17">
        <f>IF(OR(A68="",B68=""),"",IF(AND(L68&lt;&gt;"",P68&lt;&gt;"",IF(L68="Wrong citation",AND(M68&lt;&gt;"",N68&lt;&gt;""),TRUE)),"Complete","Pending"))</f>
        <v/>
      </c>
    </row>
    <row r="69">
      <c r="A69" s="19" t="inlineStr">
        <is>
          <t>M006-Q01</t>
        </is>
      </c>
      <c r="B69" s="19" t="inlineStr">
        <is>
          <t>PROV-M006-005</t>
        </is>
      </c>
      <c r="C69" s="17" t="inlineStr">
        <is>
          <t>Notaries Ordinance No. 1 of 1907</t>
        </is>
      </c>
      <c r="D69" s="17" t="inlineStr">
        <is>
          <t>s.9</t>
        </is>
      </c>
      <c r="E69" s="17" t="inlineStr">
        <is>
          <t>2026-04</t>
        </is>
      </c>
      <c r="F69" s="17" t="inlineStr">
        <is>
          <t>Current on reference date</t>
        </is>
      </c>
      <c r="G69" s="17" t="inlineStr">
        <is>
          <t>Every notary shall be bound to have his office within the area specified in his warrant; and any notary infringing this provision shall be liable to have his warrant withdrawn by the Minister.</t>
        </is>
      </c>
      <c r="H69" s="17" t="inlineStr">
        <is>
          <t>https://www.rgd.gov.lk/web/images/ActsPDF/notary/Notaries-English.pdf</t>
        </is>
      </c>
      <c r="I69" s="17" t="inlineStr">
        <is>
          <t>Supporting</t>
        </is>
      </c>
      <c r="J69" s="17" t="inlineStr">
        <is>
          <t>Supports the reading that the Ordinance regulates where the notary is based and operates, not where the subject land lies. Saman's office must be in the Colombo zone, which is where he proposes to attest the deed.
TEMPORAL: In force from 1907 with no amendment event recorded in the consolidated edition. In force at 2026-04.</t>
        </is>
      </c>
      <c r="K69" s="17" t="inlineStr">
        <is>
          <t>[verified]</t>
        </is>
      </c>
      <c r="L69" s="21" t="n"/>
      <c r="M69" s="21" t="n"/>
      <c r="N69" s="21" t="n"/>
      <c r="O69" s="21" t="n"/>
      <c r="P69" s="21" t="n"/>
      <c r="Q69" s="17">
        <f>IF(OR(A69="",B69=""),"",IF(AND(L69&lt;&gt;"",P69&lt;&gt;"",IF(L69="Wrong citation",AND(M69&lt;&gt;"",N69&lt;&gt;""),TRUE)),"Complete","Pending"))</f>
        <v/>
      </c>
    </row>
    <row r="70">
      <c r="A70" s="19" t="inlineStr">
        <is>
          <t>M006-Q01</t>
        </is>
      </c>
      <c r="B70" s="19" t="inlineStr">
        <is>
          <t>PROV-M006-006</t>
        </is>
      </c>
      <c r="C70" s="17" t="inlineStr">
        <is>
          <t>Notaries Ordinance No. 1 of 1907</t>
        </is>
      </c>
      <c r="D70" s="17" t="inlineStr">
        <is>
          <t>s.34(34(1)(c))</t>
        </is>
      </c>
      <c r="E70" s="17" t="inlineStr">
        <is>
          <t>2026-04</t>
        </is>
      </c>
      <c r="F70" s="17" t="inlineStr">
        <is>
          <t>Current on reference date</t>
        </is>
      </c>
      <c r="G70" s="17" t="inlineStr">
        <is>
          <t>any other rule set out in section 31, shall be guilty of an offence, and shall, on conviction after summary trial before a Magistrate, be liable to a fine not exceeding fifty thousand rupees, in addition to any civil liability he may incur thereby.</t>
        </is>
      </c>
      <c r="H70" s="17" t="inlineStr">
        <is>
          <t>https://www.rgd.gov.lk/web/images/ActsPDF/notary/Notaries-English.pdf</t>
        </is>
      </c>
      <c r="I70" s="17" t="inlineStr">
        <is>
          <t>Supporting</t>
        </is>
      </c>
      <c r="J70" s="17" t="inlineStr">
        <is>
          <t>Gives the consequence if Saman were to attest the deed outside his zone: rule (22) is not listed in paragraph (a) or (b) of section 34(1), so a breach falls within the residual paragraph (c). It shows the territorial limit is penal, not merely directory.
TEMPORAL: Substituted by Notaries (Amendment) Act No. 31 of 2022 s.17; the substituted text is the operative text at 2026-04.</t>
        </is>
      </c>
      <c r="K70" s="17" t="inlineStr">
        <is>
          <t>[verified]</t>
        </is>
      </c>
      <c r="L70" s="21" t="n"/>
      <c r="M70" s="21" t="n"/>
      <c r="N70" s="21" t="n"/>
      <c r="O70" s="21" t="n"/>
      <c r="P70" s="21" t="n"/>
      <c r="Q70" s="17">
        <f>IF(OR(A70="",B70=""),"",IF(AND(L70&lt;&gt;"",P70&lt;&gt;"",IF(L70="Wrong citation",AND(M70&lt;&gt;"",N70&lt;&gt;""),TRUE)),"Complete","Pending"))</f>
        <v/>
      </c>
    </row>
    <row r="71">
      <c r="A71" s="19" t="inlineStr">
        <is>
          <t>M006-Q01</t>
        </is>
      </c>
      <c r="B71" s="19" t="inlineStr">
        <is>
          <t>PROV-M006-008</t>
        </is>
      </c>
      <c r="C71" s="17" t="inlineStr">
        <is>
          <t>Notaries Ordinance No. 1 of 1907</t>
        </is>
      </c>
      <c r="D71" s="17" t="inlineStr">
        <is>
          <t>s.11</t>
        </is>
      </c>
      <c r="E71" s="17" t="inlineStr">
        <is>
          <t>2026-04</t>
        </is>
      </c>
      <c r="F71" s="17" t="inlineStr">
        <is>
          <t>Current on reference date</t>
        </is>
      </c>
      <c r="G71" s="17" t="inlineStr">
        <is>
          <t>The Minister may on application made in that behalf grant to a notary, having a warrant authorizing him to practice within a judicial zone, a fresh warrant authorizing him to practice within another judicial zone.</t>
        </is>
      </c>
      <c r="H71" s="17" t="inlineStr">
        <is>
          <t>https://www.rgd.gov.lk/web/images/ActsPDF/notary/Notaries-English.pdf</t>
        </is>
      </c>
      <c r="I71" s="17" t="inlineStr">
        <is>
          <t>Supporting</t>
        </is>
      </c>
      <c r="J71" s="17" t="inlineStr">
        <is>
          <t>Identifies the only route by which Saman could lawfully attest the deed in Kurunegala itself: a fresh warrant for that judicial zone. It also confirms that the zone limit attaches to the warrant and is changed only by the Minister.
TEMPORAL: Substituted by Act No. 20 of 1976 s.5; that text stands in the consolidated edition and is in force at 2026-04.</t>
        </is>
      </c>
      <c r="K71" s="17" t="inlineStr">
        <is>
          <t>[verified]</t>
        </is>
      </c>
      <c r="L71" s="21" t="n"/>
      <c r="M71" s="21" t="n"/>
      <c r="N71" s="21" t="n"/>
      <c r="O71" s="21" t="n"/>
      <c r="P71" s="21" t="n"/>
      <c r="Q71" s="17">
        <f>IF(OR(A71="",B71=""),"",IF(AND(L71&lt;&gt;"",P71&lt;&gt;"",IF(L71="Wrong citation",AND(M71&lt;&gt;"",N71&lt;&gt;""),TRUE)),"Complete","Pending"))</f>
        <v/>
      </c>
    </row>
    <row r="72">
      <c r="A72" s="19" t="inlineStr">
        <is>
          <t>M006-Q01</t>
        </is>
      </c>
      <c r="B72" s="19" t="inlineStr">
        <is>
          <t>PROV-M006-010</t>
        </is>
      </c>
      <c r="C72" s="17" t="inlineStr">
        <is>
          <t>Notaries Ordinance No. 1 of 1907</t>
        </is>
      </c>
      <c r="D72" s="17" t="inlineStr">
        <is>
          <t>s.31(31(13))</t>
        </is>
      </c>
      <c r="E72" s="17" t="inlineStr">
        <is>
          <t>2026-04</t>
        </is>
      </c>
      <c r="F72" s="17" t="inlineStr">
        <is>
          <t>Current on reference date</t>
        </is>
      </c>
      <c r="G72" s="17" t="inlineStr">
        <is>
          <t>He shall not authenticate or attest any deed or instrument to which he is a party.</t>
        </is>
      </c>
      <c r="H72" s="17" t="inlineStr">
        <is>
          <t>https://www.rgd.gov.lk/web/images/ActsPDF/notary/Notaries-English.pdf</t>
        </is>
      </c>
      <c r="I72" s="17" t="inlineStr">
        <is>
          <t>Supporting</t>
        </is>
      </c>
      <c r="J72" s="17" t="inlineStr">
        <is>
          <t>The one disqualification that Saman's employment could have triggered. On the enriched facts he is not a party to the deed, so it is not engaged; it is recorded because it is the rule a verifier should test the employment fact against.
TEMPORAL: Part of section 31, in force from 1907, no amendment event recorded for rule (13). In force at 2026-04.</t>
        </is>
      </c>
      <c r="K72" s="17" t="inlineStr">
        <is>
          <t>[verified]</t>
        </is>
      </c>
      <c r="L72" s="21" t="n"/>
      <c r="M72" s="21" t="n"/>
      <c r="N72" s="21" t="n"/>
      <c r="O72" s="21" t="n"/>
      <c r="P72" s="21" t="n"/>
      <c r="Q72" s="17">
        <f>IF(OR(A72="",B72=""),"",IF(AND(L72&lt;&gt;"",P72&lt;&gt;"",IF(L72="Wrong citation",AND(M72&lt;&gt;"",N72&lt;&gt;""),TRUE)),"Complete","Pending"))</f>
        <v/>
      </c>
    </row>
    <row r="73">
      <c r="A73" s="19" t="inlineStr">
        <is>
          <t>M006-Q01</t>
        </is>
      </c>
      <c r="B73" s="19" t="inlineStr">
        <is>
          <t>PROV-M006-007</t>
        </is>
      </c>
      <c r="C73" s="17" t="inlineStr">
        <is>
          <t>Notaries Ordinance No. 1 of 1907</t>
        </is>
      </c>
      <c r="D73" s="17" t="inlineStr">
        <is>
          <t>s.31(31(17)(c))</t>
        </is>
      </c>
      <c r="E73" s="17" t="inlineStr">
        <is>
          <t>2026-04</t>
        </is>
      </c>
      <c r="F73" s="17" t="inlineStr">
        <is>
          <t>Current on reference date</t>
        </is>
      </c>
      <c r="G73" s="17" t="inlineStr">
        <is>
          <t>If he is a legal officer working in any organization, entity or company, he shall specify the registered address of such organization, entity or company</t>
        </is>
      </c>
      <c r="H73" s="17" t="inlineStr">
        <is>
          <t>https://www.rgd.gov.lk/web/images/ActsPDF/notary/Notaries-English.pdf</t>
        </is>
      </c>
      <c r="I73" s="17" t="inlineStr">
        <is>
          <t>Background</t>
        </is>
      </c>
      <c r="J73" s="17" t="inlineStr">
        <is>
          <t>Background: the Ordinance expressly contemplates a notary who is a legal officer of a company and regulates that position by a disclosure requirement on the face of the deed rather than by disqualification. It is why Saman's employment does not by itself bar him from attesting.
TEMPORAL: Part of the rule (17) block of section 31 as restructured by Act No. 47 of 2011 s.3 and amended by Acts No. 31 of 2022 and No. 6 of 2024, all before the matter date.</t>
        </is>
      </c>
      <c r="K73" s="17" t="inlineStr">
        <is>
          <t>[verified]</t>
        </is>
      </c>
      <c r="L73" s="21" t="n"/>
      <c r="M73" s="21" t="n"/>
      <c r="N73" s="21" t="n"/>
      <c r="O73" s="21" t="n"/>
      <c r="P73" s="21" t="n"/>
      <c r="Q73" s="17">
        <f>IF(OR(A73="",B73=""),"",IF(AND(L73&lt;&gt;"",P73&lt;&gt;"",IF(L73="Wrong citation",AND(M73&lt;&gt;"",N73&lt;&gt;""),TRUE)),"Complete","Pending"))</f>
        <v/>
      </c>
    </row>
    <row r="74">
      <c r="A74" s="19" t="inlineStr">
        <is>
          <t>M006-Q01</t>
        </is>
      </c>
      <c r="B74" s="19" t="inlineStr">
        <is>
          <t>PROV-M006-009</t>
        </is>
      </c>
      <c r="C74" s="17" t="inlineStr">
        <is>
          <t>Registration of Documents Ordinance No. 23 of 1927</t>
        </is>
      </c>
      <c r="D74" s="17" t="inlineStr">
        <is>
          <t>s.14(14(1))</t>
        </is>
      </c>
      <c r="E74" s="17" t="inlineStr">
        <is>
          <t>2026-04</t>
        </is>
      </c>
      <c r="F74" s="17" t="inlineStr">
        <is>
          <t>Current on reference date</t>
        </is>
      </c>
      <c r="G74" s="17" t="inlineStr">
        <is>
          <t>Every instrument presented for registration shall be registered in the book allotted to the division in which the land affected by the instrument is situated</t>
        </is>
      </c>
      <c r="H74" s="17" t="inlineStr">
        <is>
          <t>https://lankalaw.net/wp-content/uploads/2025/03/Registration-of-Documents-Consolidated-2024.pdf</t>
        </is>
      </c>
      <c r="I74" s="17" t="inlineStr">
        <is>
          <t>Background</t>
        </is>
      </c>
      <c r="J74" s="17" t="inlineStr">
        <is>
          <t>Background: registration follows the situation of the land, not the zone of the attesting notary. It explains why the deed, though attested in Colombo, must be registered in the Kurunegala land registry division, and so why the extra duties in rules (29) and (30A) exist.
TEMPORAL: In force from 1927, last recorded change 1974. In force at 2026-04.</t>
        </is>
      </c>
      <c r="K74" s="17" t="inlineStr">
        <is>
          <t>[verified]</t>
        </is>
      </c>
      <c r="L74" s="21" t="n"/>
      <c r="M74" s="21" t="n"/>
      <c r="N74" s="21" t="n"/>
      <c r="O74" s="21" t="n"/>
      <c r="P74" s="21" t="n"/>
      <c r="Q74" s="17">
        <f>IF(OR(A74="",B74=""),"",IF(AND(L74&lt;&gt;"",P74&lt;&gt;"",IF(L74="Wrong citation",AND(M74&lt;&gt;"",N74&lt;&gt;""),TRUE)),"Complete","Pending"))</f>
        <v/>
      </c>
    </row>
    <row r="75">
      <c r="A75" s="19" t="inlineStr">
        <is>
          <t>M008-Q02</t>
        </is>
      </c>
      <c r="B75" s="19" t="inlineStr">
        <is>
          <t>PROV-M008-008</t>
        </is>
      </c>
      <c r="C75" s="17" t="inlineStr">
        <is>
          <t>Registration of Title Act No. 21 of 1998</t>
        </is>
      </c>
      <c r="D75" s="17" t="inlineStr">
        <is>
          <t>s.34 (1)</t>
        </is>
      </c>
      <c r="E75" s="17" t="inlineStr">
        <is>
          <t>2026-04</t>
        </is>
      </c>
      <c r="F75" s="17" t="inlineStr">
        <is>
          <t>Current on reference date</t>
        </is>
      </c>
      <c r="G75" s="17" t="inlineStr">
        <is>
          <t>Any person may, on application made in the prescribed form and on payment of the prescribed fee inspect during office hours, any title register and any cadastral map maintained under the provisions of this Act.</t>
        </is>
      </c>
      <c r="H75" s="17" t="inlineStr">
        <is>
          <t>https://www.rgd.gov.lk/web/images/ActsPDF/title/TR-Act-english-1998-no-21.pdf</t>
        </is>
      </c>
      <c r="I75" s="17" t="inlineStr">
        <is>
          <t>Indispensable</t>
        </is>
      </c>
      <c r="J75" s="17" t="inlineStr">
        <is>
          <t>Directly answers the inspection half of the question. The right is given to 'any person', so no proprietary interest, retainer or written authority has to be shown; the only conditions are the prescribed form, the prescribed fee and office hours.
TEMPORAL: In force from 1998; no amendment events recorded in the corpus. In force at the matter reference date 2026-04.</t>
        </is>
      </c>
      <c r="K75" s="17" t="inlineStr">
        <is>
          <t>[verified]</t>
        </is>
      </c>
      <c r="L75" s="21" t="n"/>
      <c r="M75" s="21" t="n"/>
      <c r="N75" s="21" t="n"/>
      <c r="O75" s="21" t="n"/>
      <c r="P75" s="21" t="n"/>
      <c r="Q75" s="17">
        <f>IF(OR(A75="",B75=""),"",IF(AND(L75&lt;&gt;"",P75&lt;&gt;"",IF(L75="Wrong citation",AND(M75&lt;&gt;"",N75&lt;&gt;""),TRUE)),"Complete","Pending"))</f>
        <v/>
      </c>
    </row>
    <row r="76">
      <c r="A76" s="19" t="inlineStr">
        <is>
          <t>M008-Q02</t>
        </is>
      </c>
      <c r="B76" s="19" t="inlineStr">
        <is>
          <t>PROV-M008-009</t>
        </is>
      </c>
      <c r="C76" s="17" t="inlineStr">
        <is>
          <t>Registration of Title Act No. 21 of 1998</t>
        </is>
      </c>
      <c r="D76" s="17" t="inlineStr">
        <is>
          <t>s.34 (2)</t>
        </is>
      </c>
      <c r="E76" s="17" t="inlineStr">
        <is>
          <t>2026-04</t>
        </is>
      </c>
      <c r="F76" s="17" t="inlineStr">
        <is>
          <t>Current on reference date</t>
        </is>
      </c>
      <c r="G76" s="17" t="inlineStr">
        <is>
          <t>Any, person shall, on application made to the relevant Registrar of Title and on payment of the prescribed fee, be entitled to receive an extract of such Title Register certified by such Registrar of Title.</t>
        </is>
      </c>
      <c r="H76" s="17" t="inlineStr">
        <is>
          <t>https://www.rgd.gov.lk/web/images/ActsPDF/title/TR-Act-english-1998-no-21.pdf</t>
        </is>
      </c>
      <c r="I76" s="17" t="inlineStr">
        <is>
          <t>Indispensable</t>
        </is>
      </c>
      <c r="J76" s="17" t="inlineStr">
        <is>
          <t>Answers the certified-copy half for the Title Register and identifies the officer who must be applied to and who certifies. The wording is an entitlement ('shall ... be entitled'), not a discretion.
TEMPORAL: In force from 1998; no amendment events recorded in the corpus. In force at the matter reference date 2026-04.</t>
        </is>
      </c>
      <c r="K76" s="17" t="inlineStr">
        <is>
          <t>[verified]</t>
        </is>
      </c>
      <c r="L76" s="21" t="n"/>
      <c r="M76" s="21" t="n"/>
      <c r="N76" s="21" t="n"/>
      <c r="O76" s="21" t="n"/>
      <c r="P76" s="21" t="n"/>
      <c r="Q76" s="17">
        <f>IF(OR(A76="",B76=""),"",IF(AND(L76&lt;&gt;"",P76&lt;&gt;"",IF(L76="Wrong citation",AND(M76&lt;&gt;"",N76&lt;&gt;""),TRUE)),"Complete","Pending"))</f>
        <v/>
      </c>
    </row>
    <row r="77">
      <c r="A77" s="19" t="inlineStr">
        <is>
          <t>M008-Q02</t>
        </is>
      </c>
      <c r="B77" s="19" t="inlineStr">
        <is>
          <t>PROV-M008-010</t>
        </is>
      </c>
      <c r="C77" s="17" t="inlineStr">
        <is>
          <t>Registration of Title Act No. 21 of 1998</t>
        </is>
      </c>
      <c r="D77" s="17" t="inlineStr">
        <is>
          <t>s.34 (3)</t>
        </is>
      </c>
      <c r="E77" s="17" t="inlineStr">
        <is>
          <t>2026-04</t>
        </is>
      </c>
      <c r="F77" s="17" t="inlineStr">
        <is>
          <t>Current on reference date</t>
        </is>
      </c>
      <c r="G77" s="17" t="inlineStr">
        <is>
          <t>Any person on application made to the relevant Superintendent of Surveys, shall on payment of the prescribed fee be entitled to receive a copy of an extract of a cadastral map used for registration of title, certified on behalf of the Surveyor-General.</t>
        </is>
      </c>
      <c r="H77" s="17" t="inlineStr">
        <is>
          <t>https://www.rgd.gov.lk/web/images/ActsPDF/title/TR-Act-english-1998-no-21.pdf</t>
        </is>
      </c>
      <c r="I77" s="17" t="inlineStr">
        <is>
          <t>Indispensable</t>
        </is>
      </c>
      <c r="J77" s="17" t="inlineStr">
        <is>
          <t>Answers the certified-copy half for the cadastral map, and shows that this copy comes from a different officer (the Superintendent of Surveys, certifying on behalf of the Surveyor-General) rather than from the Registrar of Title.
TEMPORAL: In force from 1998; no amendment events recorded in the corpus. In force at the matter reference date 2026-04.</t>
        </is>
      </c>
      <c r="K77" s="17" t="inlineStr">
        <is>
          <t>[verified]</t>
        </is>
      </c>
      <c r="L77" s="21" t="n"/>
      <c r="M77" s="21" t="n"/>
      <c r="N77" s="21" t="n"/>
      <c r="O77" s="21" t="n"/>
      <c r="P77" s="21" t="n"/>
      <c r="Q77" s="17">
        <f>IF(OR(A77="",B77=""),"",IF(AND(L77&lt;&gt;"",P77&lt;&gt;"",IF(L77="Wrong citation",AND(M77&lt;&gt;"",N77&lt;&gt;""),TRUE)),"Complete","Pending"))</f>
        <v/>
      </c>
    </row>
    <row r="78">
      <c r="A78" s="19" t="inlineStr">
        <is>
          <t>M008-Q02</t>
        </is>
      </c>
      <c r="B78" s="19" t="inlineStr">
        <is>
          <t>PROV-M008-011</t>
        </is>
      </c>
      <c r="C78" s="17" t="inlineStr">
        <is>
          <t>Registration of Title Act No. 21 of 1998</t>
        </is>
      </c>
      <c r="D78" s="17" t="inlineStr">
        <is>
          <t>s.75</t>
        </is>
      </c>
      <c r="E78" s="17" t="inlineStr">
        <is>
          <t>2026-04</t>
        </is>
      </c>
      <c r="F78" s="17" t="inlineStr">
        <is>
          <t>Current on reference date</t>
        </is>
      </c>
      <c r="G78" s="17" t="inlineStr">
        <is>
          <t>means any person appointed as Registrar of Title under this Act; means a land parcel the title to which is registered under this Act;</t>
        </is>
      </c>
      <c r="H78" s="17" t="inlineStr">
        <is>
          <t>https://www.rgd.gov.lk/web/images/ActsPDF/title/TR-Act-english-1998-no-21.pdf</t>
        </is>
      </c>
      <c r="I78" s="17" t="inlineStr">
        <is>
          <t>Indispensable</t>
        </is>
      </c>
      <c r="J78" s="17" t="inlineStr">
        <is>
          <t>Definitions of 'Registrar of Title' and 'registered land'. The answer turns on applying to the correct statutory officer for the certified register extract, so the defined term is part of the reasoning.
TEMPORAL: In force from 1998; no amendment events recorded in the corpus. In force at the matter reference date 2026-04. The corpus rendering of section 75 strips the defined terms out of the body and lists them separately, so the excerpt reads as bare 'means ...' clauses.</t>
        </is>
      </c>
      <c r="K78" s="17" t="inlineStr">
        <is>
          <t>[verified]</t>
        </is>
      </c>
      <c r="L78" s="21" t="n"/>
      <c r="M78" s="21" t="n"/>
      <c r="N78" s="21" t="n"/>
      <c r="O78" s="21" t="n"/>
      <c r="P78" s="21" t="n"/>
      <c r="Q78" s="17">
        <f>IF(OR(A78="",B78=""),"",IF(AND(L78&lt;&gt;"",P78&lt;&gt;"",IF(L78="Wrong citation",AND(M78&lt;&gt;"",N78&lt;&gt;""),TRUE)),"Complete","Pending"))</f>
        <v/>
      </c>
    </row>
    <row r="79">
      <c r="A79" s="19" t="inlineStr">
        <is>
          <t>M008-Q02</t>
        </is>
      </c>
      <c r="B79" s="19" t="inlineStr">
        <is>
          <t>PROV-M008-014</t>
        </is>
      </c>
      <c r="C79" s="17" t="inlineStr">
        <is>
          <t>Registration of Title Act No. 21 of 1998</t>
        </is>
      </c>
      <c r="D79" s="17" t="inlineStr">
        <is>
          <t>s.75</t>
        </is>
      </c>
      <c r="E79" s="17" t="inlineStr">
        <is>
          <t>2026-04</t>
        </is>
      </c>
      <c r="F79" s="17" t="inlineStr">
        <is>
          <t>Current on reference date</t>
        </is>
      </c>
      <c r="G79" s="17" t="inlineStr">
        <is>
          <t>means any person performing the functions of a Superintendent of Surveys in the Survey Department; means the Title Register under the provisions of this Act.</t>
        </is>
      </c>
      <c r="H79" s="17" t="inlineStr">
        <is>
          <t>https://www.rgd.gov.lk/web/images/ActsPDF/title/TR-Act-english-1998-no-21.pdf</t>
        </is>
      </c>
      <c r="I79" s="17" t="inlineStr">
        <is>
          <t>Indispensable</t>
        </is>
      </c>
      <c r="J79" s="17" t="inlineStr">
        <is>
          <t>Definitions of 'Superintendent of Surveys' and 'Title Register'. The answer separates the two certified documents by the officer who issues them, so this definition is part of the reasoning chain.
TEMPORAL: In force from 1998; no amendment events recorded in the corpus. In force at the matter reference date 2026-04. Same corpus rendering caveat as PROV-M008-011.</t>
        </is>
      </c>
      <c r="K79" s="17" t="inlineStr">
        <is>
          <t>[verified]</t>
        </is>
      </c>
      <c r="L79" s="21" t="n"/>
      <c r="M79" s="21" t="n"/>
      <c r="N79" s="21" t="n"/>
      <c r="O79" s="21" t="n"/>
      <c r="P79" s="21" t="n"/>
      <c r="Q79" s="17">
        <f>IF(OR(A79="",B79=""),"",IF(AND(L79&lt;&gt;"",P79&lt;&gt;"",IF(L79="Wrong citation",AND(M79&lt;&gt;"",N79&lt;&gt;""),TRUE)),"Complete","Pending"))</f>
        <v/>
      </c>
    </row>
    <row r="80">
      <c r="A80" s="19" t="inlineStr">
        <is>
          <t>M008-Q02</t>
        </is>
      </c>
      <c r="B80" s="19" t="inlineStr">
        <is>
          <t>PROV-M008-012</t>
        </is>
      </c>
      <c r="C80" s="17" t="inlineStr">
        <is>
          <t>Registration of Title Act No. 21 of 1998</t>
        </is>
      </c>
      <c r="D80" s="17" t="inlineStr">
        <is>
          <t>s.35 (1), (2)</t>
        </is>
      </c>
      <c r="E80" s="17" t="inlineStr">
        <is>
          <t>2026-04</t>
        </is>
      </c>
      <c r="F80" s="17" t="inlineStr">
        <is>
          <t>Current on reference date</t>
        </is>
      </c>
      <c r="G80" s="17" t="inlineStr">
        <is>
          <t>Every document purporting to be certified by a Registrar of Title shall in all proceedings be presumed to have been so certified and shall be accepted as prima facie evidence of the matter to which it relates without any further proof of such matter.</t>
        </is>
      </c>
      <c r="H80" s="17" t="inlineStr">
        <is>
          <t>https://www.rgd.gov.lk/web/images/ActsPDF/title/TR-Act-english-1998-no-21.pdf</t>
        </is>
      </c>
      <c r="I80" s="17" t="inlineStr">
        <is>
          <t>Supporting</t>
        </is>
      </c>
      <c r="J80" s="17" t="inlineStr">
        <is>
          <t>Explains why the certified copies are worth obtaining: they carry evidential weight without further proof. Useful for a Notary advising a client, but not needed to decide whether she may obtain them.
TEMPORAL: In force from 1998; no amendment events recorded in the corpus. In force at the matter reference date 2026-04.</t>
        </is>
      </c>
      <c r="K80" s="17" t="inlineStr">
        <is>
          <t>[partially_verified] Wording of section 35(1) is verbatim, but the subsection cited is incomplete for the use made of it: the gold answer covers certified copies of both documents, and it is section 35(2) that gives the same prima facie status to a copy of an extract of a cadastral map certified by or on behalf of the Surveyor-General, so the entry should read 35(1) and (2).</t>
        </is>
      </c>
      <c r="L80" s="21" t="n"/>
      <c r="M80" s="21" t="n"/>
      <c r="N80" s="21" t="n"/>
      <c r="O80" s="21" t="n"/>
      <c r="P80" s="21" t="n"/>
      <c r="Q80" s="17">
        <f>IF(OR(A80="",B80=""),"",IF(AND(L80&lt;&gt;"",P80&lt;&gt;"",IF(L80="Wrong citation",AND(M80&lt;&gt;"",N80&lt;&gt;""),TRUE)),"Complete","Pending"))</f>
        <v/>
      </c>
    </row>
    <row r="81">
      <c r="A81" s="19" t="inlineStr">
        <is>
          <t>M008-Q02</t>
        </is>
      </c>
      <c r="B81" s="19" t="inlineStr">
        <is>
          <t>PROV-M008-013</t>
        </is>
      </c>
      <c r="C81" s="17" t="inlineStr">
        <is>
          <t>Registration of Title Act No. 21 of 1998</t>
        </is>
      </c>
      <c r="D81" s="17" t="inlineStr">
        <is>
          <t>s.67 (2)(g), (2)(h)</t>
        </is>
      </c>
      <c r="E81" s="17" t="inlineStr">
        <is>
          <t>2026-04</t>
        </is>
      </c>
      <c r="F81" s="17" t="inlineStr">
        <is>
          <t>Current on reference date</t>
        </is>
      </c>
      <c r="G81" s="17" t="inlineStr">
        <is>
          <t>(g) the forms required for the purposes of this Act; (h) the fees payable under the Act.</t>
        </is>
      </c>
      <c r="H81" s="17" t="inlineStr">
        <is>
          <t>https://www.rgd.gov.lk/web/images/ActsPDF/title/TR-Act-english-1998-no-21.pdf</t>
        </is>
      </c>
      <c r="I81" s="17" t="inlineStr">
        <is>
          <t>Supporting</t>
        </is>
      </c>
      <c r="J81" s="17" t="inlineStr">
        <is>
          <t>Section 34 conditions both inspection and certified copies on a 'prescribed form' and a 'prescribed fee'. This is the regulation-making power under which those forms and fees are prescribed.
TEMPORAL: In force from 1998; no amendment events recorded in the corpus. In force at the matter reference date 2026-04. The regulations themselves are not in the corpus, so the actual form and fee cannot be stated.</t>
        </is>
      </c>
      <c r="K81" s="17" t="inlineStr">
        <is>
          <t>[verified]</t>
        </is>
      </c>
      <c r="L81" s="21" t="n"/>
      <c r="M81" s="21" t="n"/>
      <c r="N81" s="21" t="n"/>
      <c r="O81" s="21" t="n"/>
      <c r="P81" s="21" t="n"/>
      <c r="Q81" s="17">
        <f>IF(OR(A81="",B81=""),"",IF(AND(L81&lt;&gt;"",P81&lt;&gt;"",IF(L81="Wrong citation",AND(M81&lt;&gt;"",N81&lt;&gt;""),TRUE)),"Complete","Pending"))</f>
        <v/>
      </c>
    </row>
    <row r="82">
      <c r="A82" s="19" t="inlineStr">
        <is>
          <t>M010-Q01</t>
        </is>
      </c>
      <c r="B82" s="19" t="inlineStr">
        <is>
          <t>PROV-M010-001</t>
        </is>
      </c>
      <c r="C82" s="17" t="inlineStr">
        <is>
          <t>Wills Ordinance No. 21 of 1844</t>
        </is>
      </c>
      <c r="D82" s="17" t="inlineStr">
        <is>
          <t>s.2 (1)</t>
        </is>
      </c>
      <c r="E82" s="17" t="inlineStr">
        <is>
          <t>2026-04</t>
        </is>
      </c>
      <c r="F82" s="17" t="inlineStr">
        <is>
          <t>Current on reference date</t>
        </is>
      </c>
      <c r="G82" s="17" t="inlineStr">
        <is>
          <t>It shall be lawful for any person who has reached the age of eighteen years and residing within or outside Sri Lanka to execute a will bequeathing and disposing any movable and immovable property and all and every estate, right, share or interest in any property which belong to him at the time of death</t>
        </is>
      </c>
      <c r="H82" s="17" t="inlineStr">
        <is>
          <t>https://lankalaw.net/wp-content/uploads/2025/03/Wills-Consolidated-2024.pdf</t>
        </is>
      </c>
      <c r="I82" s="17" t="inlineStr">
        <is>
          <t>Indispensable</t>
        </is>
      </c>
      <c r="J82" s="17" t="inlineStr">
        <is>
          <t>Gives Martin Perera, an adult resident in Sri Lanka, the statutory power to execute a will disposing of his house, which is immovable property belonging to him at the time of death.
TEMPORAL: Section 2 was repealed and substituted by Wills Ordinance (Amendment) Act No. 29 of 2022 (corpus amendment_events: repeal_and_substitute by 29-2022 s.2). The substituted text is in force well before 2026-04 and is the text applied here.</t>
        </is>
      </c>
      <c r="K82" s="17" t="inlineStr">
        <is>
          <t>[verified]</t>
        </is>
      </c>
      <c r="L82" s="21" t="n"/>
      <c r="M82" s="21" t="n"/>
      <c r="N82" s="21" t="n"/>
      <c r="O82" s="21" t="n"/>
      <c r="P82" s="21" t="n"/>
      <c r="Q82" s="17">
        <f>IF(OR(A82="",B82=""),"",IF(AND(L82&lt;&gt;"",P82&lt;&gt;"",IF(L82="Wrong citation",AND(M82&lt;&gt;"",N82&lt;&gt;""),TRUE)),"Complete","Pending"))</f>
        <v/>
      </c>
    </row>
    <row r="83">
      <c r="A83" s="19" t="inlineStr">
        <is>
          <t>M010-Q01</t>
        </is>
      </c>
      <c r="B83" s="19" t="inlineStr">
        <is>
          <t>PROV-M010-002</t>
        </is>
      </c>
      <c r="C83" s="17" t="inlineStr">
        <is>
          <t>Wills Ordinance No. 21 of 1844</t>
        </is>
      </c>
      <c r="D83" s="17" t="inlineStr">
        <is>
          <t>s.2 (2)</t>
        </is>
      </c>
      <c r="E83" s="17" t="inlineStr">
        <is>
          <t>2026-04</t>
        </is>
      </c>
      <c r="F83" s="17" t="inlineStr">
        <is>
          <t>Current on reference date</t>
        </is>
      </c>
      <c r="G83" s="17" t="inlineStr">
        <is>
          <t>Every testator shall have full power to make such testamentary disposition as he shall feel disposed, and in the exercise of such right to exclude any child, parent, relative, or descendant, or to disinherit or omit to mention any such person, without assigning any reason for such exclusion, disinheritance, or omission</t>
        </is>
      </c>
      <c r="H83" s="17" t="inlineStr">
        <is>
          <t>https://lankalaw.net/wp-content/uploads/2025/03/Wills-Consolidated-2024.pdf</t>
        </is>
      </c>
      <c r="I83" s="17" t="inlineStr">
        <is>
          <t>Indispensable</t>
        </is>
      </c>
      <c r="J83" s="17" t="inlineStr">
        <is>
          <t>This is the direct answer to Q01: the testator may exclude or omit a child without assigning any reason, and no contrary law, usage or custom can be set up against him.
TEMPORAL: Substituted by Act No. 29 of 2022; in force at 2026-04.</t>
        </is>
      </c>
      <c r="K83" s="17" t="inlineStr">
        <is>
          <t>[verified]</t>
        </is>
      </c>
      <c r="L83" s="21" t="n"/>
      <c r="M83" s="21" t="n"/>
      <c r="N83" s="21" t="n"/>
      <c r="O83" s="21" t="n"/>
      <c r="P83" s="21" t="n"/>
      <c r="Q83" s="17">
        <f>IF(OR(A83="",B83=""),"",IF(AND(L83&lt;&gt;"",P83&lt;&gt;"",IF(L83="Wrong citation",AND(M83&lt;&gt;"",N83&lt;&gt;""),TRUE)),"Complete","Pending"))</f>
        <v/>
      </c>
    </row>
    <row r="84">
      <c r="A84" s="19" t="inlineStr">
        <is>
          <t>M010-Q01</t>
        </is>
      </c>
      <c r="B84" s="19" t="inlineStr">
        <is>
          <t>PROV-M010-003</t>
        </is>
      </c>
      <c r="C84" s="17" t="inlineStr">
        <is>
          <t>Prevention of Frauds Ordinance No. 7 of 1840</t>
        </is>
      </c>
      <c r="D84" s="17" t="inlineStr">
        <is>
          <t>s.4 (1) and (2)</t>
        </is>
      </c>
      <c r="E84" s="17" t="inlineStr">
        <is>
          <t>2026-04</t>
        </is>
      </c>
      <c r="F84" s="17" t="inlineStr">
        <is>
          <t>Current on reference date</t>
        </is>
      </c>
      <c r="G84" s="17" t="inlineStr">
        <is>
          <t>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t>
        </is>
      </c>
      <c r="H84" s="17" t="inlineStr">
        <is>
          <t>https://lankalaw.net/wp-content/uploads/2025/03/Prevention-of-Frauds-Consolidated-2024.pdf</t>
        </is>
      </c>
      <c r="I84" s="17" t="inlineStr">
        <is>
          <t>Indispensable</t>
        </is>
      </c>
      <c r="J84" s="17" t="inlineStr">
        <is>
          <t>Freedom of testation is exercisable only through a formally valid will. The devise of Martin's house is valid only if the will is in writing and he signs and places his thumb impression at the end of it before a notary public and two witnesses present at the same time.
TEMPORAL: Section 4 was amended by Prevention of Frauds (Amendment) Act No. 30 of 2022 (corpus amendment_events: 30-2022 s.3), the source of the present thumb-impression and notary-plus-two-witnesses wording. It is in force before 2026-04 and applies to a will executed in 2024.</t>
        </is>
      </c>
      <c r="K84" s="17" t="inlineStr">
        <is>
          <t>[verified] Excerpt is verbatim and the amendment trail is right (corpus edge 30-2022/s3 -&gt; 7-1840/s4); the excerpt stops before the proviso allowing another finger or toe impression where the thumb impression cannot be obtained, which does not affect the claims drawn from it.</t>
        </is>
      </c>
      <c r="L84" s="21" t="n"/>
      <c r="M84" s="21" t="n"/>
      <c r="N84" s="21" t="n"/>
      <c r="O84" s="21" t="n"/>
      <c r="P84" s="21" t="n"/>
      <c r="Q84" s="17">
        <f>IF(OR(A84="",B84=""),"",IF(AND(L84&lt;&gt;"",P84&lt;&gt;"",IF(L84="Wrong citation",AND(M84&lt;&gt;"",N84&lt;&gt;""),TRUE)),"Complete","Pending"))</f>
        <v/>
      </c>
    </row>
    <row r="85">
      <c r="A85" s="19" t="inlineStr">
        <is>
          <t>M010-Q01</t>
        </is>
      </c>
      <c r="B85" s="19" t="inlineStr">
        <is>
          <t>PROV-M010-004</t>
        </is>
      </c>
      <c r="C85" s="17" t="inlineStr">
        <is>
          <t>Prevention of Frauds Ordinance No. 7 of 1840</t>
        </is>
      </c>
      <c r="D85" s="17" t="inlineStr">
        <is>
          <t>s.11</t>
        </is>
      </c>
      <c r="E85" s="17" t="inlineStr">
        <is>
          <t>2026-04</t>
        </is>
      </c>
      <c r="F85" s="17" t="inlineStr">
        <is>
          <t>Current on reference date</t>
        </is>
      </c>
      <c r="G85" s="17" t="inlineStr">
        <is>
          <t>such devise, legacy, estate, interest, gift, disposition, or appointment shall, so far only as concerns such person attesting the execution of such will, testament, or codicil, or the wife or husband of such person, or any person claiming under such person or wife or husband, be utterly null and void</t>
        </is>
      </c>
      <c r="H85" s="17" t="inlineStr">
        <is>
          <t>https://lankalaw.net/wp-content/uploads/2025/03/Prevention-of-Frauds-Consolidated-2024.pdf</t>
        </is>
      </c>
      <c r="I85" s="17" t="inlineStr">
        <is>
          <t>Supporting</t>
        </is>
      </c>
      <c r="J85" s="17" t="inlineStr">
        <is>
          <t>Qualifies the way the will must be attested: if Siripala or his spouse were to attest the will, the bequest of the house to him would be void although the will itself would stand. It matters here because the beneficiary is a member of the household.
TEMPORAL: No amendment event recorded in the corpus; in force since 1840 and at 2026-04.</t>
        </is>
      </c>
      <c r="K85" s="17" t="inlineStr">
        <is>
          <t>[verified]</t>
        </is>
      </c>
      <c r="L85" s="21" t="n"/>
      <c r="M85" s="21" t="n"/>
      <c r="N85" s="21" t="n"/>
      <c r="O85" s="21" t="n"/>
      <c r="P85" s="21" t="n"/>
      <c r="Q85" s="17">
        <f>IF(OR(A85="",B85=""),"",IF(AND(L85&lt;&gt;"",P85&lt;&gt;"",IF(L85="Wrong citation",AND(M85&lt;&gt;"",N85&lt;&gt;""),TRUE)),"Complete","Pending"))</f>
        <v/>
      </c>
    </row>
    <row r="86">
      <c r="A86" s="19" t="inlineStr">
        <is>
          <t>M010-Q01</t>
        </is>
      </c>
      <c r="B86" s="19" t="inlineStr">
        <is>
          <t>PROV-M010-901</t>
        </is>
      </c>
      <c r="C86" s="17" t="inlineStr">
        <is>
          <t>Matrimonial Rights and Inheritance Ordinance No. 15 of 1876</t>
        </is>
      </c>
      <c r="D86" s="17" t="inlineStr">
        <is>
          <t>s.21 (1)</t>
        </is>
      </c>
      <c r="E86" s="17" t="inlineStr">
        <is>
          <t>2026-04</t>
        </is>
      </c>
      <c r="F86" s="17" t="inlineStr">
        <is>
          <t>Current on reference date</t>
        </is>
      </c>
      <c r="G86" s="17" t="inlineStr">
        <is>
          <t>Inheritance ab interstate to the immovable property in Sri Lanka of a person deceased shall be governed and regulated by the following provisions of this Ordinance</t>
        </is>
      </c>
      <c r="H86" s="17" t="inlineStr">
        <is>
          <t>https://lankalaw.net/wp-content/uploads/2024/03/mrai69364.pdf</t>
        </is>
      </c>
      <c r="I86" s="17" t="inlineStr">
        <is>
          <t>Supporting</t>
        </is>
      </c>
      <c r="J86" s="17" t="inlineStr">
        <is>
          <t>Added by the verifier. It is section 21(1), not section 24, that confines Part III of the Ordinance to inheritance ab intestato. Without it the claim that the children's preferential right cannot defeat a valid will rests on no provision that says so, because the text of section 24 is unqualified on its face.
TEMPORAL: No amendment event recorded in the corpus; in force since 1876 and at 2026-04.</t>
        </is>
      </c>
      <c r="K86" s="17" t="inlineStr">
        <is>
          <t>[verified] Excerpt checked verbatim against 15-1876/s21 by the verifier; section 21 sits in the same Part III INHERITANCE as section 24.</t>
        </is>
      </c>
      <c r="L86" s="21" t="n"/>
      <c r="M86" s="21" t="n"/>
      <c r="N86" s="21" t="n"/>
      <c r="O86" s="21" t="n"/>
      <c r="P86" s="21" t="n"/>
      <c r="Q86" s="17">
        <f>IF(OR(A86="",B86=""),"",IF(AND(L86&lt;&gt;"",P86&lt;&gt;"",IF(L86="Wrong citation",AND(M86&lt;&gt;"",N86&lt;&gt;""),TRUE)),"Complete","Pending"))</f>
        <v/>
      </c>
    </row>
    <row r="87">
      <c r="A87" s="19" t="inlineStr">
        <is>
          <t>M010-Q01</t>
        </is>
      </c>
      <c r="B87" s="19" t="inlineStr">
        <is>
          <t>PROV-M010-005</t>
        </is>
      </c>
      <c r="C87" s="17" t="inlineStr">
        <is>
          <t>Matrimonial Rights and Inheritance Ordinance No. 15 of 1876</t>
        </is>
      </c>
      <c r="D87" s="17" t="inlineStr">
        <is>
          <t>s.24</t>
        </is>
      </c>
      <c r="E87" s="17" t="inlineStr">
        <is>
          <t>2026-04</t>
        </is>
      </c>
      <c r="F87" s="17" t="inlineStr">
        <is>
          <t>Current on reference date</t>
        </is>
      </c>
      <c r="G87" s="17" t="inlineStr">
        <is>
          <t>Children, grandchildren, and remoter descendants are preferent to all others in the estate of the parents; all the children take equally per capita</t>
        </is>
      </c>
      <c r="H87" s="17" t="inlineStr">
        <is>
          <t>https://lankalaw.net/wp-content/uploads/2024/03/mrai69364.pdf</t>
        </is>
      </c>
      <c r="I87" s="17" t="inlineStr">
        <is>
          <t>Background</t>
        </is>
      </c>
      <c r="J87" s="17" t="inlineStr">
        <is>
          <t>Context only: the preferential right of children on which the children might rely sits in Part III, which governs inheritance ab intestato. It shows their claim arises only over property not validly disposed of by will.
TEMPORAL: No amendment event recorded in the corpus; in force at 2026-04.</t>
        </is>
      </c>
      <c r="K87" s="17" t="inlineStr">
        <is>
          <t>[partially_verified] Wording is verbatim and the background role is right, but section 24 does not itself confine the children's preferential right to intestacy; that limitation is in section 21(1) of the same Part, now added as PROV-M010-901, and the claims drawn from section 24 have been re-cited to it.</t>
        </is>
      </c>
      <c r="L87" s="21" t="n"/>
      <c r="M87" s="21" t="n"/>
      <c r="N87" s="21" t="n"/>
      <c r="O87" s="21" t="n"/>
      <c r="P87" s="21" t="n"/>
      <c r="Q87" s="17">
        <f>IF(OR(A87="",B87=""),"",IF(AND(L87&lt;&gt;"",P87&lt;&gt;"",IF(L87="Wrong citation",AND(M87&lt;&gt;"",N87&lt;&gt;""),TRUE)),"Complete","Pending"))</f>
        <v/>
      </c>
    </row>
    <row r="88">
      <c r="A88" s="19" t="inlineStr">
        <is>
          <t>M010-Q01</t>
        </is>
      </c>
      <c r="B88" s="19" t="inlineStr">
        <is>
          <t>PROV-M010-006</t>
        </is>
      </c>
      <c r="C88" s="17" t="inlineStr">
        <is>
          <t>Wills Ordinance No. 21 of 1844</t>
        </is>
      </c>
      <c r="D88" s="17" t="inlineStr">
        <is>
          <t>s.9</t>
        </is>
      </c>
      <c r="E88" s="17" t="inlineStr">
        <is>
          <t>2026-04</t>
        </is>
      </c>
      <c r="F88" s="17" t="inlineStr">
        <is>
          <t>Current on reference date</t>
        </is>
      </c>
      <c r="G88" s="17" t="inlineStr">
        <is>
          <t>whenever the words 'landed property' are used they shall be construed to extend to houses and buildings erected on the same, condominium parcel or any land parcel</t>
        </is>
      </c>
      <c r="H88" s="17" t="inlineStr">
        <is>
          <t>https://lankalaw.net/wp-content/uploads/2025/03/Wills-Consolidated-2024.pdf</t>
        </is>
      </c>
      <c r="I88" s="17" t="inlineStr">
        <is>
          <t>Background</t>
        </is>
      </c>
      <c r="J88" s="17" t="inlineStr">
        <is>
          <t>Background: confirms that a house is within the property the Ordinance contemplates being disposed of by will.
TEMPORAL: Amended by Act No. 29 of 2022 (corpus amendment_events: 29-2022 s.6); the amended text is in force at 2026-04.</t>
        </is>
      </c>
      <c r="K88" s="17" t="inlineStr">
        <is>
          <t>[verified]</t>
        </is>
      </c>
      <c r="L88" s="21" t="n"/>
      <c r="M88" s="21" t="n"/>
      <c r="N88" s="21" t="n"/>
      <c r="O88" s="21" t="n"/>
      <c r="P88" s="21" t="n"/>
      <c r="Q88" s="17">
        <f>IF(OR(A88="",B88=""),"",IF(AND(L88&lt;&gt;"",P88&lt;&gt;"",IF(L88="Wrong citation",AND(M88&lt;&gt;"",N88&lt;&gt;""),TRUE)),"Complete","Pending"))</f>
        <v/>
      </c>
    </row>
    <row r="89">
      <c r="A89" s="19" t="inlineStr">
        <is>
          <t>M010-Q02</t>
        </is>
      </c>
      <c r="B89" s="19" t="inlineStr">
        <is>
          <t>PROV-M010-008</t>
        </is>
      </c>
      <c r="C89" s="17" t="inlineStr">
        <is>
          <t>Civil Procedure Code No. 2 of 1889</t>
        </is>
      </c>
      <c r="D89" s="17" t="inlineStr">
        <is>
          <t>s.516</t>
        </is>
      </c>
      <c r="E89" s="17" t="inlineStr">
        <is>
          <t>2026-04</t>
        </is>
      </c>
      <c r="F89" s="17" t="inlineStr">
        <is>
          <t>Current on reference date</t>
        </is>
      </c>
      <c r="G89" s="17" t="inlineStr">
        <is>
          <t>the person in of whose keeping or custody it shall have been deposited, or who shall find such will after the testator's death, shall produce the same to the District Court of the district in which such depository or finder resides, or to the District Court of the district in which the testator shall have died, as soon as reasonably may be after the testator's death</t>
        </is>
      </c>
      <c r="H89" s="17" t="inlineStr">
        <is>
          <t>https://lankalaw.net/wp-content/uploads/2024/09/Consolidated-Civil-Procedure-Code-upto-Act-No.-43-of-2024.pdf</t>
        </is>
      </c>
      <c r="I89" s="17" t="inlineStr">
        <is>
          <t>Indispensable</t>
        </is>
      </c>
      <c r="J89" s="17" t="inlineStr">
        <is>
          <t>First step for Nihal: as the person who finds and holds the will he must produce it to the District Court as soon as reasonably possible after the death, with an affidavit verifying the time and place of death and the property left.
TEMPORAL: Chapter XXXVIII was replaced by Act No. 14 of 1993 (corpus amendment_events: 14-1993 s.4); the current text is in force at 2026-04.</t>
        </is>
      </c>
      <c r="K89" s="17" t="inlineStr">
        <is>
          <t>[verified]</t>
        </is>
      </c>
      <c r="L89" s="21" t="n"/>
      <c r="M89" s="21" t="n"/>
      <c r="N89" s="21" t="n"/>
      <c r="O89" s="21" t="n"/>
      <c r="P89" s="21" t="n"/>
      <c r="Q89" s="17">
        <f>IF(OR(A89="",B89=""),"",IF(AND(L89&lt;&gt;"",P89&lt;&gt;"",IF(L89="Wrong citation",AND(M89&lt;&gt;"",N89&lt;&gt;""),TRUE)),"Complete","Pending"))</f>
        <v/>
      </c>
    </row>
    <row r="90">
      <c r="A90" s="19" t="inlineStr">
        <is>
          <t>M010-Q02</t>
        </is>
      </c>
      <c r="B90" s="19" t="inlineStr">
        <is>
          <t>PROV-M010-009</t>
        </is>
      </c>
      <c r="C90" s="17" t="inlineStr">
        <is>
          <t>Civil Procedure Code No. 2 of 1889</t>
        </is>
      </c>
      <c r="D90" s="17" t="inlineStr">
        <is>
          <t>s.517 (1)</t>
        </is>
      </c>
      <c r="E90" s="17" t="inlineStr">
        <is>
          <t>2026-04</t>
        </is>
      </c>
      <c r="F90" s="17" t="inlineStr">
        <is>
          <t>Current on reference date</t>
        </is>
      </c>
      <c r="G90" s="17" t="inlineStr">
        <is>
          <t>any person appointed executor therein may apply to the District Court of the district within which he resides, or within which the testator resided at the time of his death, or within which any land belonging to the testator's estate is situate, within the time limit and in the manner specified in section 524, to have the will proved and to have probate thereof granted to him</t>
        </is>
      </c>
      <c r="H90" s="17" t="inlineStr">
        <is>
          <t>https://lankalaw.net/wp-content/uploads/2024/09/Consolidated-Civil-Procedure-Code-upto-Act-No.-43-of-2024.pdf</t>
        </is>
      </c>
      <c r="I90" s="17" t="inlineStr">
        <is>
          <t>Indispensable</t>
        </is>
      </c>
      <c r="J90" s="17" t="inlineStr">
        <is>
          <t>Nihal's standing and forum: as the executor named in the will he may apply to the District Court of his own residence, of the testator's residence, or where the land lies, to have the will proved and probate granted to him.
TEMPORAL: Current text from Act No. 14 of 1993; in force at 2026-04.</t>
        </is>
      </c>
      <c r="K90" s="17" t="inlineStr">
        <is>
          <t>[verified]</t>
        </is>
      </c>
      <c r="L90" s="21" t="n"/>
      <c r="M90" s="21" t="n"/>
      <c r="N90" s="21" t="n"/>
      <c r="O90" s="21" t="n"/>
      <c r="P90" s="21" t="n"/>
      <c r="Q90" s="17">
        <f>IF(OR(A90="",B90=""),"",IF(AND(L90&lt;&gt;"",P90&lt;&gt;"",IF(L90="Wrong citation",AND(M90&lt;&gt;"",N90&lt;&gt;""),TRUE)),"Complete","Pending"))</f>
        <v/>
      </c>
    </row>
    <row r="91">
      <c r="A91" s="19" t="inlineStr">
        <is>
          <t>M010-Q02</t>
        </is>
      </c>
      <c r="B91" s="19" t="inlineStr">
        <is>
          <t>PROV-M010-011</t>
        </is>
      </c>
      <c r="C91" s="17" t="inlineStr">
        <is>
          <t>Civil Procedure Code No. 2 of 1889</t>
        </is>
      </c>
      <c r="D91" s="17" t="inlineStr">
        <is>
          <t>s.524 (1)</t>
        </is>
      </c>
      <c r="E91" s="17" t="inlineStr">
        <is>
          <t>2026-04</t>
        </is>
      </c>
      <c r="F91" s="17" t="inlineStr">
        <is>
          <t>Current on reference date</t>
        </is>
      </c>
      <c r="G91" s="17" t="inlineStr">
        <is>
          <t>Every application to the District Court to have the will of a deceased person proved, shall be made within a period of three months from the date of finding of the will, and shall be made by way of petition and affidavit and such petition shall set out in numbered paragraphs- (a) the fact of the making of the will; (b) the details and the situation of the deceased's property; (bb) the heirs of the deceased to the best of the petitioner's knowledge; (c) the grounds upon which the petitioner is entitled to have the will proved</t>
        </is>
      </c>
      <c r="H91" s="17" t="inlineStr">
        <is>
          <t>https://lankalaw.net/wp-content/uploads/2024/09/Consolidated-Civil-Procedure-Code-upto-Act-No.-43-of-2024.pdf</t>
        </is>
      </c>
      <c r="I91" s="17" t="inlineStr">
        <is>
          <t>Indispensable</t>
        </is>
      </c>
      <c r="J91" s="17" t="inlineStr">
        <is>
          <t>Fixes the form, contents and three-month time limit of Nihal's petition, including naming the heirs (Martin's children) though they take nothing, producing the will, proving due execution and tendering the charges for the section 529 notice.
TEMPORAL: Substituted by Act No. 11 of 2010 (corpus amendment_events: substitute by 11-2010 s.4, and earlier 14-1993 s.4, 38-1998 s.2); the substituted text is in force at 2026-04 and governs a death in 2026.</t>
        </is>
      </c>
      <c r="K91" s="17" t="inlineStr">
        <is>
          <t>[verified]</t>
        </is>
      </c>
      <c r="L91" s="21" t="n"/>
      <c r="M91" s="21" t="n"/>
      <c r="N91" s="21" t="n"/>
      <c r="O91" s="21" t="n"/>
      <c r="P91" s="21" t="n"/>
      <c r="Q91" s="17">
        <f>IF(OR(A91="",B91=""),"",IF(AND(L91&lt;&gt;"",P91&lt;&gt;"",IF(L91="Wrong citation",AND(M91&lt;&gt;"",N91&lt;&gt;""),TRUE)),"Complete","Pending"))</f>
        <v/>
      </c>
    </row>
    <row r="92">
      <c r="A92" s="19" t="inlineStr">
        <is>
          <t>M010-Q02</t>
        </is>
      </c>
      <c r="B92" s="19" t="inlineStr">
        <is>
          <t>PROV-M010-013</t>
        </is>
      </c>
      <c r="C92" s="17" t="inlineStr">
        <is>
          <t>Civil Procedure Code No. 2 of 1889</t>
        </is>
      </c>
      <c r="D92" s="17" t="inlineStr">
        <is>
          <t>s.531 (1)(a)</t>
        </is>
      </c>
      <c r="E92" s="17" t="inlineStr">
        <is>
          <t>2026-04</t>
        </is>
      </c>
      <c r="F92" s="17" t="inlineStr">
        <is>
          <t>Current on reference date</t>
        </is>
      </c>
      <c r="G92" s="17" t="inlineStr">
        <is>
          <t>if the court is satisfied that the evidence adduced is sufficient to afford prima facie proof as to the due making of the will and the character of the petitioner, it shall make order declaring the will to be proved and if the applicant claims- (i) as the executor or one of the executors of the will, and asks that probate thereof be granted to him the order shall declare that he is executor, and shall direct the grant of probate to him accordingly</t>
        </is>
      </c>
      <c r="H92" s="17" t="inlineStr">
        <is>
          <t>https://lankalaw.net/wp-content/uploads/2024/09/Consolidated-Civil-Procedure-Code-upto-Act-No.-43-of-2024.pdf</t>
        </is>
      </c>
      <c r="I92" s="17" t="inlineStr">
        <is>
          <t>Indispensable</t>
        </is>
      </c>
      <c r="J92" s="17" t="inlineStr">
        <is>
          <t>The order Nihal is working towards where no objection is filed: a declaration that the will is proved and a direction that probate issue to him as executor.
TEMPORAL: Current text from Act No. 14 of 1993; in force at 2026-04.</t>
        </is>
      </c>
      <c r="K92" s="17" t="inlineStr">
        <is>
          <t>[verified]</t>
        </is>
      </c>
      <c r="L92" s="21" t="n"/>
      <c r="M92" s="21" t="n"/>
      <c r="N92" s="21" t="n"/>
      <c r="O92" s="21" t="n"/>
      <c r="P92" s="21" t="n"/>
      <c r="Q92" s="17">
        <f>IF(OR(A92="",B92=""),"",IF(AND(L92&lt;&gt;"",P92&lt;&gt;"",IF(L92="Wrong citation",AND(M92&lt;&gt;"",N92&lt;&gt;""),TRUE)),"Complete","Pending"))</f>
        <v/>
      </c>
    </row>
    <row r="93">
      <c r="A93" s="19" t="inlineStr">
        <is>
          <t>M010-Q02</t>
        </is>
      </c>
      <c r="B93" s="19" t="inlineStr">
        <is>
          <t>PROV-M010-015</t>
        </is>
      </c>
      <c r="C93" s="17" t="inlineStr">
        <is>
          <t>Civil Procedure Code No. 2 of 1889</t>
        </is>
      </c>
      <c r="D93" s="17" t="inlineStr">
        <is>
          <t>s.539 (1)</t>
        </is>
      </c>
      <c r="E93" s="17" t="inlineStr">
        <is>
          <t>2026-04</t>
        </is>
      </c>
      <c r="F93" s="17" t="inlineStr">
        <is>
          <t>Current on reference date</t>
        </is>
      </c>
      <c r="G93" s="17" t="inlineStr">
        <is>
          <t>it shall be the duty of the said person, executor or administrator, in whose favour such order is made, to take within fifteen days of the making of such order, the oath of an executor or administrator as set out in form No. 92 in the First Schedule, and thereafter to file in court within a period of one month from the date of taking of the oath, an inventory of the deceased person's property and effects, with a valuation of the same</t>
        </is>
      </c>
      <c r="H93" s="17" t="inlineStr">
        <is>
          <t>https://lankalaw.net/wp-content/uploads/2024/09/Consolidated-Civil-Procedure-Code-upto-Act-No.-43-of-2024.pdf</t>
        </is>
      </c>
      <c r="I93" s="17" t="inlineStr">
        <is>
          <t>Indispensable</t>
        </is>
      </c>
      <c r="J93" s="17" t="inlineStr">
        <is>
          <t>The steps between the order and the actual grant: Nihal must take the executor's oath within fifteen days of the order and file an inventory and valuation within one month of the oath, after which the court grants probate.
TEMPORAL: Current text from Act No. 14 of 1993; in force at 2026-04.</t>
        </is>
      </c>
      <c r="K93" s="17" t="inlineStr">
        <is>
          <t>[verified]</t>
        </is>
      </c>
      <c r="L93" s="21" t="n"/>
      <c r="M93" s="21" t="n"/>
      <c r="N93" s="21" t="n"/>
      <c r="O93" s="21" t="n"/>
      <c r="P93" s="21" t="n"/>
      <c r="Q93" s="17">
        <f>IF(OR(A93="",B93=""),"",IF(AND(L93&lt;&gt;"",P93&lt;&gt;"",IF(L93="Wrong citation",AND(M93&lt;&gt;"",N93&lt;&gt;""),TRUE)),"Complete","Pending"))</f>
        <v/>
      </c>
    </row>
    <row r="94">
      <c r="A94" s="19" t="inlineStr">
        <is>
          <t>M010-Q02</t>
        </is>
      </c>
      <c r="B94" s="19" t="inlineStr">
        <is>
          <t>PROV-M010-017</t>
        </is>
      </c>
      <c r="C94" s="17" t="inlineStr">
        <is>
          <t>Civil Procedure Code No. 2 of 1889</t>
        </is>
      </c>
      <c r="D94" s="17" t="inlineStr">
        <is>
          <t>s.551</t>
        </is>
      </c>
      <c r="E94" s="17" t="inlineStr">
        <is>
          <t>2026-04</t>
        </is>
      </c>
      <c r="F94" s="17" t="inlineStr">
        <is>
          <t>Current on reference date</t>
        </is>
      </c>
      <c r="G94" s="17" t="inlineStr">
        <is>
          <t>Every executor and administrator shall file in the District Court, on or before the expiration of twelve months from the date upon which probate or grant of administration issued to him, or within such further time as the court may allow, a true and final account of his executor ship or administration, as the case may be, verified on oath or affirmation, with all receipts and vouchers attached</t>
        </is>
      </c>
      <c r="H94" s="17" t="inlineStr">
        <is>
          <t>https://lankalaw.net/wp-content/uploads/2024/09/Consolidated-Civil-Procedure-Code-upto-Act-No.-43-of-2024.pdf</t>
        </is>
      </c>
      <c r="I94" s="17" t="inlineStr">
        <is>
          <t>Indispensable</t>
        </is>
      </c>
      <c r="J94" s="17" t="inlineStr">
        <is>
          <t>The closing step Nihal must take: a true and final account verified on oath, with receipts and vouchers, within twelve months of the issue of probate unless the court extends the time or the parties consent to dispense with it.
TEMPORAL: Current text from Act No. 14 of 1993; in force at 2026-04.</t>
        </is>
      </c>
      <c r="K94" s="17" t="inlineStr">
        <is>
          <t>[verified]</t>
        </is>
      </c>
      <c r="L94" s="21" t="n"/>
      <c r="M94" s="21" t="n"/>
      <c r="N94" s="21" t="n"/>
      <c r="O94" s="21" t="n"/>
      <c r="P94" s="21" t="n"/>
      <c r="Q94" s="17">
        <f>IF(OR(A94="",B94=""),"",IF(AND(L94&lt;&gt;"",P94&lt;&gt;"",IF(L94="Wrong citation",AND(M94&lt;&gt;"",N94&lt;&gt;""),TRUE)),"Complete","Pending"))</f>
        <v/>
      </c>
    </row>
    <row r="95">
      <c r="A95" s="19" t="inlineStr">
        <is>
          <t>M010-Q02</t>
        </is>
      </c>
      <c r="B95" s="19" t="inlineStr">
        <is>
          <t>PROV-M010-007</t>
        </is>
      </c>
      <c r="C95" s="17" t="inlineStr">
        <is>
          <t>Prevention of Frauds Ordinance No. 7 of 1840</t>
        </is>
      </c>
      <c r="D95" s="17" t="inlineStr">
        <is>
          <t>s.9</t>
        </is>
      </c>
      <c r="E95" s="17" t="inlineStr">
        <is>
          <t>2026-04</t>
        </is>
      </c>
      <c r="F95" s="17" t="inlineStr">
        <is>
          <t>Current on reference date</t>
        </is>
      </c>
      <c r="G95" s="17" t="inlineStr">
        <is>
          <t>every such will, testament, or codicil shall, after the decease of the testator or testatrix, be duly proved and recorded in the District Court empowered by law to grant probate or administration in such case</t>
        </is>
      </c>
      <c r="H95" s="17" t="inlineStr">
        <is>
          <t>https://lankalaw.net/wp-content/uploads/2025/03/Prevention-of-Frauds-Consolidated-2024.pdf</t>
        </is>
      </c>
      <c r="I95" s="17" t="inlineStr">
        <is>
          <t>Supporting</t>
        </is>
      </c>
      <c r="J95" s="17" t="inlineStr">
        <is>
          <t>States the general obligation that follows Martin's death: the will has to be proved and recorded in the District Court before it can operate.
TEMPORAL: No amendment event recorded in the corpus; in force at 2026-04.</t>
        </is>
      </c>
      <c r="K95" s="17" t="inlineStr">
        <is>
          <t>[verified]</t>
        </is>
      </c>
      <c r="L95" s="21" t="n"/>
      <c r="M95" s="21" t="n"/>
      <c r="N95" s="21" t="n"/>
      <c r="O95" s="21" t="n"/>
      <c r="P95" s="21" t="n"/>
      <c r="Q95" s="17">
        <f>IF(OR(A95="",B95=""),"",IF(AND(L95&lt;&gt;"",P95&lt;&gt;"",IF(L95="Wrong citation",AND(M95&lt;&gt;"",N95&lt;&gt;""),TRUE)),"Complete","Pending"))</f>
        <v/>
      </c>
    </row>
    <row r="96">
      <c r="A96" s="19" t="inlineStr">
        <is>
          <t>M010-Q02</t>
        </is>
      </c>
      <c r="B96" s="19" t="inlineStr">
        <is>
          <t>PROV-M010-010</t>
        </is>
      </c>
      <c r="C96" s="17" t="inlineStr">
        <is>
          <t>Civil Procedure Code No. 2 of 1889</t>
        </is>
      </c>
      <c r="D96" s="17" t="inlineStr">
        <is>
          <t>s.518</t>
        </is>
      </c>
      <c r="E96" s="17" t="inlineStr">
        <is>
          <t>2026-04</t>
        </is>
      </c>
      <c r="F96" s="17" t="inlineStr">
        <is>
          <t>Current on reference date</t>
        </is>
      </c>
      <c r="G96" s="17" t="inlineStr">
        <is>
          <t>In every case where a will is deposited in court after the coming into operation of this Chapter, and no application has been made by any person to have the will proved and probate granted in respect thereof, the court shall in accordance with the procedure set out in respect of the grant of probate or letters of administration on application made thereto, proceed to grant probate of the will, to the executor or executors named in such will</t>
        </is>
      </c>
      <c r="H96" s="17" t="inlineStr">
        <is>
          <t>https://lankalaw.net/wp-content/uploads/2024/09/Consolidated-Civil-Procedure-Code-upto-Act-No.-43-of-2024.pdf</t>
        </is>
      </c>
      <c r="I96" s="17" t="inlineStr">
        <is>
          <t>Supporting</t>
        </is>
      </c>
      <c r="J96" s="17" t="inlineStr">
        <is>
          <t>Shows that proving the will is not optional once it is deposited: if Nihal does not apply, the court itself proceeds to grant probate to the named executor or administration to another person.
TEMPORAL: Current text from Act No. 14 of 1993; in force at 2026-04.</t>
        </is>
      </c>
      <c r="K96" s="17" t="inlineStr">
        <is>
          <t>[verified]</t>
        </is>
      </c>
      <c r="L96" s="21" t="n"/>
      <c r="M96" s="21" t="n"/>
      <c r="N96" s="21" t="n"/>
      <c r="O96" s="21" t="n"/>
      <c r="P96" s="21" t="n"/>
      <c r="Q96" s="17">
        <f>IF(OR(A96="",B96=""),"",IF(AND(L96&lt;&gt;"",P96&lt;&gt;"",IF(L96="Wrong citation",AND(M96&lt;&gt;"",N96&lt;&gt;""),TRUE)),"Complete","Pending"))</f>
        <v/>
      </c>
    </row>
    <row r="97">
      <c r="A97" s="19" t="inlineStr">
        <is>
          <t>M010-Q02</t>
        </is>
      </c>
      <c r="B97" s="19" t="inlineStr">
        <is>
          <t>PROV-M010-012</t>
        </is>
      </c>
      <c r="C97" s="17" t="inlineStr">
        <is>
          <t>Civil Procedure Code No. 2 of 1889</t>
        </is>
      </c>
      <c r="D97" s="17" t="inlineStr">
        <is>
          <t>s.529 (3)</t>
        </is>
      </c>
      <c r="E97" s="17" t="inlineStr">
        <is>
          <t>2026-04</t>
        </is>
      </c>
      <c r="F97" s="17" t="inlineStr">
        <is>
          <t>Current on reference date</t>
        </is>
      </c>
      <c r="G97" s="17" t="inlineStr">
        <is>
          <t>The notice published under subsection (2), shall call upon persons having objections to the making of an order declaring any will proved, or the grant of probate or of letters of administration with or without the will annexed, or the issue of certificates of heir ship to any person specified in the application made under section 524 or 528, to submit their written objections, if any, supported by affidavit</t>
        </is>
      </c>
      <c r="H97" s="17" t="inlineStr">
        <is>
          <t>https://lankalaw.net/wp-content/uploads/2024/09/Consolidated-Civil-Procedure-Code-upto-Act-No.-43-of-2024.pdf</t>
        </is>
      </c>
      <c r="I97" s="17" t="inlineStr">
        <is>
          <t>Supporting</t>
        </is>
      </c>
      <c r="J97" s="17" t="inlineStr">
        <is>
          <t>Explains what happens to Nihal's petition after filing: the Probate Officer publishes notice in Sinhala, Tamil and English and objectors, who could include Martin's children, may file written objections supported by affidavit.
TEMPORAL: Amended by Act No. 11 of 2010 (corpus amendment_events: 11-2010 s.8(1) and s.8(2)); in force at 2026-04.</t>
        </is>
      </c>
      <c r="K97" s="17" t="inlineStr">
        <is>
          <t>[verified]</t>
        </is>
      </c>
      <c r="L97" s="21" t="n"/>
      <c r="M97" s="21" t="n"/>
      <c r="N97" s="21" t="n"/>
      <c r="O97" s="21" t="n"/>
      <c r="P97" s="21" t="n"/>
      <c r="Q97" s="17">
        <f>IF(OR(A97="",B97=""),"",IF(AND(L97&lt;&gt;"",P97&lt;&gt;"",IF(L97="Wrong citation",AND(M97&lt;&gt;"",N97&lt;&gt;""),TRUE)),"Complete","Pending"))</f>
        <v/>
      </c>
    </row>
    <row r="98">
      <c r="A98" s="19" t="inlineStr">
        <is>
          <t>M010-Q02</t>
        </is>
      </c>
      <c r="B98" s="19" t="inlineStr">
        <is>
          <t>PROV-M010-014</t>
        </is>
      </c>
      <c r="C98" s="17" t="inlineStr">
        <is>
          <t>Civil Procedure Code No. 2 of 1889</t>
        </is>
      </c>
      <c r="D98" s="17" t="inlineStr">
        <is>
          <t>s.534 (1)(a)</t>
        </is>
      </c>
      <c r="E98" s="17" t="inlineStr">
        <is>
          <t>2026-04</t>
        </is>
      </c>
      <c r="F98" s="17" t="inlineStr">
        <is>
          <t>Current on reference date</t>
        </is>
      </c>
      <c r="G98" s="17" t="inlineStr">
        <is>
          <t>that the prima facie proof of the material averments in the application have not been rebutted, the court shall forthwith make order for the grant of probate or letters of administration with the will annexed or grant of administration only subject to the conditions hereinafter prescribed</t>
        </is>
      </c>
      <c r="H98" s="17" t="inlineStr">
        <is>
          <t>https://lankalaw.net/wp-content/uploads/2024/09/Consolidated-Civil-Procedure-Code-upto-Act-No.-43-of-2024.pdf</t>
        </is>
      </c>
      <c r="I98" s="17" t="inlineStr">
        <is>
          <t>Supporting</t>
        </is>
      </c>
      <c r="J98" s="17" t="inlineStr">
        <is>
          <t>Covers the alternative route if Martin's children object: issues are framed, the matter goes to a final hearing, and probate is granted if the prima facie proof is not rebutted.
TEMPORAL: Current text from Act No. 14 of 1993; in force at 2026-04.</t>
        </is>
      </c>
      <c r="K98" s="17" t="inlineStr">
        <is>
          <t>[partially_verified] Wording is verbatim, but section 534 presupposes rather than creates the contested route: section 532(1) is what sends an opposed application to a final hearing and section 533 what provides for framing issues. PROV-M010-903 (section 532) has been added and the claims about the contested route re-cited to it.</t>
        </is>
      </c>
      <c r="L98" s="21" t="n"/>
      <c r="M98" s="21" t="n"/>
      <c r="N98" s="21" t="n"/>
      <c r="O98" s="21" t="n"/>
      <c r="P98" s="21" t="n"/>
      <c r="Q98" s="17">
        <f>IF(OR(A98="",B98=""),"",IF(AND(L98&lt;&gt;"",P98&lt;&gt;"",IF(L98="Wrong citation",AND(M98&lt;&gt;"",N98&lt;&gt;""),TRUE)),"Complete","Pending"))</f>
        <v/>
      </c>
    </row>
    <row r="99">
      <c r="A99" s="19" t="inlineStr">
        <is>
          <t>M010-Q02</t>
        </is>
      </c>
      <c r="B99" s="19" t="inlineStr">
        <is>
          <t>PROV-M010-018</t>
        </is>
      </c>
      <c r="C99" s="17" t="inlineStr">
        <is>
          <t>Civil Procedure Code No. 2 of 1889</t>
        </is>
      </c>
      <c r="D99" s="17" t="inlineStr">
        <is>
          <t>s.552</t>
        </is>
      </c>
      <c r="E99" s="17" t="inlineStr">
        <is>
          <t>2026-04</t>
        </is>
      </c>
      <c r="F99" s="17" t="inlineStr">
        <is>
          <t>Current on reference date</t>
        </is>
      </c>
      <c r="G99" s="17" t="inlineStr">
        <is>
          <t>If any executor or administrator shall fail to pay over to the creditors, heirs, legatees, or other persons the sums of money to which they are respectively entitled within one year after probate or administration is granted, such executor or administrator shall be liable to pay interest out of his own funds</t>
        </is>
      </c>
      <c r="H99" s="17" t="inlineStr">
        <is>
          <t>https://lankalaw.net/wp-content/uploads/2024/09/Consolidated-Civil-Procedure-Code-upto-Act-No.-43-of-2024.pdf</t>
        </is>
      </c>
      <c r="I99" s="17" t="inlineStr">
        <is>
          <t>Supporting</t>
        </is>
      </c>
      <c r="J99" s="17" t="inlineStr">
        <is>
          <t>Puts a personal sanction on delay, which is why the distribution to Siripala should be completed within a year of the grant.
TEMPORAL: Current text from Act No. 14 of 1993; in force at 2026-04.</t>
        </is>
      </c>
      <c r="K99" s="17" t="inlineStr">
        <is>
          <t>[verified]</t>
        </is>
      </c>
      <c r="L99" s="21" t="n"/>
      <c r="M99" s="21" t="n"/>
      <c r="N99" s="21" t="n"/>
      <c r="O99" s="21" t="n"/>
      <c r="P99" s="21" t="n"/>
      <c r="Q99" s="17">
        <f>IF(OR(A99="",B99=""),"",IF(AND(L99&lt;&gt;"",P99&lt;&gt;"",IF(L99="Wrong citation",AND(M99&lt;&gt;"",N99&lt;&gt;""),TRUE)),"Complete","Pending"))</f>
        <v/>
      </c>
    </row>
    <row r="100">
      <c r="A100" s="19" t="inlineStr">
        <is>
          <t>M010-Q02</t>
        </is>
      </c>
      <c r="B100" s="19" t="inlineStr">
        <is>
          <t>PROV-M010-902</t>
        </is>
      </c>
      <c r="C100" s="17" t="inlineStr">
        <is>
          <t>Civil Procedure Code No. 2 of 1889</t>
        </is>
      </c>
      <c r="D100" s="17" t="inlineStr">
        <is>
          <t>s.545</t>
        </is>
      </c>
      <c r="E100" s="17" t="inlineStr">
        <is>
          <t>2026-04</t>
        </is>
      </c>
      <c r="F100" s="17" t="inlineStr">
        <is>
          <t>Current on reference date</t>
        </is>
      </c>
      <c r="G100" s="17" t="inlineStr">
        <is>
          <t>No person shall effect any transfer of any property movable or immovable, in Sri Lanka, belonging to or included in, the estate or effects of any person dying testate or intestate in or out of Sri Lanka within five years prior to the effecting of the transfer, unless grant of probate has been issued in the case of a person dying testate</t>
        </is>
      </c>
      <c r="H100" s="17" t="inlineStr">
        <is>
          <t>https://lankalaw.net/wp-content/uploads/2024/09/Consolidated-Civil-Procedure-Code-upto-Act-No.-43-of-2024.pdf</t>
        </is>
      </c>
      <c r="I100" s="17" t="inlineStr">
        <is>
          <t>Supporting</t>
        </is>
      </c>
      <c r="J100" s="17" t="inlineStr">
        <is>
          <t>Added by the verifier. The answer to Q02 has Nihal transferring the house to Siripala in terms of the will, but no provision the researcher cited makes the grant of probate a condition of that transfer. Section 545 does, and it is what makes the probate sequence a necessary step for Siripala to get the house rather than a formality.
TEMPORAL: Substituted by Act No. 11 of 2010 (corpus amendment_events: substitute by 11-2010 s.11, and earlier 14-1993 s.4); the substituted text is in force at 2026-04 and governs a death on 14 February 2026.</t>
        </is>
      </c>
      <c r="K100" s="17" t="inlineStr">
        <is>
          <t>[verified] Excerpt checked verbatim against 2-1889/s545 by the verifier.</t>
        </is>
      </c>
      <c r="L100" s="21" t="n"/>
      <c r="M100" s="21" t="n"/>
      <c r="N100" s="21" t="n"/>
      <c r="O100" s="21" t="n"/>
      <c r="P100" s="21" t="n"/>
      <c r="Q100" s="17">
        <f>IF(OR(A100="",B100=""),"",IF(AND(L100&lt;&gt;"",P100&lt;&gt;"",IF(L100="Wrong citation",AND(M100&lt;&gt;"",N100&lt;&gt;""),TRUE)),"Complete","Pending"))</f>
        <v/>
      </c>
    </row>
    <row r="101">
      <c r="A101" s="19" t="inlineStr">
        <is>
          <t>M010-Q02</t>
        </is>
      </c>
      <c r="B101" s="19" t="inlineStr">
        <is>
          <t>PROV-M010-903</t>
        </is>
      </c>
      <c r="C101" s="17" t="inlineStr">
        <is>
          <t>Civil Procedure Code No. 2 of 1889</t>
        </is>
      </c>
      <c r="D101" s="17" t="inlineStr">
        <is>
          <t>s.532 (1)</t>
        </is>
      </c>
      <c r="E101" s="17" t="inlineStr">
        <is>
          <t>2026-04</t>
        </is>
      </c>
      <c r="F101" s="17" t="inlineStr">
        <is>
          <t>Current on reference date</t>
        </is>
      </c>
      <c r="G101" s="17" t="inlineStr">
        <is>
          <t>If any objections are received in relation to any application under section 524 or 528 in response to a notice published under section 529, on or before the date specified in such notice in respect of such application, the court shall proceed to hear, try and determine such application in accordance with the procedure herein provided and may for such purpose name a day for final hearing and disposal of such application</t>
        </is>
      </c>
      <c r="H101" s="17" t="inlineStr">
        <is>
          <t>https://lankalaw.net/wp-content/uploads/2024/09/Consolidated-Civil-Procedure-Code-upto-Act-No.-43-of-2024.pdf</t>
        </is>
      </c>
      <c r="I101" s="17" t="inlineStr">
        <is>
          <t>Supporting</t>
        </is>
      </c>
      <c r="J101" s="17" t="inlineStr">
        <is>
          <t>Added by the verifier. Section 532(1) is the provision that turns objections filed in answer to the section 529 notice into a final hearing; the researcher's claims about the contested route rested on section 534, which only states the orders that may be made once that hearing has happened.
TEMPORAL: Current text from Act No. 14 of 1993 (corpus amendment_events: unknown by 14-1993 s.4); in force at 2026-04.</t>
        </is>
      </c>
      <c r="K101" s="17" t="inlineStr">
        <is>
          <t>[verified] Excerpt checked verbatim against 2-1889/s532 by the verifier; corpus edges show 2-1889/s532 procedurally_requires 2-1889/s524, on the same footing as section 531.</t>
        </is>
      </c>
      <c r="L101" s="21" t="n"/>
      <c r="M101" s="21" t="n"/>
      <c r="N101" s="21" t="n"/>
      <c r="O101" s="21" t="n"/>
      <c r="P101" s="21" t="n"/>
      <c r="Q101" s="17">
        <f>IF(OR(A101="",B101=""),"",IF(AND(L101&lt;&gt;"",P101&lt;&gt;"",IF(L101="Wrong citation",AND(M101&lt;&gt;"",N101&lt;&gt;""),TRUE)),"Complete","Pending"))</f>
        <v/>
      </c>
    </row>
    <row r="102">
      <c r="A102" s="19" t="inlineStr">
        <is>
          <t>M010-Q02</t>
        </is>
      </c>
      <c r="B102" s="19" t="inlineStr">
        <is>
          <t>PROV-M010-016</t>
        </is>
      </c>
      <c r="C102" s="17" t="inlineStr">
        <is>
          <t>Civil Procedure Code No. 2 of 1889</t>
        </is>
      </c>
      <c r="D102" s="17" t="inlineStr">
        <is>
          <t>s.542</t>
        </is>
      </c>
      <c r="E102" s="17" t="inlineStr">
        <is>
          <t>2026-04</t>
        </is>
      </c>
      <c r="F102" s="17" t="inlineStr">
        <is>
          <t>Current on reference date</t>
        </is>
      </c>
      <c r="G102" s="17" t="inlineStr">
        <is>
          <t>the power of administration, which is authenticated by the grant of probate, or is conveyed by the grant of letters of administration, extends to every portion of the deceased person's property, movable and immovable, within Sri Lanka</t>
        </is>
      </c>
      <c r="H102" s="17" t="inlineStr">
        <is>
          <t>https://lankalaw.net/wp-content/uploads/2024/09/Consolidated-Civil-Procedure-Code-upto-Act-No.-43-of-2024.pdf</t>
        </is>
      </c>
      <c r="I102" s="17" t="inlineStr">
        <is>
          <t>Background</t>
        </is>
      </c>
      <c r="J102" s="17" t="inlineStr">
        <is>
          <t>Background: once probate issues without limitation, Nihal's authority covers the house and the bank balance until the estate is fully administered.
TEMPORAL: Current text from Act No. 14 of 1993; in force at 2026-04.</t>
        </is>
      </c>
      <c r="K102" s="17" t="inlineStr">
        <is>
          <t>[verified]</t>
        </is>
      </c>
      <c r="L102" s="21" t="n"/>
      <c r="M102" s="21" t="n"/>
      <c r="N102" s="21" t="n"/>
      <c r="O102" s="21" t="n"/>
      <c r="P102" s="21" t="n"/>
      <c r="Q102" s="17">
        <f>IF(OR(A102="",B102=""),"",IF(AND(L102&lt;&gt;"",P102&lt;&gt;"",IF(L102="Wrong citation",AND(M102&lt;&gt;"",N102&lt;&gt;""),TRUE)),"Complete","Pending"))</f>
        <v/>
      </c>
    </row>
    <row r="103">
      <c r="A103" s="19" t="inlineStr">
        <is>
          <t>M013-Q01</t>
        </is>
      </c>
      <c r="B103" s="19" t="inlineStr">
        <is>
          <t>PROV-M013-001</t>
        </is>
      </c>
      <c r="C103" s="17" t="inlineStr">
        <is>
          <t>Prevention of Frauds Ordinance No. 7 of 1840</t>
        </is>
      </c>
      <c r="D103" s="17" t="inlineStr">
        <is>
          <t>s.2 (2)</t>
        </is>
      </c>
      <c r="E103" s="17" t="inlineStr">
        <is>
          <t>2025-10</t>
        </is>
      </c>
      <c r="F103" s="17" t="inlineStr">
        <is>
          <t>Current on reference date</t>
        </is>
      </c>
      <c r="G103" s="17" t="inlineStr">
        <is>
          <t>In relation to a transfer deed - (a) both the transferor and the transferee shall affix their signatures and thumb impressions as required by subsection (1): Provided however, where the transferee is unable to be present and execute the deed or instrument, he shall authorise in writing, any other person to sign such deed or instrument on his behalf, who shall comply with the requirements set out in subsection (1)</t>
        </is>
      </c>
      <c r="H103" s="17" t="inlineStr">
        <is>
          <t>https://lankalaw.net/wp-content/uploads/2025/03/Prevention-of-Frauds-Consolidated-2024.pdf</t>
        </is>
      </c>
      <c r="I103" s="17" t="inlineStr">
        <is>
          <t>Indispensable</t>
        </is>
      </c>
      <c r="J103" s="17" t="inlineStr">
        <is>
          <t>This is the subsection inserted by the latest amendment (Act No. 4 of 2024). It is the provision the question turns on: it now requires the transferee, as well as the transferor, to sign and place a thumb impression on a transfer deed, and it gives the transferee who cannot be present the one statutory escape route - a written authorisation to another person to sign on her behalf. Wimala is the transferee and cannot be present.
TEMPORAL: Subsection (2) was added to section 2 by the Prevention of Frauds (Amendment) Act No. 4 of 2024 (corpus amendment_events for 7-1840/s2 record 'unknown by 4-2024 s.2 (2024)'). 2024 precedes the matter date of 2025-10, so the subsection applies. The corpus records the year only, not the date of operation.</t>
        </is>
      </c>
      <c r="K103" s="17" t="inlineStr">
        <is>
          <t>[verified]</t>
        </is>
      </c>
      <c r="L103" s="21" t="n"/>
      <c r="M103" s="21" t="n"/>
      <c r="N103" s="21" t="n"/>
      <c r="O103" s="21" t="n"/>
      <c r="P103" s="21" t="n"/>
      <c r="Q103" s="17">
        <f>IF(OR(A103="",B103=""),"",IF(AND(L103&lt;&gt;"",P103&lt;&gt;"",IF(L103="Wrong citation",AND(M103&lt;&gt;"",N103&lt;&gt;""),TRUE)),"Complete","Pending"))</f>
        <v/>
      </c>
    </row>
    <row r="104">
      <c r="A104" s="19" t="inlineStr">
        <is>
          <t>M013-Q01</t>
        </is>
      </c>
      <c r="B104" s="19" t="inlineStr">
        <is>
          <t>PROV-M013-002</t>
        </is>
      </c>
      <c r="C104" s="17" t="inlineStr">
        <is>
          <t>Prevention of Frauds Ordinance No. 7 of 1840</t>
        </is>
      </c>
      <c r="D104" s="17" t="inlineStr">
        <is>
          <t>s.2 (1)</t>
        </is>
      </c>
      <c r="E104" s="17" t="inlineStr">
        <is>
          <t>2025-10</t>
        </is>
      </c>
      <c r="F104" s="17" t="inlineStr">
        <is>
          <t>Current on reference date</t>
        </is>
      </c>
      <c r="G104"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nor any contract or agreement for the future sale or purchase of any land or other immovable property</t>
        </is>
      </c>
      <c r="H104" s="17" t="inlineStr">
        <is>
          <t>https://lankalaw.net/wp-content/uploads/2025/03/Prevention-of-Frauds-Consolidated-2024.pdf</t>
        </is>
      </c>
      <c r="I104" s="17" t="inlineStr">
        <is>
          <t>Indispensable</t>
        </is>
      </c>
      <c r="J104" s="17" t="inlineStr">
        <is>
          <t>Fixes the transaction Wimala proposes - a purchase and transfer of land - inside section 2, so that the formality requirements and the subsection (2) route for an absent transferee apply to her deed at all.
TEMPORAL: Section 2 has stood since 1840 and was last recast in 2022 and 2024; the opening words quoted here are the operative text at 2025-10.</t>
        </is>
      </c>
      <c r="K104" s="17" t="inlineStr">
        <is>
          <t>[partially_verified] Excerpt is verbatim but stops short of the operative words "shall be in force or avail in law unless", which are the very words claim CL-M013-Q01-001 and the conclusion rest on; the excerpt should be extended to carry them.</t>
        </is>
      </c>
      <c r="L104" s="21" t="n"/>
      <c r="M104" s="21" t="n"/>
      <c r="N104" s="21" t="n"/>
      <c r="O104" s="21" t="n"/>
      <c r="P104" s="21" t="n"/>
      <c r="Q104" s="17">
        <f>IF(OR(A104="",B104=""),"",IF(AND(L104&lt;&gt;"",P104&lt;&gt;"",IF(L104="Wrong citation",AND(M104&lt;&gt;"",N104&lt;&gt;""),TRUE)),"Complete","Pending"))</f>
        <v/>
      </c>
    </row>
    <row r="105">
      <c r="A105" s="19" t="inlineStr">
        <is>
          <t>M013-Q01</t>
        </is>
      </c>
      <c r="B105" s="19" t="inlineStr">
        <is>
          <t>PROV-M013-003</t>
        </is>
      </c>
      <c r="C105" s="17" t="inlineStr">
        <is>
          <t>Prevention of Frauds Ordinance No. 7 of 1840</t>
        </is>
      </c>
      <c r="D105" s="17" t="inlineStr">
        <is>
          <t>s.2 (1)(a)-(b)</t>
        </is>
      </c>
      <c r="E105" s="17" t="inlineStr">
        <is>
          <t>2025-10</t>
        </is>
      </c>
      <c r="F105" s="17" t="inlineStr">
        <is>
          <t>Current on reference date</t>
        </is>
      </c>
      <c r="G105"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 (b)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t>
        </is>
      </c>
      <c r="H105" s="17" t="inlineStr">
        <is>
          <t>https://lankalaw.net/wp-content/uploads/2025/03/Prevention-of-Frauds-Consolidated-2024.pdf</t>
        </is>
      </c>
      <c r="I105" s="17" t="inlineStr">
        <is>
          <t>Indispensable</t>
        </is>
      </c>
      <c r="J105" s="17" t="inlineStr">
        <is>
          <t>States the formalities the authorised signatory must satisfy, because subsection (2) sends the transferee's nominee back to subsection (1). Paragraph (a), as substituted in 2024, is also the provision that expressly recognises signature 'by any person duly authorised by such executant', which is what makes the attorney route effective rather than a nullity.
TEMPORAL: Paragraph (a) was substituted and paragraph (b) amended by the Prevention of Frauds (Amendment) Act No. 4 of 2024, on the base text substituted by Act No. 30 of 2022. Both precede 2025-10.</t>
        </is>
      </c>
      <c r="K105" s="17" t="inlineStr">
        <is>
          <t>[verified]</t>
        </is>
      </c>
      <c r="L105" s="21" t="n"/>
      <c r="M105" s="21" t="n"/>
      <c r="N105" s="21" t="n"/>
      <c r="O105" s="21" t="n"/>
      <c r="P105" s="21" t="n"/>
      <c r="Q105" s="17">
        <f>IF(OR(A105="",B105=""),"",IF(AND(L105&lt;&gt;"",P105&lt;&gt;"",IF(L105="Wrong citation",AND(M105&lt;&gt;"",N105&lt;&gt;""),TRUE)),"Complete","Pending"))</f>
        <v/>
      </c>
    </row>
    <row r="106">
      <c r="A106" s="19" t="inlineStr">
        <is>
          <t>M013-Q01</t>
        </is>
      </c>
      <c r="B106" s="19" t="inlineStr">
        <is>
          <t>PROV-M013-006</t>
        </is>
      </c>
      <c r="C106" s="17" t="inlineStr">
        <is>
          <t>Powers of Attorney Ordinance No. 4 of 1902</t>
        </is>
      </c>
      <c r="D106" s="17" t="inlineStr">
        <is>
          <t>s.2 definition of "power of attorney"</t>
        </is>
      </c>
      <c r="E106" s="17" t="inlineStr">
        <is>
          <t>2025-10</t>
        </is>
      </c>
      <c r="F106" s="17" t="inlineStr">
        <is>
          <t>Current on reference date</t>
        </is>
      </c>
      <c r="G106" s="17" t="inlineStr">
        <is>
          <t>(a) if it is executed in Sri Lanka, executed before two witnesses and attested by a notary public; or (b) if it is executed outside Sri Lanka, executed before an Ambassador, or a High Commissioner, or a Diplomatic Officer or a Consular Officer within the meaning of the Consular Functions Act, No. 4 of 1981 or a person who is authorized to attest such power of attorney according to the law of that country</t>
        </is>
      </c>
      <c r="H106" s="17" t="inlineStr">
        <is>
          <t>https://www.rgd.gov.lk/web/images/ActsPDF/notary/powers-of-Attorney-English.pdf</t>
        </is>
      </c>
      <c r="I106" s="17" t="inlineStr">
        <is>
          <t>Indispensable</t>
        </is>
      </c>
      <c r="J106" s="17" t="inlineStr">
        <is>
          <t>Defines how the written authorisation contemplated by Prevention of Frauds Ordinance s.2(2) must itself be executed. Because Wimala is outside Sri Lanka, paragraph (b) tells her before whom she may sign - a diplomatic or consular officer of Sri Lanka, or a person competent to attest under the law of the country she is in.
TEMPORAL: The definition was substituted by the Powers of Attorney (Amendment) Act No. 28 of 2022 and further amended by Act No. 3 of 2024; both precede 2025-10.</t>
        </is>
      </c>
      <c r="K106" s="17" t="inlineStr">
        <is>
          <t>[verified]</t>
        </is>
      </c>
      <c r="L106" s="21" t="n"/>
      <c r="M106" s="21" t="n"/>
      <c r="N106" s="21" t="n"/>
      <c r="O106" s="21" t="n"/>
      <c r="P106" s="21" t="n"/>
      <c r="Q106" s="17">
        <f>IF(OR(A106="",B106=""),"",IF(AND(L106&lt;&gt;"",P106&lt;&gt;"",IF(L106="Wrong citation",AND(M106&lt;&gt;"",N106&lt;&gt;""),TRUE)),"Complete","Pending"))</f>
        <v/>
      </c>
    </row>
    <row r="107">
      <c r="A107" s="19" t="inlineStr">
        <is>
          <t>M013-Q01</t>
        </is>
      </c>
      <c r="B107" s="19" t="inlineStr">
        <is>
          <t>PROV-M013-007</t>
        </is>
      </c>
      <c r="C107" s="17" t="inlineStr">
        <is>
          <t>Powers of Attorney Ordinance No. 4 of 1902</t>
        </is>
      </c>
      <c r="D107" s="17" t="inlineStr">
        <is>
          <t>s.3A (1)</t>
        </is>
      </c>
      <c r="E107" s="17" t="inlineStr">
        <is>
          <t>2025-10</t>
        </is>
      </c>
      <c r="F107" s="17" t="inlineStr">
        <is>
          <t>Current on reference date</t>
        </is>
      </c>
      <c r="G107" s="17" t="inlineStr">
        <is>
          <t>A power of attorney granted to be used for the purpose of a transaction which falls within the scope of section 2 of the Prevention of Frauds Ordinance (Chapter 70) shall be executed subject to the provisions specified in subsection (2) or (3), as the case may be.</t>
        </is>
      </c>
      <c r="H107" s="17" t="inlineStr">
        <is>
          <t>https://www.rgd.gov.lk/web/images/ActsPDF/notary/powers-of-Attorney-English.pdf</t>
        </is>
      </c>
      <c r="I107" s="17" t="inlineStr">
        <is>
          <t>Indispensable</t>
        </is>
      </c>
      <c r="J107" s="17" t="inlineStr">
        <is>
          <t>Links the two enactments. Wimala's authorisation is granted for a transaction inside Prevention of Frauds Ordinance s.2, so the ordinary form of power of attorney is not enough; the special requirements of s.3A(2) or (3) are engaged.
TEMPORAL: Section 3A was inserted by the Powers of Attorney (Amendment) Act No. 28 of 2022, before the matter date.</t>
        </is>
      </c>
      <c r="K107" s="17" t="inlineStr">
        <is>
          <t>[verified]</t>
        </is>
      </c>
      <c r="L107" s="21" t="n"/>
      <c r="M107" s="21" t="n"/>
      <c r="N107" s="21" t="n"/>
      <c r="O107" s="21" t="n"/>
      <c r="P107" s="21" t="n"/>
      <c r="Q107" s="17">
        <f>IF(OR(A107="",B107=""),"",IF(AND(L107&lt;&gt;"",P107&lt;&gt;"",IF(L107="Wrong citation",AND(M107&lt;&gt;"",N107&lt;&gt;""),TRUE)),"Complete","Pending"))</f>
        <v/>
      </c>
    </row>
    <row r="108">
      <c r="A108" s="19" t="inlineStr">
        <is>
          <t>M013-Q01</t>
        </is>
      </c>
      <c r="B108" s="19" t="inlineStr">
        <is>
          <t>PROV-M013-008</t>
        </is>
      </c>
      <c r="C108" s="17" t="inlineStr">
        <is>
          <t>Powers of Attorney Ordinance No. 4 of 1902</t>
        </is>
      </c>
      <c r="D108" s="17" t="inlineStr">
        <is>
          <t>s.3A (3)</t>
        </is>
      </c>
      <c r="E108" s="17" t="inlineStr">
        <is>
          <t>2025-10</t>
        </is>
      </c>
      <c r="F108" s="17" t="inlineStr">
        <is>
          <t>Current on reference date</t>
        </is>
      </c>
      <c r="G108" s="17" t="inlineStr">
        <is>
          <t>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t>
        </is>
      </c>
      <c r="H108" s="17" t="inlineStr">
        <is>
          <t>https://www.rgd.gov.lk/web/images/ActsPDF/notary/powers-of-Attorney-English.pdf</t>
        </is>
      </c>
      <c r="I108" s="17" t="inlineStr">
        <is>
          <t>Indispensable</t>
        </is>
      </c>
      <c r="J108" s="17" t="inlineStr">
        <is>
          <t>The operative checklist for Wimala, who will sign abroad: execution before a s.2 officer, a metes-and-bounds description of the Galle land, the volume and folio of its prior registration, and the certified passport and identity copies. If the instrument omits these the notary in Galle cannot safely act on it.
TEMPORAL: Inserted by Act No. 28 of 2022; in force well before 2025-10.</t>
        </is>
      </c>
      <c r="K108" s="17" t="inlineStr">
        <is>
          <t>[verified]</t>
        </is>
      </c>
      <c r="L108" s="21" t="n"/>
      <c r="M108" s="21" t="n"/>
      <c r="N108" s="21" t="n"/>
      <c r="O108" s="21" t="n"/>
      <c r="P108" s="21" t="n"/>
      <c r="Q108" s="17">
        <f>IF(OR(A108="",B108=""),"",IF(AND(L108&lt;&gt;"",P108&lt;&gt;"",IF(L108="Wrong citation",AND(M108&lt;&gt;"",N108&lt;&gt;""),TRUE)),"Complete","Pending"))</f>
        <v/>
      </c>
    </row>
    <row r="109">
      <c r="A109" s="19" t="inlineStr">
        <is>
          <t>M013-Q01</t>
        </is>
      </c>
      <c r="B109" s="19" t="inlineStr">
        <is>
          <t>PROV-M013-010</t>
        </is>
      </c>
      <c r="C109" s="17" t="inlineStr">
        <is>
          <t>Powers of Attorney Ordinance No. 4 of 1902</t>
        </is>
      </c>
      <c r="D109" s="17" t="inlineStr">
        <is>
          <t>s.3 (1)</t>
        </is>
      </c>
      <c r="E109" s="17" t="inlineStr">
        <is>
          <t>2025-10</t>
        </is>
      </c>
      <c r="F109" s="17" t="inlineStr">
        <is>
          <t>Current on reference date</t>
        </is>
      </c>
      <c r="G109" s="17" t="inlineStr">
        <is>
          <t>(a) Every power of attorney executed in Sri Lanka or any other country shall be registered with the Registrar General. (b)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 together with – (i) a copy thereof certified by a notary public to be a true copy; and (ii) an affidavit made as specified in Schedule I hereto.</t>
        </is>
      </c>
      <c r="H109" s="17" t="inlineStr">
        <is>
          <t>https://www.rgd.gov.lk/web/images/ActsPDF/notary/powers-of-Attorney-English.pdf</t>
        </is>
      </c>
      <c r="I109" s="17" t="inlineStr">
        <is>
          <t>Indispensable</t>
        </is>
      </c>
      <c r="J109" s="17" t="inlineStr">
        <is>
          <t>Registration is compulsory and time-limited. Wimala's power of attorney will be executed outside Sri Lanka, so her attorney must lodge it with the Registrar-General within three months of execution, with a notarially certified copy and the Schedule I affidavit. This also creates the register the attesting notary must search.
TEMPORAL: Section 3 was replaced by the Powers of Attorney (Amendment) Act No. 28 of 2022; the replacement text is the law at 2025-10.</t>
        </is>
      </c>
      <c r="K109" s="17" t="inlineStr">
        <is>
          <t>[verified]</t>
        </is>
      </c>
      <c r="L109" s="21" t="n"/>
      <c r="M109" s="21" t="n"/>
      <c r="N109" s="21" t="n"/>
      <c r="O109" s="21" t="n"/>
      <c r="P109" s="21" t="n"/>
      <c r="Q109" s="17">
        <f>IF(OR(A109="",B109=""),"",IF(AND(L109&lt;&gt;"",P109&lt;&gt;"",IF(L109="Wrong citation",AND(M109&lt;&gt;"",N109&lt;&gt;""),TRUE)),"Complete","Pending"))</f>
        <v/>
      </c>
    </row>
    <row r="110">
      <c r="A110" s="19" t="inlineStr">
        <is>
          <t>M013-Q01</t>
        </is>
      </c>
      <c r="B110" s="19" t="inlineStr">
        <is>
          <t>PROV-M013-004</t>
        </is>
      </c>
      <c r="C110" s="17" t="inlineStr">
        <is>
          <t>Prevention of Frauds (Amendment) Act No. 4 of 2024</t>
        </is>
      </c>
      <c r="D110" s="17" t="inlineStr">
        <is>
          <t>s.2</t>
        </is>
      </c>
      <c r="E110" s="17" t="inlineStr">
        <is>
          <t>2025-10</t>
        </is>
      </c>
      <c r="F110" s="17" t="inlineStr">
        <is>
          <t>Current on reference date</t>
        </is>
      </c>
      <c r="G110" s="17" t="inlineStr">
        <is>
          <t>Section 2 of the Prevention of Frauds Ordinance (Chapter 70) is hereby amended as follows: - (1) by the renumbering of that section as subsection (1); (2) in the renumbered subsection (1) thereof- (a) by the repeal of paragraph (a), and the substitution therefor of the following:-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t>
        </is>
      </c>
      <c r="H110" s="17" t="inlineStr">
        <is>
          <t>data/legal-sources/library/finalized/7-1840-prevention-of-frauds-ordinance/4-2024-prevention-of-frauds-ordinance-amendment.json</t>
        </is>
      </c>
      <c r="I110" s="17" t="inlineStr">
        <is>
          <t>Supporting</t>
        </is>
      </c>
      <c r="J110" s="17" t="inlineStr">
        <is>
          <t>The amending Act itself. The question asks for advice 'according to the latest amendments', so the answer has to identify Act No. 4 of 2024 as the source of the renumbering, of the 'duly authorised' wording in paragraph (a), and of the new subsection (2) that governs an absent transferee.
TEMPORAL: Enacted 2024, before the matter date of 2025-10. The corpus records no date of operation, only the year.</t>
        </is>
      </c>
      <c r="K110" s="17" t="inlineStr">
        <is>
          <t>[verified]</t>
        </is>
      </c>
      <c r="L110" s="21" t="n"/>
      <c r="M110" s="21" t="n"/>
      <c r="N110" s="21" t="n"/>
      <c r="O110" s="21" t="n"/>
      <c r="P110" s="21" t="n"/>
      <c r="Q110" s="17">
        <f>IF(OR(A110="",B110=""),"",IF(AND(L110&lt;&gt;"",P110&lt;&gt;"",IF(L110="Wrong citation",AND(M110&lt;&gt;"",N110&lt;&gt;""),TRUE)),"Complete","Pending"))</f>
        <v/>
      </c>
    </row>
    <row r="111">
      <c r="A111" s="19" t="inlineStr">
        <is>
          <t>M013-Q01</t>
        </is>
      </c>
      <c r="B111" s="19" t="inlineStr">
        <is>
          <t>PROV-M013-009</t>
        </is>
      </c>
      <c r="C111" s="17" t="inlineStr">
        <is>
          <t>Powers of Attorney Ordinance No. 4 of 1902</t>
        </is>
      </c>
      <c r="D111" s="17" t="inlineStr">
        <is>
          <t>s.3A (3)(d)-(e)</t>
        </is>
      </c>
      <c r="E111" s="17" t="inlineStr">
        <is>
          <t>2025-10</t>
        </is>
      </c>
      <c r="F111" s="17" t="inlineStr">
        <is>
          <t>Current on reference date</t>
        </is>
      </c>
      <c r="G111" s="17" t="inlineStr">
        <is>
          <t>contain a reference to the volume and folio in which the land or land parcel or condominium parcel relating to the transaction, is registered, in the case of a land or land parcel or condominium parcel with prior registration; and (e) be accompanied with a copy of the bio page of the passport of the grantor signed by such grantor and a copy of the bio page of the passport, National Identity Card or driving license of the attorney of such power of attorney certified by a notary public.</t>
        </is>
      </c>
      <c r="H111" s="17" t="inlineStr">
        <is>
          <t>https://www.rgd.gov.lk/web/images/ActsPDF/notary/powers-of-Attorney-English.pdf</t>
        </is>
      </c>
      <c r="I111" s="17" t="inlineStr">
        <is>
          <t>Supporting</t>
        </is>
      </c>
      <c r="J111" s="17" t="inlineStr">
        <is>
          <t>The remaining two requirements for a power of attorney executed abroad: the prior registration reference for the Galle land, and the signed passport bio page of the grantor together with certified identity documents of the attorney.
TEMPORAL: Inserted by Act No. 28 of 2022; in force before 2025-10.</t>
        </is>
      </c>
      <c r="K111" s="17" t="inlineStr">
        <is>
          <t>[verified]</t>
        </is>
      </c>
      <c r="L111" s="21" t="n"/>
      <c r="M111" s="21" t="n"/>
      <c r="N111" s="21" t="n"/>
      <c r="O111" s="21" t="n"/>
      <c r="P111" s="21" t="n"/>
      <c r="Q111" s="17">
        <f>IF(OR(A111="",B111=""),"",IF(AND(L111&lt;&gt;"",P111&lt;&gt;"",IF(L111="Wrong citation",AND(M111&lt;&gt;"",N111&lt;&gt;""),TRUE)),"Complete","Pending"))</f>
        <v/>
      </c>
    </row>
    <row r="112">
      <c r="A112" s="19" t="inlineStr">
        <is>
          <t>M013-Q01</t>
        </is>
      </c>
      <c r="B112" s="19" t="inlineStr">
        <is>
          <t>PROV-M013-011</t>
        </is>
      </c>
      <c r="C112" s="17" t="inlineStr">
        <is>
          <t>Powers of Attorney Ordinance No. 4 of 1902</t>
        </is>
      </c>
      <c r="D112" s="17" t="inlineStr">
        <is>
          <t>s.3C</t>
        </is>
      </c>
      <c r="E112" s="17" t="inlineStr">
        <is>
          <t>2025-10</t>
        </is>
      </c>
      <c r="F112" s="17" t="inlineStr">
        <is>
          <t>Current on reference date</t>
        </is>
      </c>
      <c r="G112" s="17" t="inlineStr">
        <is>
          <t>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t>
        </is>
      </c>
      <c r="H112" s="17" t="inlineStr">
        <is>
          <t>https://www.rgd.gov.lk/web/images/ActsPDF/notary/powers-of-Attorney-English.pdf</t>
        </is>
      </c>
      <c r="I112" s="17" t="inlineStr">
        <is>
          <t>Supporting</t>
        </is>
      </c>
      <c r="J112" s="17" t="inlineStr">
        <is>
          <t>Practical advice point: the authorisation Wimala grants will lapse five years from execution unless it states its own period, so the deed must be executed while it is still current.
TEMPORAL: Inserted by Act No. 28 of 2022; in force before 2025-10.</t>
        </is>
      </c>
      <c r="K112" s="17" t="inlineStr">
        <is>
          <t>[verified]</t>
        </is>
      </c>
      <c r="L112" s="21" t="n"/>
      <c r="M112" s="21" t="n"/>
      <c r="N112" s="21" t="n"/>
      <c r="O112" s="21" t="n"/>
      <c r="P112" s="21" t="n"/>
      <c r="Q112" s="17">
        <f>IF(OR(A112="",B112=""),"",IF(AND(L112&lt;&gt;"",P112&lt;&gt;"",IF(L112="Wrong citation",AND(M112&lt;&gt;"",N112&lt;&gt;""),TRUE)),"Complete","Pending"))</f>
        <v/>
      </c>
    </row>
    <row r="113">
      <c r="A113" s="19" t="inlineStr">
        <is>
          <t>M013-Q01</t>
        </is>
      </c>
      <c r="B113" s="19" t="inlineStr">
        <is>
          <t>PROV-M013-012</t>
        </is>
      </c>
      <c r="C113" s="17" t="inlineStr">
        <is>
          <t>Powers of Attorney Ordinance No. 4 of 1902</t>
        </is>
      </c>
      <c r="D113" s="17" t="inlineStr">
        <is>
          <t>s.3B (1)</t>
        </is>
      </c>
      <c r="E113" s="17" t="inlineStr">
        <is>
          <t>2025-10</t>
        </is>
      </c>
      <c r="F113" s="17" t="inlineStr">
        <is>
          <t>Current on reference date</t>
        </is>
      </c>
      <c r="G113" s="17" t="inlineStr">
        <is>
          <t>Every notary public who attests a deed or instrument in terms of the Notaries Ordinance in respect of a transaction referred to in section 3A of this Act, shall – (a) examine the relevant volumes and folios in the Registrar General's department; (b) be satisfied that the power of attorney has not been revoked or cancelled and shall state such fact in his attestation</t>
        </is>
      </c>
      <c r="H113" s="17" t="inlineStr">
        <is>
          <t>https://www.rgd.gov.lk/web/images/ActsPDF/notary/powers-of-Attorney-English.pdf</t>
        </is>
      </c>
      <c r="I113" s="17" t="inlineStr">
        <is>
          <t>Supporting</t>
        </is>
      </c>
      <c r="J113" s="17" t="inlineStr">
        <is>
          <t>Explains what the notary in Galle must do before attesting a deed signed by Wimala's attorney, and why the power of attorney must be registered first - the notary has to be able to find it and certify in the attestation that it is unrevoked.
TEMPORAL: Inserted by Act No. 28 of 2022; in force before 2025-10.</t>
        </is>
      </c>
      <c r="K113" s="17" t="inlineStr">
        <is>
          <t>[verified]</t>
        </is>
      </c>
      <c r="L113" s="21" t="n"/>
      <c r="M113" s="21" t="n"/>
      <c r="N113" s="21" t="n"/>
      <c r="O113" s="21" t="n"/>
      <c r="P113" s="21" t="n"/>
      <c r="Q113" s="17">
        <f>IF(OR(A113="",B113=""),"",IF(AND(L113&lt;&gt;"",P113&lt;&gt;"",IF(L113="Wrong citation",AND(M113&lt;&gt;"",N113&lt;&gt;""),TRUE)),"Complete","Pending"))</f>
        <v/>
      </c>
    </row>
    <row r="114">
      <c r="A114" s="19" t="inlineStr">
        <is>
          <t>M013-Q01</t>
        </is>
      </c>
      <c r="B114" s="19" t="inlineStr">
        <is>
          <t>PROV-M013-013</t>
        </is>
      </c>
      <c r="C114" s="17" t="inlineStr">
        <is>
          <t>Notaries Ordinance No. 1 of 1907</t>
        </is>
      </c>
      <c r="D114" s="17" t="inlineStr">
        <is>
          <t>s.31 rule (16)(c)</t>
        </is>
      </c>
      <c r="E114" s="17" t="inlineStr">
        <is>
          <t>2025-10</t>
        </is>
      </c>
      <c r="F114" s="17" t="inlineStr">
        <is>
          <t>Current on reference date</t>
        </is>
      </c>
      <c r="G114" s="17" t="inlineStr">
        <is>
          <t>where a deed or instrument is signed by an attorney, such attorney shall submit to the notary an affidavit affirming that the Power of Attorney is genuine and in force and the grantor is alive when executing such deed or instrument;</t>
        </is>
      </c>
      <c r="H114" s="17" t="inlineStr">
        <is>
          <t>https://www.rgd.gov.lk/web/images/ActsPDF/notary/Notaries-English.pdf</t>
        </is>
      </c>
      <c r="I114" s="17" t="inlineStr">
        <is>
          <t>Supporting</t>
        </is>
      </c>
      <c r="J114" s="17" t="inlineStr">
        <is>
          <t>A further condition on the attorney route: the person signing for Wimala must give the notary an affidavit that the power is genuine, in force, and that Wimala is alive at the date of the deed.
TEMPORAL: This rule was inserted into section 31 by the Notaries (Amendment) Act No. 31 of 2022 and section 31 was further amended by the Notaries (Amendment) Act No. 6 of 2024; both precede 2025-10.</t>
        </is>
      </c>
      <c r="K114" s="17" t="inlineStr">
        <is>
          <t>[partially_verified] Wording is verbatim, but the label "rule (16)(c)" is wrong: Notaries (Amendment) Act No. 6 of 2024 s.3(5) refers to this block as "rule (15A)", so the citation is Notaries Ordinance s.31, rule (15A)(c).</t>
        </is>
      </c>
      <c r="L114" s="21" t="n"/>
      <c r="M114" s="21" t="n"/>
      <c r="N114" s="21" t="n"/>
      <c r="O114" s="21" t="n"/>
      <c r="P114" s="21" t="n"/>
      <c r="Q114" s="17">
        <f>IF(OR(A114="",B114=""),"",IF(AND(L114&lt;&gt;"",P114&lt;&gt;"",IF(L114="Wrong citation",AND(M114&lt;&gt;"",N114&lt;&gt;""),TRUE)),"Complete","Pending"))</f>
        <v/>
      </c>
    </row>
    <row r="115">
      <c r="A115" s="19" t="inlineStr">
        <is>
          <t>M013-Q01</t>
        </is>
      </c>
      <c r="B115" s="19" t="inlineStr">
        <is>
          <t>PROV-M013-014</t>
        </is>
      </c>
      <c r="C115" s="17" t="inlineStr">
        <is>
          <t>Notaries Ordinance No. 1 of 1907</t>
        </is>
      </c>
      <c r="D115" s="17" t="inlineStr">
        <is>
          <t>s.31 rule (30)</t>
        </is>
      </c>
      <c r="E115" s="17" t="inlineStr">
        <is>
          <t>2025-10</t>
        </is>
      </c>
      <c r="F115" s="17" t="inlineStr">
        <is>
          <t>Current on reference date</t>
        </is>
      </c>
      <c r="G115" s="17" t="inlineStr">
        <is>
          <t>If he attest any deed or instrument executed before him by means of an attorney, he shall preserve a true copy of the power of attorney with his protocol, and shall forward a like copy with the duplicate to the Registrar of Lands.</t>
        </is>
      </c>
      <c r="H115" s="17" t="inlineStr">
        <is>
          <t>https://www.rgd.gov.lk/web/images/ActsPDF/notary/Notaries-English.pdf</t>
        </is>
      </c>
      <c r="I115" s="17" t="inlineStr">
        <is>
          <t>Supporting</t>
        </is>
      </c>
      <c r="J115" s="17" t="inlineStr">
        <is>
          <t>Completes the paper trail: the notary keeps a true copy of the power of attorney with the protocol and sends a copy with the duplicate to the Land Registry, so Wimala should expect to supply an additional certified copy.
TEMPORAL: Long-standing rule in section 31; not affected by the 2022 or 2024 amendments in a way the corpus records.</t>
        </is>
      </c>
      <c r="K115" s="17" t="inlineStr">
        <is>
          <t>[verified]</t>
        </is>
      </c>
      <c r="L115" s="21" t="n"/>
      <c r="M115" s="21" t="n"/>
      <c r="N115" s="21" t="n"/>
      <c r="O115" s="21" t="n"/>
      <c r="P115" s="21" t="n"/>
      <c r="Q115" s="17">
        <f>IF(OR(A115="",B115=""),"",IF(AND(L115&lt;&gt;"",P115&lt;&gt;"",IF(L115="Wrong citation",AND(M115&lt;&gt;"",N115&lt;&gt;""),TRUE)),"Complete","Pending"))</f>
        <v/>
      </c>
    </row>
    <row r="116">
      <c r="A116" s="19" t="inlineStr">
        <is>
          <t>M013-Q01</t>
        </is>
      </c>
      <c r="B116" s="19" t="inlineStr">
        <is>
          <t>PROV-M013-901</t>
        </is>
      </c>
      <c r="C116" s="17" t="inlineStr">
        <is>
          <t>Notaries Ordinance No. 1 of 1907</t>
        </is>
      </c>
      <c r="D116" s="17" t="inlineStr">
        <is>
          <t>s.31 rule (8)</t>
        </is>
      </c>
      <c r="E116" s="17" t="inlineStr">
        <is>
          <t>2025-10</t>
        </is>
      </c>
      <c r="F116" s="17" t="inlineStr">
        <is>
          <t>Current on reference date</t>
        </is>
      </c>
      <c r="G116" s="17" t="inlineStr">
        <is>
          <t>He shall not authenticate or attest any deed or instrument to which at least two witnesses have not subscribed their signatures in letters.</t>
        </is>
      </c>
      <c r="H116" s="17" t="inlineStr">
        <is>
          <t>https://www.rgd.gov.lk/web/images/ActsPDF/notary/Notaries-English.pdf</t>
        </is>
      </c>
      <c r="I116" s="17" t="inlineStr">
        <is>
          <t>Supporting</t>
        </is>
      </c>
      <c r="J116" s="17" t="inlineStr">
        <is>
          <t>Added by the verifier. The map and the gold answer both say the attorney must sign before the notary and "the two witnesses", but Prevention of Frauds Ordinance s.2(1)(a) as substituted in 2024 speaks only of "the witnesses" and fixes no number. Rule (8) of Notaries Ordinance s.31 is the provision that supplies the minimum of two witnesses.
TEMPORAL: Rule (8) of section 31 stands in the consolidated text at 2025-10; the corpus records no amendment to this rule by Act No. 31 of 2022 or Act No. 6 of 2024. Excerpt checked verbatim against 1-1907/s31.</t>
        </is>
      </c>
      <c r="K116" s="17" t="inlineStr">
        <is>
          <t>[verified]</t>
        </is>
      </c>
      <c r="L116" s="21" t="n"/>
      <c r="M116" s="21" t="n"/>
      <c r="N116" s="21" t="n"/>
      <c r="O116" s="21" t="n"/>
      <c r="P116" s="21" t="n"/>
      <c r="Q116" s="17">
        <f>IF(OR(A116="",B116=""),"",IF(AND(L116&lt;&gt;"",P116&lt;&gt;"",IF(L116="Wrong citation",AND(M116&lt;&gt;"",N116&lt;&gt;""),TRUE)),"Complete","Pending"))</f>
        <v/>
      </c>
    </row>
    <row r="117">
      <c r="A117" s="19" t="inlineStr">
        <is>
          <t>M013-Q01</t>
        </is>
      </c>
      <c r="B117" s="19" t="inlineStr">
        <is>
          <t>PROV-M013-005</t>
        </is>
      </c>
      <c r="C117" s="17" t="inlineStr">
        <is>
          <t>Prevention of Frauds (Amendment) Act No. 30 of 2022</t>
        </is>
      </c>
      <c r="D117" s="17" t="inlineStr">
        <is>
          <t>s.2</t>
        </is>
      </c>
      <c r="E117" s="17" t="inlineStr">
        <is>
          <t>2025-10</t>
        </is>
      </c>
      <c r="F117" s="17" t="inlineStr">
        <is>
          <t>Current on reference date</t>
        </is>
      </c>
      <c r="G117" s="17" t="inlineStr">
        <is>
          <t>Section 2 of the Prevention of Frauds Ordinance (Chapter 70) (hereinafter referred to as the "principal enactment") is hereby amended by the repeal of all the words from "shall be of force" to the end of that section</t>
        </is>
      </c>
      <c r="H117" s="17" t="inlineStr">
        <is>
          <t>data/legal-sources/library/finalized/7-1840-prevention-of-frauds-ordinance/30-2022-prevention-of-frauds-ordinance-amendment.json</t>
        </is>
      </c>
      <c r="I117" s="17" t="inlineStr">
        <is>
          <t>Background</t>
        </is>
      </c>
      <c r="J117" s="17" t="inlineStr">
        <is>
          <t>Background only. Act No. 30 of 2022 is the amendment immediately preceding the 2024 Act; it introduced the thumb impression requirement into section 2 but said nothing about an absent transferee. It explains why the 2024 Act, not the 2022 Act, is the operative 'latest amendment' for Wimala's problem.
TEMPORAL: Enacted 2022; its text was itself partly recast by Act No. 4 of 2024, so it is cited for the history of section 2 rather than as operative law.</t>
        </is>
      </c>
      <c r="K117" s="17" t="inlineStr">
        <is>
          <t>[partially_verified] Wording is verbatim and the background role is right, but the temporal note is wrong to say the 2022 Act's own text was recast by Act No. 4 of 2024: the 2024 Act amends section 2 of the principal Ordinance, not Act No. 30 of 2022.</t>
        </is>
      </c>
      <c r="L117" s="21" t="n"/>
      <c r="M117" s="21" t="n"/>
      <c r="N117" s="21" t="n"/>
      <c r="O117" s="21" t="n"/>
      <c r="P117" s="21" t="n"/>
      <c r="Q117" s="17">
        <f>IF(OR(A117="",B117=""),"",IF(AND(L117&lt;&gt;"",P117&lt;&gt;"",IF(L117="Wrong citation",AND(M117&lt;&gt;"",N117&lt;&gt;""),TRUE)),"Complete","Pending"))</f>
        <v/>
      </c>
    </row>
    <row r="118">
      <c r="A118" s="19" t="inlineStr">
        <is>
          <t>M013-Q01</t>
        </is>
      </c>
      <c r="B118" s="19" t="inlineStr">
        <is>
          <t>PROV-M013-015</t>
        </is>
      </c>
      <c r="C118" s="17" t="inlineStr">
        <is>
          <t>Land (Restrictions on Alienation) Act No. 38 of 2014</t>
        </is>
      </c>
      <c r="D118" s="17" t="inlineStr">
        <is>
          <t>s.2 (1)</t>
        </is>
      </c>
      <c r="E118" s="17" t="inlineStr">
        <is>
          <t>2025-10</t>
        </is>
      </c>
      <c r="F118" s="17" t="inlineStr">
        <is>
          <t>Current on reference date</t>
        </is>
      </c>
      <c r="G118" s="17" t="inlineStr">
        <is>
          <t>Notwithstanding any provision to the contrary in any other written law, the transfer of title of any land situated in Sri Lanka, shall be prohibited if such transfer is- (a) to a foreigner;</t>
        </is>
      </c>
      <c r="H118" s="17" t="inlineStr">
        <is>
          <t>https://www.rgd.gov.lk/web/images/ActsPDF/notary/2014-38E.pdf</t>
        </is>
      </c>
      <c r="I118" s="17" t="inlineStr">
        <is>
          <t>Background</t>
        </is>
      </c>
      <c r="J118" s="17" t="inlineStr">
        <is>
          <t>Background. A purchaser who is living abroad raises the question whether the transfer is prohibited at all. Because Wimala is a Sri Lankan citizen, the prohibition does not bite and the advice can rest on the execution formalities alone; the provision is recorded so the verifier can see the point was considered rather than missed.
TEMPORAL: In force from 2014; unaffected by any amendment recorded in the corpus for this section.</t>
        </is>
      </c>
      <c r="K118" s="17" t="inlineStr">
        <is>
          <t>[verified]</t>
        </is>
      </c>
      <c r="L118" s="21" t="n"/>
      <c r="M118" s="21" t="n"/>
      <c r="N118" s="21" t="n"/>
      <c r="O118" s="21" t="n"/>
      <c r="P118" s="21" t="n"/>
      <c r="Q118" s="17">
        <f>IF(OR(A118="",B118=""),"",IF(AND(L118&lt;&gt;"",P118&lt;&gt;"",IF(L118="Wrong citation",AND(M118&lt;&gt;"",N118&lt;&gt;""),TRUE)),"Complete","Pending"))</f>
        <v/>
      </c>
    </row>
    <row r="119">
      <c r="A119" s="19" t="inlineStr">
        <is>
          <t>M015-Q01</t>
        </is>
      </c>
      <c r="B119" s="19" t="inlineStr">
        <is>
          <t>PROV-M015-002</t>
        </is>
      </c>
      <c r="C119" s="17" t="inlineStr">
        <is>
          <t>Registration of Documents (Amendment) Act No. 32 of 2022</t>
        </is>
      </c>
      <c r="D119" s="17" t="inlineStr">
        <is>
          <t>s.2 (1) inserting section 32(1)(a) of the principal enactment</t>
        </is>
      </c>
      <c r="E119" s="17" t="inlineStr">
        <is>
          <t>2025-10</t>
        </is>
      </c>
      <c r="F119" s="17" t="inlineStr">
        <is>
          <t>Current on reference date</t>
        </is>
      </c>
      <c r="G119" s="17" t="inlineStr">
        <is>
          <t>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t>
        </is>
      </c>
      <c r="H119" s="17" t="inlineStr">
        <is>
          <t>data/legal-sources/library/finalized/23-1927-registration-of-documents-ordinance/32-2022-registration-of-documents-ordinance-amendment.json</t>
        </is>
      </c>
      <c r="I119" s="17" t="inlineStr">
        <is>
          <t>Indispensable</t>
        </is>
      </c>
      <c r="J119" s="17" t="inlineStr">
        <is>
          <t>The operative substituted section 32(1)(a). It states who may present a caveat: a person who has, or claims to have, a right, title or interest in the land. Romani's entitlement stands or falls on this provision.
TEMPORAL: Act No. 32 of 2022 was enacted in 2022 and is in force at the matter reference date 2025-10. Corpus in_force_from_year = 2022; no later amendment to section 32 appears in the corpus (Act No. 18 of 2024 does not touch section 32).</t>
        </is>
      </c>
      <c r="K119" s="17" t="inlineStr">
        <is>
          <t>[verified]</t>
        </is>
      </c>
      <c r="L119" s="21" t="n"/>
      <c r="M119" s="21" t="n"/>
      <c r="N119" s="21" t="n"/>
      <c r="O119" s="21" t="n"/>
      <c r="P119" s="21" t="n"/>
      <c r="Q119" s="17">
        <f>IF(OR(A119="",B119=""),"",IF(AND(L119&lt;&gt;"",P119&lt;&gt;"",IF(L119="Wrong citation",AND(M119&lt;&gt;"",N119&lt;&gt;""),TRUE)),"Complete","Pending"))</f>
        <v/>
      </c>
    </row>
    <row r="120">
      <c r="A120" s="19" t="inlineStr">
        <is>
          <t>M015-Q01</t>
        </is>
      </c>
      <c r="B120" s="19" t="inlineStr">
        <is>
          <t>PROV-M015-003</t>
        </is>
      </c>
      <c r="C120" s="17" t="inlineStr">
        <is>
          <t>Registration of Documents (Amendment) Act No. 32 of 2022</t>
        </is>
      </c>
      <c r="D120" s="17" t="inlineStr">
        <is>
          <t>s.2 (1) inserting section 32(1)(c)(i) of the principal enactment</t>
        </is>
      </c>
      <c r="E120" s="17" t="inlineStr">
        <is>
          <t>2025-10</t>
        </is>
      </c>
      <c r="F120" s="17" t="inlineStr">
        <is>
          <t>Current on reference date</t>
        </is>
      </c>
      <c r="G120" s="17" t="inlineStr">
        <is>
          <t>"caveator" includes a body of persons, a beneficiary under any trust affecting a land, the lawful guardian or the next friend of a minor or of a person of unsound mind or mentally deficient person, an attorney of a person, a judgement creditor, an executor or an administrator of an estate of a deceased, or a legal heir, or an intended purchaser who has entered into an agreement with the owner of a land or a developer of a land</t>
        </is>
      </c>
      <c r="H120" s="17" t="inlineStr">
        <is>
          <t>data/legal-sources/library/finalized/23-1927-registration-of-documents-ordinance/32-2022-registration-of-documents-ordinance-amendment.json</t>
        </is>
      </c>
      <c r="I120" s="17" t="inlineStr">
        <is>
          <t>Indispensable</t>
        </is>
      </c>
      <c r="J120" s="17" t="inlineStr">
        <is>
          <t>The extended definition of "caveator". It answers the second limb of the question directly by listing the classes of person who may lodge a caveat beyond the registered owner, and it covers an attorney acting for an owner who is abroad.
TEMPORAL: Inserted by Act No. 32 of 2022, in force at 2025-10.</t>
        </is>
      </c>
      <c r="K120" s="17" t="inlineStr">
        <is>
          <t>[verified]</t>
        </is>
      </c>
      <c r="L120" s="21" t="n"/>
      <c r="M120" s="21" t="n"/>
      <c r="N120" s="21" t="n"/>
      <c r="O120" s="21" t="n"/>
      <c r="P120" s="21" t="n"/>
      <c r="Q120" s="17">
        <f>IF(OR(A120="",B120=""),"",IF(AND(L120&lt;&gt;"",P120&lt;&gt;"",IF(L120="Wrong citation",AND(M120&lt;&gt;"",N120&lt;&gt;""),TRUE)),"Complete","Pending"))</f>
        <v/>
      </c>
    </row>
    <row r="121">
      <c r="A121" s="19" t="inlineStr">
        <is>
          <t>M015-Q01</t>
        </is>
      </c>
      <c r="B121" s="19" t="inlineStr">
        <is>
          <t>PROV-M015-004</t>
        </is>
      </c>
      <c r="C121" s="17" t="inlineStr">
        <is>
          <t>Registration of Documents (Amendment) Act No. 32 of 2022</t>
        </is>
      </c>
      <c r="D121" s="17" t="inlineStr">
        <is>
          <t>s.2 (1) inserting section 32(1)(b)(i) of the principal enactment</t>
        </is>
      </c>
      <c r="E121" s="17" t="inlineStr">
        <is>
          <t>2025-10</t>
        </is>
      </c>
      <c r="F121" s="17" t="inlineStr">
        <is>
          <t>Current on reference date</t>
        </is>
      </c>
      <c r="G121" s="17" t="inlineStr">
        <is>
          <t>Every caveat presented for registration shall- (i) be in duplicate and accompanied by an affidavit of the caveator together with a certificate issued by an Attorney-at-law substantiating the right, title or interest in the land or claims to a right, title or interest in the land of the caveator;</t>
        </is>
      </c>
      <c r="H121" s="17" t="inlineStr">
        <is>
          <t>data/legal-sources/library/finalized/23-1927-registration-of-documents-ordinance/32-2022-registration-of-documents-ordinance-amendment.json</t>
        </is>
      </c>
      <c r="I121" s="17" t="inlineStr">
        <is>
          <t>Indispensable</t>
        </is>
      </c>
      <c r="J121" s="17" t="inlineStr">
        <is>
          <t>Standing alone is not enough: the substituted section makes the caveat conditional on duplicate lodgement, an affidavit and an attorney-at-law's certificate substantiating the claimed right, title or interest. Removing it would leave the answer stating an unconditional right.
TEMPORAL: Inserted by Act No. 32 of 2022, in force at 2025-10.</t>
        </is>
      </c>
      <c r="K121" s="17" t="inlineStr">
        <is>
          <t>[verified]</t>
        </is>
      </c>
      <c r="L121" s="21" t="n"/>
      <c r="M121" s="21" t="n"/>
      <c r="N121" s="21" t="n"/>
      <c r="O121" s="21" t="n"/>
      <c r="P121" s="21" t="n"/>
      <c r="Q121" s="17">
        <f>IF(OR(A121="",B121=""),"",IF(AND(L121&lt;&gt;"",P121&lt;&gt;"",IF(L121="Wrong citation",AND(M121&lt;&gt;"",N121&lt;&gt;""),TRUE)),"Complete","Pending"))</f>
        <v/>
      </c>
    </row>
    <row r="122">
      <c r="A122" s="19" t="inlineStr">
        <is>
          <t>M015-Q01</t>
        </is>
      </c>
      <c r="B122" s="19" t="inlineStr">
        <is>
          <t>PROV-M015-005</t>
        </is>
      </c>
      <c r="C122" s="17" t="inlineStr">
        <is>
          <t>Registration of Documents (Amendment) Act No. 32 of 2022</t>
        </is>
      </c>
      <c r="D122" s="17" t="inlineStr">
        <is>
          <t>s.2 (1) inserting section 32(1)(b)(iv) of the principal enactment</t>
        </is>
      </c>
      <c r="E122" s="17" t="inlineStr">
        <is>
          <t>2025-10</t>
        </is>
      </c>
      <c r="F122" s="17" t="inlineStr">
        <is>
          <t>Current on reference date</t>
        </is>
      </c>
      <c r="G122" s="17" t="inlineStr">
        <is>
          <t>contain the name, signature and the National Identity Card number or the passport number or the driving licence number and address of the caveator in Sri Lanka at which notices relating to the caveat shall be served, the date of the caveat, the names and addresses of the persons to whom the notice of the caveat shall be sent where the caveator is not the owner, the right, title or interest in the land claimed by the caveator, grounds in support of the claim and the description of the land</t>
        </is>
      </c>
      <c r="H122" s="17" t="inlineStr">
        <is>
          <t>data/legal-sources/library/finalized/23-1927-registration-of-documents-ordinance/32-2022-registration-of-documents-ordinance-amendment.json</t>
        </is>
      </c>
      <c r="I122" s="17" t="inlineStr">
        <is>
          <t>Indispensable</t>
        </is>
      </c>
      <c r="J122" s="17" t="inlineStr">
        <is>
          <t>Prescribes the mandatory contents, including an address of the caveator in Sri Lanka for service. This is the condition that bites on a caveator who is leaving the country, so it is necessary to a complete answer for Romani.
TEMPORAL: Inserted by Act No. 32 of 2022, in force at 2025-10.</t>
        </is>
      </c>
      <c r="K122" s="17" t="inlineStr">
        <is>
          <t>[verified]</t>
        </is>
      </c>
      <c r="L122" s="21" t="n"/>
      <c r="M122" s="21" t="n"/>
      <c r="N122" s="21" t="n"/>
      <c r="O122" s="21" t="n"/>
      <c r="P122" s="21" t="n"/>
      <c r="Q122" s="17">
        <f>IF(OR(A122="",B122=""),"",IF(AND(L122&lt;&gt;"",P122&lt;&gt;"",IF(L122="Wrong citation",AND(M122&lt;&gt;"",N122&lt;&gt;""),TRUE)),"Complete","Pending"))</f>
        <v/>
      </c>
    </row>
    <row r="123">
      <c r="A123" s="19" t="inlineStr">
        <is>
          <t>M015-Q01</t>
        </is>
      </c>
      <c r="B123" s="19" t="inlineStr">
        <is>
          <t>PROV-M015-901</t>
        </is>
      </c>
      <c r="C123" s="17" t="inlineStr">
        <is>
          <t>Registration of Documents (Amendment) Act No. 32 of 2022</t>
        </is>
      </c>
      <c r="D123" s="17" t="inlineStr">
        <is>
          <t>s.5 (1) substituting Form VIII of the Second Schedule to the principal enactment</t>
        </is>
      </c>
      <c r="E123" s="17" t="inlineStr">
        <is>
          <t>2025-10</t>
        </is>
      </c>
      <c r="F123" s="17" t="inlineStr">
        <is>
          <t>Current on reference date</t>
        </is>
      </c>
      <c r="G123" s="17" t="inlineStr">
        <is>
          <t>by the repeal of Form VIII thereof, and the substitution therefor, of the following new Form:- Take notice that, I, ............ (full name and the address of the caveator) bearing (NIC/passport/ driving licence) no.................. require to be served with notice of the presentation for registration of any instrument affecting land........ (owned by me / owned by other- specify the right/ title/ or interest) referred to in the Schedule hereto. And I further declare that I present this caveat in my behalf/ in behalf of ........................ (where the caveator is not the owner) on the following ground/s. Title under deed no............. Under the last will of............ Other (specify) ........................................... And I appoint (the address in Sri Lanka) as the place at which notices relating hereto shall be sent. ............................ (Signature of the caveator/his Attorney-at-Law or notary/attorney)</t>
        </is>
      </c>
      <c r="H123" s="17" t="inlineStr">
        <is>
          <t>data/legal-sources/library/finalized/23-1927-registration-of-documents-ordinance/32-2022-registration-of-documents-ordinance-amendment.json</t>
        </is>
      </c>
      <c r="I123" s="17" t="inlineStr">
        <is>
          <t>Indispensable</t>
        </is>
      </c>
      <c r="J123" s="17" t="inlineStr">
        <is>
          <t>Added by the verifier. Section 32(1)(a) as substituted requires the caveat to be substantially in Form VIII of the Second Schedule, and the gold answer's conclusion turns on lodging in Form VIII, but no provision in the map carried the Form. The substituted Form also shows on its face that it may be signed by the caveator's Attorney-at-Law or notary or attorney, which is the direct authority for the notary limb of the answer that PROV-M015-012 could only reach by inference.
TEMPORAL: Substituted by section 5(1) of Act No. 32 of 2022; in force at 2025-10. Act No. 18 of 2024 amends only the First Schedule (its section 8), not Form VIII.</t>
        </is>
      </c>
      <c r="K123" s="17" t="inlineStr">
        <is>
          <t>[verified] Added by the verifier; excerpt checked verbatim against 32-2022/s5.</t>
        </is>
      </c>
      <c r="L123" s="21" t="n"/>
      <c r="M123" s="21" t="n"/>
      <c r="N123" s="21" t="n"/>
      <c r="O123" s="21" t="n"/>
      <c r="P123" s="21" t="n"/>
      <c r="Q123" s="17">
        <f>IF(OR(A123="",B123=""),"",IF(AND(L123&lt;&gt;"",P123&lt;&gt;"",IF(L123="Wrong citation",AND(M123&lt;&gt;"",N123&lt;&gt;""),TRUE)),"Complete","Pending"))</f>
        <v/>
      </c>
    </row>
    <row r="124">
      <c r="A124" s="19" t="inlineStr">
        <is>
          <t>M015-Q01</t>
        </is>
      </c>
      <c r="B124" s="19" t="inlineStr">
        <is>
          <t>PROV-M015-006</t>
        </is>
      </c>
      <c r="C124" s="17" t="inlineStr">
        <is>
          <t>Registration of Documents (Amendment) Act No. 32 of 2022</t>
        </is>
      </c>
      <c r="D124" s="17" t="inlineStr">
        <is>
          <t>s.2 (1) inserting section 32(1)(c)(iii) of the principal enactment</t>
        </is>
      </c>
      <c r="E124" s="17" t="inlineStr">
        <is>
          <t>2025-10</t>
        </is>
      </c>
      <c r="F124" s="17" t="inlineStr">
        <is>
          <t>Current on reference date</t>
        </is>
      </c>
      <c r="G124" s="17" t="inlineStr">
        <is>
          <t>"interest" includes an interest arising from an unregistered deed or instrument relating to a land which is incapable of immediate registration, a trust, an inheritance either by testate or intestate succession, instruments relating to a mortgage or an agreement to sell, co-ownership, an ownership arising from a condominium parcel or the estate of a minor, or of a person of unsound mind or mentally deficient person.</t>
        </is>
      </c>
      <c r="H124" s="17" t="inlineStr">
        <is>
          <t>data/legal-sources/library/finalized/23-1927-registration-of-documents-ordinance/32-2022-registration-of-documents-ordinance-amendment.json</t>
        </is>
      </c>
      <c r="I124" s="17" t="inlineStr">
        <is>
          <t>Supporting</t>
        </is>
      </c>
      <c r="J124" s="17" t="inlineStr">
        <is>
          <t>Defines "interest" for the standing test, showing how far short of full ownership a caveator may be. It supports the second limb of the question but is not needed for Romani, who is an owner.
TEMPORAL: Inserted by Act No. 32 of 2022, in force at 2025-10.</t>
        </is>
      </c>
      <c r="K124" s="17" t="inlineStr">
        <is>
          <t>[verified]</t>
        </is>
      </c>
      <c r="L124" s="21" t="n"/>
      <c r="M124" s="21" t="n"/>
      <c r="N124" s="21" t="n"/>
      <c r="O124" s="21" t="n"/>
      <c r="P124" s="21" t="n"/>
      <c r="Q124" s="17">
        <f>IF(OR(A124="",B124=""),"",IF(AND(L124&lt;&gt;"",P124&lt;&gt;"",IF(L124="Wrong citation",AND(M124&lt;&gt;"",N124&lt;&gt;""),TRUE)),"Complete","Pending"))</f>
        <v/>
      </c>
    </row>
    <row r="125">
      <c r="A125" s="19" t="inlineStr">
        <is>
          <t>M015-Q01</t>
        </is>
      </c>
      <c r="B125" s="19" t="inlineStr">
        <is>
          <t>PROV-M015-007</t>
        </is>
      </c>
      <c r="C125" s="17" t="inlineStr">
        <is>
          <t>Registration of Documents (Amendment) Act No. 32 of 2022</t>
        </is>
      </c>
      <c r="D125" s="17" t="inlineStr">
        <is>
          <t>s.2 (1) inserting section 32(1)(b)(iii) of the principal enactment</t>
        </is>
      </c>
      <c r="E125" s="17" t="inlineStr">
        <is>
          <t>2025-10</t>
        </is>
      </c>
      <c r="F125" s="17" t="inlineStr">
        <is>
          <t>Current on reference date</t>
        </is>
      </c>
      <c r="G125" s="17" t="inlineStr">
        <is>
          <t>be accompanied by a certified copy of the original of the Power of Attorney duly registered with the Registrar General or the Registrar of the relevant Land Registry or the Registrar of Title (hereinafter in this section referred to as the "Registrar") where the caveator is a holder of a Power of Attorney</t>
        </is>
      </c>
      <c r="H125" s="17" t="inlineStr">
        <is>
          <t>data/legal-sources/library/finalized/23-1927-registration-of-documents-ordinance/32-2022-registration-of-documents-ordinance-amendment.json</t>
        </is>
      </c>
      <c r="I125" s="17" t="inlineStr">
        <is>
          <t>Supporting</t>
        </is>
      </c>
      <c r="J125" s="17" t="inlineStr">
        <is>
          <t>Where the caveat is lodged by an attorney rather than the owner personally, a certified copy of a duly registered power of attorney must accompany it. Relevant because Romani proposes to act through an attorney once she is abroad.
TEMPORAL: Inserted by Act No. 32 of 2022, in force at 2025-10.</t>
        </is>
      </c>
      <c r="K125" s="17" t="inlineStr">
        <is>
          <t>[verified]</t>
        </is>
      </c>
      <c r="L125" s="21" t="n"/>
      <c r="M125" s="21" t="n"/>
      <c r="N125" s="21" t="n"/>
      <c r="O125" s="21" t="n"/>
      <c r="P125" s="21" t="n"/>
      <c r="Q125" s="17">
        <f>IF(OR(A125="",B125=""),"",IF(AND(L125&lt;&gt;"",P125&lt;&gt;"",IF(L125="Wrong citation",AND(M125&lt;&gt;"",N125&lt;&gt;""),TRUE)),"Complete","Pending"))</f>
        <v/>
      </c>
    </row>
    <row r="126">
      <c r="A126" s="19" t="inlineStr">
        <is>
          <t>M015-Q01</t>
        </is>
      </c>
      <c r="B126" s="19" t="inlineStr">
        <is>
          <t>PROV-M015-008</t>
        </is>
      </c>
      <c r="C126" s="17" t="inlineStr">
        <is>
          <t>Registration of Documents (Amendment) Act No. 32 of 2022</t>
        </is>
      </c>
      <c r="D126" s="17" t="inlineStr">
        <is>
          <t>s.2 (3) substituting section 32(3) of the principal enactment</t>
        </is>
      </c>
      <c r="E126" s="17" t="inlineStr">
        <is>
          <t>2025-10</t>
        </is>
      </c>
      <c r="F126" s="17" t="inlineStr">
        <is>
          <t>Current on reference date</t>
        </is>
      </c>
      <c r="G126" s="17" t="inlineStr">
        <is>
          <t>by the repeal of subsection (3) thereof and the substitution therefor of the following subsection: - (3) A caveat shall be in force for a maximum period of two years.</t>
        </is>
      </c>
      <c r="H126" s="17" t="inlineStr">
        <is>
          <t>data/legal-sources/library/finalized/23-1927-registration-of-documents-ordinance/32-2022-registration-of-documents-ordinance-amendment.json</t>
        </is>
      </c>
      <c r="I126" s="17" t="inlineStr">
        <is>
          <t>Supporting</t>
        </is>
      </c>
      <c r="J126" s="17" t="inlineStr">
        <is>
          <t>Fixes the life of a caveat at two years. Material practical advice for a client who will be out of the country for longer, but not part of the standing test.
TEMPORAL: Substituted by Act No. 32 of 2022; replaces the earlier period tied to the fee paid. In force at 2025-10.</t>
        </is>
      </c>
      <c r="K126" s="17" t="inlineStr">
        <is>
          <t>[verified]</t>
        </is>
      </c>
      <c r="L126" s="21" t="n"/>
      <c r="M126" s="21" t="n"/>
      <c r="N126" s="21" t="n"/>
      <c r="O126" s="21" t="n"/>
      <c r="P126" s="21" t="n"/>
      <c r="Q126" s="17">
        <f>IF(OR(A126="",B126=""),"",IF(AND(L126&lt;&gt;"",P126&lt;&gt;"",IF(L126="Wrong citation",AND(M126&lt;&gt;"",N126&lt;&gt;""),TRUE)),"Complete","Pending"))</f>
        <v/>
      </c>
    </row>
    <row r="127">
      <c r="A127" s="19" t="inlineStr">
        <is>
          <t>M015-Q01</t>
        </is>
      </c>
      <c r="B127" s="19" t="inlineStr">
        <is>
          <t>PROV-M015-009</t>
        </is>
      </c>
      <c r="C127" s="17" t="inlineStr">
        <is>
          <t>Registration of Documents Ordinance No. 23 of 1927</t>
        </is>
      </c>
      <c r="D127" s="17" t="inlineStr">
        <is>
          <t>s.32 (2)</t>
        </is>
      </c>
      <c r="E127" s="17" t="inlineStr">
        <is>
          <t>2025-10</t>
        </is>
      </c>
      <c r="F127" s="17" t="inlineStr">
        <is>
          <t>Current on reference date</t>
        </is>
      </c>
      <c r="G127" s="17" t="inlineStr">
        <is>
          <t>(2) The Registrar shall on receiving a caveat register it in the same manner as other instruments, but shall retain the caveat.</t>
        </is>
      </c>
      <c r="H127" s="17" t="inlineStr">
        <is>
          <t>https://lankalaw.net/wp-content/uploads/2025/03/Registration-of-Documents-Consolidated-2024.pdf</t>
        </is>
      </c>
      <c r="I127" s="17" t="inlineStr">
        <is>
          <t>Supporting</t>
        </is>
      </c>
      <c r="J127" s="17" t="inlineStr">
        <is>
          <t>The registration duty that follows a properly lodged caveat, and part of the surviving framework of section 32 that the 2022 Act left untouched. Explains what filing actually achieves.
TEMPORAL: Subsection (2) was not amended by Act No. 32 of 2022 and remains in force at 2025-10. Note that subsections (1), (3), (4) and (5) of the same corpus section carry pre-2022 text.</t>
        </is>
      </c>
      <c r="K127" s="17" t="inlineStr">
        <is>
          <t>[verified]</t>
        </is>
      </c>
      <c r="L127" s="21" t="n"/>
      <c r="M127" s="21" t="n"/>
      <c r="N127" s="21" t="n"/>
      <c r="O127" s="21" t="n"/>
      <c r="P127" s="21" t="n"/>
      <c r="Q127" s="17">
        <f>IF(OR(A127="",B127=""),"",IF(AND(L127&lt;&gt;"",P127&lt;&gt;"",IF(L127="Wrong citation",AND(M127&lt;&gt;"",N127&lt;&gt;""),TRUE)),"Complete","Pending"))</f>
        <v/>
      </c>
    </row>
    <row r="128">
      <c r="A128" s="19" t="inlineStr">
        <is>
          <t>M015-Q01</t>
        </is>
      </c>
      <c r="B128" s="19" t="inlineStr">
        <is>
          <t>PROV-M015-010</t>
        </is>
      </c>
      <c r="C128" s="17" t="inlineStr">
        <is>
          <t>Registration of Documents (Amendment) Act No. 32 of 2022</t>
        </is>
      </c>
      <c r="D128" s="17" t="inlineStr">
        <is>
          <t>s.2 (5) substituting words in section 32(5) of the principal enactment</t>
        </is>
      </c>
      <c r="E128" s="17" t="inlineStr">
        <is>
          <t>2025-10</t>
        </is>
      </c>
      <c r="F128" s="17" t="inlineStr">
        <is>
          <t>Current on reference date</t>
        </is>
      </c>
      <c r="G128" s="17" t="inlineStr">
        <is>
          <t>in subsection (5) thereof, by the substitution for the words "a competent court within thirty days" of the words "a competent court within sixty days".</t>
        </is>
      </c>
      <c r="H128" s="17" t="inlineStr">
        <is>
          <t>data/legal-sources/library/finalized/23-1927-registration-of-documents-ordinance/32-2022-registration-of-documents-ordinance-amendment.json</t>
        </is>
      </c>
      <c r="I128" s="17" t="inlineStr">
        <is>
          <t>Supporting</t>
        </is>
      </c>
      <c r="J128" s="17" t="inlineStr">
        <is>
          <t>Extends to sixty days the window in which a caveator who receives notice must commence action to have the offending instrument rectified or cancelled. Explains the protective value of the caveat Romani wants.
TEMPORAL: Substituted by Act No. 32 of 2022; the corpus consolidation of section 32(5) still shows 'thirty days'. In force at 2025-10.</t>
        </is>
      </c>
      <c r="K128" s="17" t="inlineStr">
        <is>
          <t>[verified]</t>
        </is>
      </c>
      <c r="L128" s="21" t="n"/>
      <c r="M128" s="21" t="n"/>
      <c r="N128" s="21" t="n"/>
      <c r="O128" s="21" t="n"/>
      <c r="P128" s="21" t="n"/>
      <c r="Q128" s="17">
        <f>IF(OR(A128="",B128=""),"",IF(AND(L128&lt;&gt;"",P128&lt;&gt;"",IF(L128="Wrong citation",AND(M128&lt;&gt;"",N128&lt;&gt;""),TRUE)),"Complete","Pending"))</f>
        <v/>
      </c>
    </row>
    <row r="129">
      <c r="A129" s="19" t="inlineStr">
        <is>
          <t>M015-Q01</t>
        </is>
      </c>
      <c r="B129" s="19" t="inlineStr">
        <is>
          <t>PROV-M015-011</t>
        </is>
      </c>
      <c r="C129" s="17" t="inlineStr">
        <is>
          <t>Registration of Documents Ordinance No. 23 of 1927</t>
        </is>
      </c>
      <c r="D129" s="17" t="inlineStr">
        <is>
          <t>s.3</t>
        </is>
      </c>
      <c r="E129" s="17" t="inlineStr">
        <is>
          <t>2025-10</t>
        </is>
      </c>
      <c r="F129" s="17" t="inlineStr">
        <is>
          <t>Current on reference date</t>
        </is>
      </c>
      <c r="G129" s="17" t="inlineStr">
        <is>
          <t>In this Ordinance, unless the context otherwise requires, " land " includes things attached to the earth or permanently fastened to anything attached to the earth and any estate or interest in land, and a mortgage of or charge on land.</t>
        </is>
      </c>
      <c r="H129" s="17" t="inlineStr">
        <is>
          <t>https://lankalaw.net/wp-content/uploads/2025/03/Registration-of-Documents-Consolidated-2024.pdf</t>
        </is>
      </c>
      <c r="I129" s="17" t="inlineStr">
        <is>
          <t>Supporting</t>
        </is>
      </c>
      <c r="J129" s="17" t="inlineStr">
        <is>
          <t>The Ordinance definition of "land", which brings Romani's Battaramulla allotment and the house on it within the subject matter of a caveat.
TEMPORAL: Unamended since 1927 apart from the repeal of section 2A by Law No. 4 of 1974; in force at 2025-10.</t>
        </is>
      </c>
      <c r="K129" s="17" t="inlineStr">
        <is>
          <t>[partially_verified] Wording is verbatim and the section is in force, but the temporal note is wrong in form: the words about section 2A are a consolidation footnote carried in the body of section 3, not an amendment of section 3, which is itself unamended.</t>
        </is>
      </c>
      <c r="L129" s="21" t="n"/>
      <c r="M129" s="21" t="n"/>
      <c r="N129" s="21" t="n"/>
      <c r="O129" s="21" t="n"/>
      <c r="P129" s="21" t="n"/>
      <c r="Q129" s="17">
        <f>IF(OR(A129="",B129=""),"",IF(AND(L129&lt;&gt;"",P129&lt;&gt;"",IF(L129="Wrong citation",AND(M129&lt;&gt;"",N129&lt;&gt;""),TRUE)),"Complete","Pending"))</f>
        <v/>
      </c>
    </row>
    <row r="130">
      <c r="A130" s="19" t="inlineStr">
        <is>
          <t>M015-Q01</t>
        </is>
      </c>
      <c r="B130" s="19" t="inlineStr">
        <is>
          <t>PROV-M015-012</t>
        </is>
      </c>
      <c r="C130" s="17" t="inlineStr">
        <is>
          <t>Registration of Documents Ordinance No. 23 of 1927</t>
        </is>
      </c>
      <c r="D130" s="17" t="inlineStr">
        <is>
          <t>s.26 (1)(d)</t>
        </is>
      </c>
      <c r="E130" s="17" t="inlineStr">
        <is>
          <t>2025-10</t>
        </is>
      </c>
      <c r="F130" s="17" t="inlineStr">
        <is>
          <t>Current on reference date</t>
        </is>
      </c>
      <c r="G130" s="17" t="inlineStr">
        <is>
          <t>(1) An instrument may be presented for registration by" (a) any person executing the instrument; (b) any person claiming any interest or benefit thereunder; (c) any person having any interest in or charge on any property affected thereby; or (d) the agent of any such person or a attorney-at-law or notary acting on behalf of any such person.</t>
        </is>
      </c>
      <c r="H130" s="17" t="inlineStr">
        <is>
          <t>https://lankalaw.net/wp-content/uploads/2025/03/Registration-of-Documents-Consolidated-2024.pdf</t>
        </is>
      </c>
      <c r="I130" s="17" t="inlineStr">
        <is>
          <t>Supporting</t>
        </is>
      </c>
      <c r="J130" s="17" t="inlineStr">
        <is>
          <t>Confirms that a notary may present an instrument for registration on behalf of an entitled person, which is how the notary consulted by Romani would lodge the papers.
TEMPORAL: Unamended in the corpus text; in force at 2025-10.</t>
        </is>
      </c>
      <c r="K130" s="17" t="inlineStr">
        <is>
          <t>[partially_verified] Wording verbatim, but the role is inferential rather than confirmatory: section 25 defines "instrument" for that Chapter as an instrument affecting land or a pledge, mortgage or bill of sale, which does not plainly cover a caveat, so the notary route is better supported by Form VIII as substituted by section 5(1) of Act No. 32 of 2022 (PROV-M015-901), which is signed by the caveator, his Attorney-at-Law or notary, or his attorney. Demoted to supporting weight.</t>
        </is>
      </c>
      <c r="L130" s="21" t="n"/>
      <c r="M130" s="21" t="n"/>
      <c r="N130" s="21" t="n"/>
      <c r="O130" s="21" t="n"/>
      <c r="P130" s="21" t="n"/>
      <c r="Q130" s="17">
        <f>IF(OR(A130="",B130=""),"",IF(AND(L130&lt;&gt;"",P130&lt;&gt;"",IF(L130="Wrong citation",AND(M130&lt;&gt;"",N130&lt;&gt;""),TRUE)),"Complete","Pending"))</f>
        <v/>
      </c>
    </row>
    <row r="131">
      <c r="A131" s="19" t="inlineStr">
        <is>
          <t>M015-Q01</t>
        </is>
      </c>
      <c r="B131" s="19" t="inlineStr">
        <is>
          <t>PROV-M015-013</t>
        </is>
      </c>
      <c r="C131" s="17" t="inlineStr">
        <is>
          <t>Powers of Attorney Ordinance No. 4 of 1902</t>
        </is>
      </c>
      <c r="D131" s="17" t="inlineStr">
        <is>
          <t>s.3 (a)</t>
        </is>
      </c>
      <c r="E131" s="17" t="inlineStr">
        <is>
          <t>2025-10</t>
        </is>
      </c>
      <c r="F131" s="17" t="inlineStr">
        <is>
          <t>Current on reference date</t>
        </is>
      </c>
      <c r="G131" s="17" t="inlineStr">
        <is>
          <t>(a) Every power of attorney executed in Sri Lanka or any other country shall be registered with the Registrar General.</t>
        </is>
      </c>
      <c r="H131" s="17" t="inlineStr">
        <is>
          <t>https://www.rgd.gov.lk/web/images/ActsPDF/notary/powers-of-Attorney-English.pdf</t>
        </is>
      </c>
      <c r="I131" s="17" t="inlineStr">
        <is>
          <t>Supporting</t>
        </is>
      </c>
      <c r="J131" s="17" t="inlineStr">
        <is>
          <t>A power of attorney relied on by an attorney-caveator must be registered. Supports the route open to Romani after she leaves the country.
TEMPORAL: Section 3 was repealed and substituted by section 3 of Act No. 28 of 2022; the substituted text is what the corpus carries and it is in force at 2025-10.</t>
        </is>
      </c>
      <c r="K131" s="17" t="inlineStr">
        <is>
          <t>[partially_verified] Wording verbatim and in force, but the citation should be section 3(1)(a): the corpus body of 4-1902/s3 drops the "(1)" marker while its subsection (2) refers back to the power of attorney referred to in subsection (1).</t>
        </is>
      </c>
      <c r="L131" s="21" t="n"/>
      <c r="M131" s="21" t="n"/>
      <c r="N131" s="21" t="n"/>
      <c r="O131" s="21" t="n"/>
      <c r="P131" s="21" t="n"/>
      <c r="Q131" s="17">
        <f>IF(OR(A131="",B131=""),"",IF(AND(L131&lt;&gt;"",P131&lt;&gt;"",IF(L131="Wrong citation",AND(M131&lt;&gt;"",N131&lt;&gt;""),TRUE)),"Complete","Pending"))</f>
        <v/>
      </c>
    </row>
    <row r="132">
      <c r="A132" s="19" t="inlineStr">
        <is>
          <t>M015-Q01</t>
        </is>
      </c>
      <c r="B132" s="19" t="inlineStr">
        <is>
          <t>PROV-M015-902</t>
        </is>
      </c>
      <c r="C132" s="17" t="inlineStr">
        <is>
          <t>Registration of Documents (Amendment) Act No. 32 of 2022</t>
        </is>
      </c>
      <c r="D132" s="17" t="inlineStr">
        <is>
          <t>s.2 (2) inserting section 32(1A) of the principal enactment</t>
        </is>
      </c>
      <c r="E132" s="17" t="inlineStr">
        <is>
          <t>2025-10</t>
        </is>
      </c>
      <c r="F132" s="17" t="inlineStr">
        <is>
          <t>Current on reference date</t>
        </is>
      </c>
      <c r="G132" s="17" t="inlineStr">
        <is>
          <t>(1A) The Registrar, on being satisfied that all required documents and information referred to in paragraph (b) of subsection (1) are provided by the caveator, shall acknowledge the receipt of such caveat and record the prescribed particulars referred to in subsection (1) of section 27.</t>
        </is>
      </c>
      <c r="H132" s="17" t="inlineStr">
        <is>
          <t>data/legal-sources/library/finalized/23-1927-registration-of-documents-ordinance/32-2022-registration-of-documents-ordinance-amendment.json</t>
        </is>
      </c>
      <c r="I132" s="17" t="inlineStr">
        <is>
          <t>Supporting</t>
        </is>
      </c>
      <c r="J132" s="17" t="inlineStr">
        <is>
          <t>Added by the verifier. This is the provision that makes the paragraph (b) requirements operative: acceptance of the caveat depends on the Registrar being satisfied that all of them are met. The map relied on that step in the enrichment counterfactual for FACT-M015-Q01-002 and in CL-M015-Q01-010 without citing any provision for it.
TEMPORAL: Inserted by section 2(2) of Act No. 32 of 2022; in force at 2025-10.</t>
        </is>
      </c>
      <c r="K132" s="17" t="inlineStr">
        <is>
          <t>[verified] Added by the verifier; excerpt checked verbatim against 32-2022/s2.</t>
        </is>
      </c>
      <c r="L132" s="21" t="n"/>
      <c r="M132" s="21" t="n"/>
      <c r="N132" s="21" t="n"/>
      <c r="O132" s="21" t="n"/>
      <c r="P132" s="21" t="n"/>
      <c r="Q132" s="17">
        <f>IF(OR(A132="",B132=""),"",IF(AND(L132&lt;&gt;"",P132&lt;&gt;"",IF(L132="Wrong citation",AND(M132&lt;&gt;"",N132&lt;&gt;""),TRUE)),"Complete","Pending"))</f>
        <v/>
      </c>
    </row>
    <row r="133">
      <c r="A133" s="19" t="inlineStr">
        <is>
          <t>M015-Q01</t>
        </is>
      </c>
      <c r="B133" s="19" t="inlineStr">
        <is>
          <t>PROV-M015-903</t>
        </is>
      </c>
      <c r="C133" s="17" t="inlineStr">
        <is>
          <t>Registration of Documents Ordinance No. 23 of 1927</t>
        </is>
      </c>
      <c r="D133" s="17" t="inlineStr">
        <is>
          <t>s.32 (5)</t>
        </is>
      </c>
      <c r="E133" s="17" t="inlineStr">
        <is>
          <t>2025-10</t>
        </is>
      </c>
      <c r="F133" s="17" t="inlineStr">
        <is>
          <t>Current on reference date</t>
        </is>
      </c>
      <c r="G133" s="17" t="inlineStr">
        <is>
          <t>(5) 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 and may order the necessary correction to be made in the register.</t>
        </is>
      </c>
      <c r="H133" s="17" t="inlineStr">
        <is>
          <t>https://lankalaw.net/wp-content/uploads/2025/03/Registration-of-Documents-Consolidated-2024.pdf</t>
        </is>
      </c>
      <c r="I133" s="17" t="inlineStr">
        <is>
          <t>Supporting</t>
        </is>
      </c>
      <c r="J133" s="17" t="inlineStr">
        <is>
          <t>Added by the verifier. CL-M015-Q01-008 asserts a sixty-day window running from the posting of the notice, but PROV-M015-010 carries only the amending words substituting sixty days for thirty days and PROV-M015-009 quotes only subsection (2); nothing in the map carried the host subsection that supplies the trigger, the running point and the relief.
TEMPORAL: The corpus copy is the 1990 consolidation and still reads thirty days. Read with section 2(5) of Act No. 32 of 2022 (PROV-M015-010), the period is sixty days at 2025-10; the rest of the subsection is unamended.</t>
        </is>
      </c>
      <c r="K133" s="17" t="inlineStr">
        <is>
          <t>[verified] Added by the verifier; excerpt checked verbatim against 23-1927/s32. The quoted thirty days is superseded, see temporal_note.</t>
        </is>
      </c>
      <c r="L133" s="21" t="n"/>
      <c r="M133" s="21" t="n"/>
      <c r="N133" s="21" t="n"/>
      <c r="O133" s="21" t="n"/>
      <c r="P133" s="21" t="n"/>
      <c r="Q133" s="17">
        <f>IF(OR(A133="",B133=""),"",IF(AND(L133&lt;&gt;"",P133&lt;&gt;"",IF(L133="Wrong citation",AND(M133&lt;&gt;"",N133&lt;&gt;""),TRUE)),"Complete","Pending"))</f>
        <v/>
      </c>
    </row>
    <row r="134">
      <c r="A134" s="19" t="inlineStr">
        <is>
          <t>M015-Q01</t>
        </is>
      </c>
      <c r="B134" s="19" t="inlineStr">
        <is>
          <t>PROV-M015-904</t>
        </is>
      </c>
      <c r="C134" s="17" t="inlineStr">
        <is>
          <t>Registration of Documents (Amendment) Act No. 32 of 2022</t>
        </is>
      </c>
      <c r="D134" s="17" t="inlineStr">
        <is>
          <t>s.2 (1) inserting section 32(1)(b)(ii) of the principal enactment</t>
        </is>
      </c>
      <c r="E134" s="17" t="inlineStr">
        <is>
          <t>2025-10</t>
        </is>
      </c>
      <c r="F134" s="17" t="inlineStr">
        <is>
          <t>Current on reference date</t>
        </is>
      </c>
      <c r="G134" s="17" t="inlineStr">
        <is>
          <t>be accompanied by such number of copies of the notice set out in Form X of the Second Schedule hereto together with stamped envelopes, to be served on the owners of the land whose names and addresses are given in the relevant volume and folio in which such land is registered, where the caveator is not the owner</t>
        </is>
      </c>
      <c r="H134" s="17" t="inlineStr">
        <is>
          <t>data/legal-sources/library/finalized/23-1927-registration-of-documents-ordinance/32-2022-registration-of-documents-ordinance-amendment.json</t>
        </is>
      </c>
      <c r="I134" s="17" t="inlineStr">
        <is>
          <t>Supporting</t>
        </is>
      </c>
      <c r="J134" s="17" t="inlineStr">
        <is>
          <t>Added by the verifier. CL-M015-Q01-012 and the gold answer say the Form X notices to other owners do not arise because Romani is the owner, and the gold answer cites section 32(1)(b)(ii) by number, but no provision in the map carried it.
TEMPORAL: Inserted by section 2(1) of Act No. 32 of 2022; in force at 2025-10.</t>
        </is>
      </c>
      <c r="K134" s="17" t="inlineStr">
        <is>
          <t>[verified] Added by the verifier; excerpt checked verbatim against 32-2022/s2.</t>
        </is>
      </c>
      <c r="L134" s="21" t="n"/>
      <c r="M134" s="21" t="n"/>
      <c r="N134" s="21" t="n"/>
      <c r="O134" s="21" t="n"/>
      <c r="P134" s="21" t="n"/>
      <c r="Q134" s="17">
        <f>IF(OR(A134="",B134=""),"",IF(AND(L134&lt;&gt;"",P134&lt;&gt;"",IF(L134="Wrong citation",AND(M134&lt;&gt;"",N134&lt;&gt;""),TRUE)),"Complete","Pending"))</f>
        <v/>
      </c>
    </row>
    <row r="135">
      <c r="A135" s="19" t="inlineStr">
        <is>
          <t>M015-Q01</t>
        </is>
      </c>
      <c r="B135" s="19" t="inlineStr">
        <is>
          <t>PROV-M015-001</t>
        </is>
      </c>
      <c r="C135" s="17" t="inlineStr">
        <is>
          <t>Registration of Documents Ordinance No. 23 of 1927</t>
        </is>
      </c>
      <c r="D135" s="17" t="inlineStr">
        <is>
          <t>s.32 (1) (as originally enacted)</t>
        </is>
      </c>
      <c r="E135" s="17" t="inlineStr">
        <is>
          <t>2025-10</t>
        </is>
      </c>
      <c r="F135" s="17" t="inlineStr">
        <is>
          <t>Unclear</t>
        </is>
      </c>
      <c r="G135" s="17" t="inlineStr">
        <is>
          <t>(1) Any person (in this Ordinance called a "caveator") may present for registration a caveat in the prescribed form requiring to be served with notice of the presentation for registration of any instrument affecting the land described in the caveat.</t>
        </is>
      </c>
      <c r="H135" s="17" t="inlineStr">
        <is>
          <t>https://lankalaw.net/wp-content/uploads/2025/03/Registration-of-Documents-Consolidated-2024.pdf</t>
        </is>
      </c>
      <c r="I135" s="17" t="inlineStr">
        <is>
          <t>Background</t>
        </is>
      </c>
      <c r="J135" s="17" t="inlineStr">
        <is>
          <t>The original test of standing: "any person" could lodge a caveat. It is the text the question contrasts with ("the Registration of Documents Ordinance which is amended"), and it shows what the 2022 substitution changed.
TEMPORAL: Repealed and substituted by section 2(1) of Act No. 32 of 2022. The corpus copy of the Ordinance is the 1990 consolidation and therefore still carries the pre-2022 wording. Not in force in this form at 2025-10; recorded as background contrast only.</t>
        </is>
      </c>
      <c r="K135" s="17" t="inlineStr">
        <is>
          <t>[verified]</t>
        </is>
      </c>
      <c r="L135" s="21" t="n"/>
      <c r="M135" s="21" t="n"/>
      <c r="N135" s="21" t="n"/>
      <c r="O135" s="21" t="n"/>
      <c r="P135" s="21" t="n"/>
      <c r="Q135" s="17">
        <f>IF(OR(A135="",B135=""),"",IF(AND(L135&lt;&gt;"",P135&lt;&gt;"",IF(L135="Wrong citation",AND(M135&lt;&gt;"",N135&lt;&gt;""),TRUE)),"Complete","Pending"))</f>
        <v/>
      </c>
    </row>
    <row r="136">
      <c r="A136" s="19" t="inlineStr">
        <is>
          <t>M015-Q01</t>
        </is>
      </c>
      <c r="B136" s="19" t="inlineStr">
        <is>
          <t>PROV-M015-014</t>
        </is>
      </c>
      <c r="C136" s="17" t="inlineStr">
        <is>
          <t>Registration of Documents (Amendment) Act No. 32 of 2022</t>
        </is>
      </c>
      <c r="D136" s="17" t="inlineStr">
        <is>
          <t>s.3 (2) inserting section 33(1)(a) of the principal enactment</t>
        </is>
      </c>
      <c r="E136" s="17" t="inlineStr">
        <is>
          <t>2025-10</t>
        </is>
      </c>
      <c r="F136" s="17" t="inlineStr">
        <is>
          <t>Current on reference date</t>
        </is>
      </c>
      <c r="G136" s="17" t="inlineStr">
        <is>
          <t>A caveat may be withdrawn or cancelled, as the case may be, at the request in writing - (i) by the caveator; (ii) by an attorney; (iii) upon the death of a caveator, by an executor, administrator, or a legal heir;</t>
        </is>
      </c>
      <c r="H136" s="17" t="inlineStr">
        <is>
          <t>data/legal-sources/library/finalized/23-1927-registration-of-documents-ordinance/32-2022-registration-of-documents-ordinance-amendment.json</t>
        </is>
      </c>
      <c r="I136" s="17" t="inlineStr">
        <is>
          <t>Background</t>
        </is>
      </c>
      <c r="J136" s="17" t="inlineStr">
        <is>
          <t>Shows the mirror image of the standing question: who may take a caveat off the register. Context only for this question.
TEMPORAL: Inserted by Act No. 32 of 2022, in force at 2025-10.</t>
        </is>
      </c>
      <c r="K136" s="17" t="inlineStr">
        <is>
          <t>[partially_verified] Wording verbatim, but the subsection label is wrong: section 3(2) of Act No. 32 of 2022 adds a new subsection immediately after section 33(1) whose paragraphs are lettered (a) and (b); it does not insert a "section 33(1)(a)". Section 3(1) of the same Act also deletes the word caveat from section 33(1), so withdrawal of a caveat now runs only through the new subsection.</t>
        </is>
      </c>
      <c r="L136" s="21" t="n"/>
      <c r="M136" s="21" t="n"/>
      <c r="N136" s="21" t="n"/>
      <c r="O136" s="21" t="n"/>
      <c r="P136" s="21" t="n"/>
      <c r="Q136" s="17">
        <f>IF(OR(A136="",B136=""),"",IF(AND(L136&lt;&gt;"",P136&lt;&gt;"",IF(L136="Wrong citation",AND(M136&lt;&gt;"",N136&lt;&gt;""),TRUE)),"Complete","Pending"))</f>
        <v/>
      </c>
    </row>
    <row r="137">
      <c r="A137" s="19" t="inlineStr">
        <is>
          <t>M016-Q01</t>
        </is>
      </c>
      <c r="B137" s="19" t="inlineStr">
        <is>
          <t>PROV-M016-001</t>
        </is>
      </c>
      <c r="C137" s="17" t="inlineStr">
        <is>
          <t>Registration of Documents Ordinance No. 23 of 1927</t>
        </is>
      </c>
      <c r="D137" s="17" t="inlineStr">
        <is>
          <t>s.32 (5)</t>
        </is>
      </c>
      <c r="E137" s="17" t="inlineStr">
        <is>
          <t>2025-10</t>
        </is>
      </c>
      <c r="F137" s="17" t="inlineStr">
        <is>
          <t>Current on reference date</t>
        </is>
      </c>
      <c r="G137" s="17" t="inlineStr">
        <is>
          <t>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t>
        </is>
      </c>
      <c r="H137" s="17" t="inlineStr">
        <is>
          <t>https://lankalaw.net/wp-content/uploads/2025/03/Registration-of-Documents-Consolidated-2024.pdf</t>
        </is>
      </c>
      <c r="I137" s="17" t="inlineStr">
        <is>
          <t>Indispensable</t>
        </is>
      </c>
      <c r="J137" s="17" t="inlineStr">
        <is>
          <t>This is the provision that fixes the time limit the question asks about: the caveator must commence the action in a competent court within the stated number of days from the posting of the notice of presentation.
TEMPORAL: In force since 1927. The corpus text is the 1990 consolidation and still reads 'thirty days'; that figure was replaced by 'sixty days' by Act No. 32 of 2022, s.2(5), so at the matter date (2025-10) subsection (5) must be read with sixty days substituted. The rest of the subsection is unchanged.</t>
        </is>
      </c>
      <c r="K137" s="17" t="inlineStr">
        <is>
          <t>[verified]</t>
        </is>
      </c>
      <c r="L137" s="21" t="n"/>
      <c r="M137" s="21" t="n"/>
      <c r="N137" s="21" t="n"/>
      <c r="O137" s="21" t="n"/>
      <c r="P137" s="21" t="n"/>
      <c r="Q137" s="17">
        <f>IF(OR(A137="",B137=""),"",IF(AND(L137&lt;&gt;"",P137&lt;&gt;"",IF(L137="Wrong citation",AND(M137&lt;&gt;"",N137&lt;&gt;""),TRUE)),"Complete","Pending"))</f>
        <v/>
      </c>
    </row>
    <row r="138">
      <c r="A138" s="19" t="inlineStr">
        <is>
          <t>M016-Q01</t>
        </is>
      </c>
      <c r="B138" s="19" t="inlineStr">
        <is>
          <t>PROV-M016-002</t>
        </is>
      </c>
      <c r="C138" s="17" t="inlineStr">
        <is>
          <t>Registration of Documents (Amendment) Act No. 32 of 2022</t>
        </is>
      </c>
      <c r="D138" s="17" t="inlineStr">
        <is>
          <t>s.2 (5)</t>
        </is>
      </c>
      <c r="E138" s="17" t="inlineStr">
        <is>
          <t>2025-10</t>
        </is>
      </c>
      <c r="F138" s="17" t="inlineStr">
        <is>
          <t>Current on reference date</t>
        </is>
      </c>
      <c r="G138" s="17" t="inlineStr">
        <is>
          <t>(5) in subsection (5) thereof, by the substitution for the words "a competent court within thirty days" of the words "a competent court within sixty days".</t>
        </is>
      </c>
      <c r="H138" s="17" t="inlineStr">
        <is>
          <t>data/legal-sources/library/finalized/23-1927-registration-of-documents-ordinance/32-2022-registration-of-documents-ordinance-amendment.json</t>
        </is>
      </c>
      <c r="I138" s="17" t="inlineStr">
        <is>
          <t>Indispensable</t>
        </is>
      </c>
      <c r="J138" s="17" t="inlineStr">
        <is>
          <t>Supplies the number the question asks for. It substitutes sixty days for thirty days in section 32(5) of the Ordinance, so a caveator notified in 2025 has sixty days, not thirty.
TEMPORAL: Enacted 2022, before the October 2025 matter date. The corpus copy carries no commencement section (32-2022/s1 is the short title only), so the amendment is taken to operate from certification in 2022; see corpus_gaps.</t>
        </is>
      </c>
      <c r="K138" s="17" t="inlineStr">
        <is>
          <t>[partially_verified] Excerpt is verbatim in 32-2022/s2 and the substitution of sixty for thirty days is exactly as stated, but the corpus copy of Act No. 32 of 2022 has no date-of-operation clause (s 1 is short title only, unlike 21-2013/s1 and 18-2024/s1 which are headed 'Short title and date of operation'), so operation before June 2025 is inferred from the absence of a deferred-commencement clause and the corpus in_force_from_year of 2022, not proved from the corpus.</t>
        </is>
      </c>
      <c r="L138" s="21" t="n"/>
      <c r="M138" s="21" t="n"/>
      <c r="N138" s="21" t="n"/>
      <c r="O138" s="21" t="n"/>
      <c r="P138" s="21" t="n"/>
      <c r="Q138" s="17">
        <f>IF(OR(A138="",B138=""),"",IF(AND(L138&lt;&gt;"",P138&lt;&gt;"",IF(L138="Wrong citation",AND(M138&lt;&gt;"",N138&lt;&gt;""),TRUE)),"Complete","Pending"))</f>
        <v/>
      </c>
    </row>
    <row r="139">
      <c r="A139" s="19" t="inlineStr">
        <is>
          <t>M016-Q01</t>
        </is>
      </c>
      <c r="B139" s="19" t="inlineStr">
        <is>
          <t>PROV-M016-003</t>
        </is>
      </c>
      <c r="C139" s="17" t="inlineStr">
        <is>
          <t>Registration of Documents Ordinance No. 23 of 1927</t>
        </is>
      </c>
      <c r="D139" s="17" t="inlineStr">
        <is>
          <t>s.32 (4)</t>
        </is>
      </c>
      <c r="E139" s="17" t="inlineStr">
        <is>
          <t>2025-10</t>
        </is>
      </c>
      <c r="F139" s="17" t="inlineStr">
        <is>
          <t>Current on reference date</t>
        </is>
      </c>
      <c r="G139" s="17" t="inlineStr">
        <is>
          <t>(4) The notice to be given to the caveator shall be in the prescribed form and shall be sent by registered letter to the address mentioned in the caveat.</t>
        </is>
      </c>
      <c r="H139" s="17" t="inlineStr">
        <is>
          <t>https://lankalaw.net/wp-content/uploads/2025/03/Registration-of-Documents-Consolidated-2024.pdf</t>
        </is>
      </c>
      <c r="I139" s="17" t="inlineStr">
        <is>
          <t>Indispensable</t>
        </is>
      </c>
      <c r="J139" s="17" t="inlineStr">
        <is>
          <t>Identifies the notice from whose posting the period runs. Without it the time limit in subsection (5) has no starting point, so the answer cannot be stated without it.
TEMPORAL: In force since 1927; the opening words were replaced by Act No. 32 of 2022, s.2(4), which changed the description of the notice but not the fact that a notice is given to the caveator and posted to the address in the caveat.</t>
        </is>
      </c>
      <c r="K139" s="17" t="inlineStr">
        <is>
          <t>[partially_verified] Excerpt is verbatim in the 1990 consolidation but is the pre-2022 text: 32-2022/s2(4) replaced the opening words 'The notice to be given to the caveator shall be in the prescribed form', so only the surviving tail 'and shall be sent by registered letter to the address mentioned in the caveat' is the operative support at the matter date.</t>
        </is>
      </c>
      <c r="L139" s="21" t="n"/>
      <c r="M139" s="21" t="n"/>
      <c r="N139" s="21" t="n"/>
      <c r="O139" s="21" t="n"/>
      <c r="P139" s="21" t="n"/>
      <c r="Q139" s="17">
        <f>IF(OR(A139="",B139=""),"",IF(AND(L139&lt;&gt;"",P139&lt;&gt;"",IF(L139="Wrong citation",AND(M139&lt;&gt;"",N139&lt;&gt;""),TRUE)),"Complete","Pending"))</f>
        <v/>
      </c>
    </row>
    <row r="140">
      <c r="A140" s="19" t="inlineStr">
        <is>
          <t>M016-Q01</t>
        </is>
      </c>
      <c r="B140" s="19" t="inlineStr">
        <is>
          <t>PROV-M016-004</t>
        </is>
      </c>
      <c r="C140" s="17" t="inlineStr">
        <is>
          <t>Registration of Documents (Amendment) Act No. 32 of 2022</t>
        </is>
      </c>
      <c r="D140" s="17" t="inlineStr">
        <is>
          <t>s.2 (4)</t>
        </is>
      </c>
      <c r="E140" s="17" t="inlineStr">
        <is>
          <t>2025-10</t>
        </is>
      </c>
      <c r="F140" s="17" t="inlineStr">
        <is>
          <t>Current on reference date</t>
        </is>
      </c>
      <c r="G140" s="17" t="inlineStr">
        <is>
          <t>(4) in subsection (4) thereof, by the substitution for the words "The notice to be given to the caveator shall be in the prescribed form", of the words and figures "Where an instrument affecting the same land described in the caveat has been subsequently presented for registration, a notice shall be given to the caveator in Form XI of the Second Schedule hereto"</t>
        </is>
      </c>
      <c r="H140" s="17" t="inlineStr">
        <is>
          <t>data/legal-sources/library/finalized/23-1927-registration-of-documents-ordinance/32-2022-registration-of-documents-ordinance-amendment.json</t>
        </is>
      </c>
      <c r="I140" s="17" t="inlineStr">
        <is>
          <t>Supporting</t>
        </is>
      </c>
      <c r="J140" s="17" t="inlineStr">
        <is>
          <t>Gives the current form of the notice under section 32(4) and confirms that the notice is the one issued when an instrument affecting the same land is subsequently presented for registration, which is the trigger event in the scenario.
TEMPORAL: Enacted 2022, before the matter date; same commencement caveat as PROV-M016-002.</t>
        </is>
      </c>
      <c r="K140" s="17" t="inlineStr">
        <is>
          <t>[verified]</t>
        </is>
      </c>
      <c r="L140" s="21" t="n"/>
      <c r="M140" s="21" t="n"/>
      <c r="N140" s="21" t="n"/>
      <c r="O140" s="21" t="n"/>
      <c r="P140" s="21" t="n"/>
      <c r="Q140" s="17">
        <f>IF(OR(A140="",B140=""),"",IF(AND(L140&lt;&gt;"",P140&lt;&gt;"",IF(L140="Wrong citation",AND(M140&lt;&gt;"",N140&lt;&gt;""),TRUE)),"Complete","Pending"))</f>
        <v/>
      </c>
    </row>
    <row r="141">
      <c r="A141" s="19" t="inlineStr">
        <is>
          <t>M016-Q01</t>
        </is>
      </c>
      <c r="B141" s="19" t="inlineStr">
        <is>
          <t>PROV-M016-005</t>
        </is>
      </c>
      <c r="C141" s="17" t="inlineStr">
        <is>
          <t>Registration of Documents (Amendment) Act No. 32 of 2022</t>
        </is>
      </c>
      <c r="D141" s="17" t="inlineStr">
        <is>
          <t>s.2 (3)</t>
        </is>
      </c>
      <c r="E141" s="17" t="inlineStr">
        <is>
          <t>2025-10</t>
        </is>
      </c>
      <c r="F141" s="17" t="inlineStr">
        <is>
          <t>Current on reference date</t>
        </is>
      </c>
      <c r="G141" s="17" t="inlineStr">
        <is>
          <t>(3) by the repeal of subsection (3) thereof and the substitution therefor of the following subsection: - (3) A caveat shall be in force for a maximum period of two years.</t>
        </is>
      </c>
      <c r="H141" s="17" t="inlineStr">
        <is>
          <t>data/legal-sources/library/finalized/23-1927-registration-of-documents-ordinance/32-2022-registration-of-documents-ordinance-amendment.json</t>
        </is>
      </c>
      <c r="I141" s="17" t="inlineStr">
        <is>
          <t>Background</t>
        </is>
      </c>
      <c r="J141" s="17" t="inlineStr">
        <is>
          <t>Background only: it fixes the maximum currency of a caveat, which is what makes the scenario premise that the caveat was still in force when the instrument was presented a coherent one.
TEMPORAL: Enacted 2022, before the matter date; replaces the earlier rule that the caveat ran for the period specified in it.</t>
        </is>
      </c>
      <c r="K141" s="17" t="inlineStr">
        <is>
          <t>[verified]</t>
        </is>
      </c>
      <c r="L141" s="21" t="n"/>
      <c r="M141" s="21" t="n"/>
      <c r="N141" s="21" t="n"/>
      <c r="O141" s="21" t="n"/>
      <c r="P141" s="21" t="n"/>
      <c r="Q141" s="17">
        <f>IF(OR(A141="",B141=""),"",IF(AND(L141&lt;&gt;"",P141&lt;&gt;"",IF(L141="Wrong citation",AND(M141&lt;&gt;"",N141&lt;&gt;""),TRUE)),"Complete","Pending"))</f>
        <v/>
      </c>
    </row>
    <row r="142">
      <c r="A142" s="19" t="inlineStr">
        <is>
          <t>M021-Q01</t>
        </is>
      </c>
      <c r="B142" s="19" t="inlineStr">
        <is>
          <t>PROV-M021-001</t>
        </is>
      </c>
      <c r="C142" s="17" t="inlineStr">
        <is>
          <t>Wills Ordinance No. 21 of 1844</t>
        </is>
      </c>
      <c r="D142" s="17" t="inlineStr">
        <is>
          <t>s.2 (1)</t>
        </is>
      </c>
      <c r="E142" s="17" t="inlineStr">
        <is>
          <t>2025-10</t>
        </is>
      </c>
      <c r="F142" s="17" t="inlineStr">
        <is>
          <t>Current on reference date</t>
        </is>
      </c>
      <c r="G142" s="17" t="inlineStr">
        <is>
          <t>It shall be lawful for any person who has reached the age of eighteen years and residing within or outside Sri Lanka to execute a will bequeathing and disposing any movable and immovable property</t>
        </is>
      </c>
      <c r="H142" s="17" t="inlineStr">
        <is>
          <t>https://lankalaw.net/wp-content/uploads/2025/03/Wills-Consolidated-2024.pdf</t>
        </is>
      </c>
      <c r="I142" s="17" t="inlineStr">
        <is>
          <t>Indispensable</t>
        </is>
      </c>
      <c r="J142" s="17" t="inlineStr">
        <is>
          <t>This is the operative age rule. As substituted in 2022 it fixes eighteen completed years as the age at which a person becomes competent to execute a will, and it covers persons residing within or outside Sri Lanka and both movable and immovable property.
TEMPORAL: In force from 1844; the present text was substituted by Act No. 29 of 2022 (latest_change_year 2022), so it was in force well before the matter reference date of October 2025.</t>
        </is>
      </c>
      <c r="K142" s="17" t="inlineStr">
        <is>
          <t>[verified]</t>
        </is>
      </c>
      <c r="L142" s="21" t="n"/>
      <c r="M142" s="21" t="n"/>
      <c r="N142" s="21" t="n"/>
      <c r="O142" s="21" t="n"/>
      <c r="P142" s="21" t="n"/>
      <c r="Q142" s="17">
        <f>IF(OR(A142="",B142=""),"",IF(AND(L142&lt;&gt;"",P142&lt;&gt;"",IF(L142="Wrong citation",AND(M142&lt;&gt;"",N142&lt;&gt;""),TRUE)),"Complete","Pending"))</f>
        <v/>
      </c>
    </row>
    <row r="143">
      <c r="A143" s="19" t="inlineStr">
        <is>
          <t>M021-Q01</t>
        </is>
      </c>
      <c r="B143" s="19" t="inlineStr">
        <is>
          <t>PROV-M021-002</t>
        </is>
      </c>
      <c r="C143" s="17" t="inlineStr">
        <is>
          <t>Wills Ordinance (Amendment) Act No. 29 of 2022</t>
        </is>
      </c>
      <c r="D143" s="17" t="inlineStr">
        <is>
          <t>s.2</t>
        </is>
      </c>
      <c r="E143" s="17" t="inlineStr">
        <is>
          <t>2025-10</t>
        </is>
      </c>
      <c r="F143" s="17" t="inlineStr">
        <is>
          <t>Current on reference date</t>
        </is>
      </c>
      <c r="G143" s="17" t="inlineStr">
        <is>
          <t>Section 2 of the Wills Ordinance (Chapter 60) (hereinafter referred to as the "principal enactment") is hereby repealed and the following section is substituted therefor</t>
        </is>
      </c>
      <c r="H143" s="17" t="inlineStr">
        <is>
          <t>data/legal-sources/library/finalized/21-1844-wills-ordinance/29-2022-wills-ordinance-amendment.json</t>
        </is>
      </c>
      <c r="I143" s="17" t="inlineStr">
        <is>
          <t>Indispensable</t>
        </is>
      </c>
      <c r="J143" s="17" t="inlineStr">
        <is>
          <t>The question asks for the age limit according to the latest amendments. This is the amending provision that repealed and replaced section 2 of the Wills Ordinance with the present eighteen-year rule, and Act No. 29 of 2022 is the most recent amendment to that Ordinance in the corpus.
TEMPORAL: Enacted in 2022, before the October 2025 matter reference date. No later amendment to the Wills Ordinance appears in the corpus.</t>
        </is>
      </c>
      <c r="K143" s="17" t="inlineStr">
        <is>
          <t>[verified]</t>
        </is>
      </c>
      <c r="L143" s="21" t="n"/>
      <c r="M143" s="21" t="n"/>
      <c r="N143" s="21" t="n"/>
      <c r="O143" s="21" t="n"/>
      <c r="P143" s="21" t="n"/>
      <c r="Q143" s="17">
        <f>IF(OR(A143="",B143=""),"",IF(AND(L143&lt;&gt;"",P143&lt;&gt;"",IF(L143="Wrong citation",AND(M143&lt;&gt;"",N143&lt;&gt;""),TRUE)),"Complete","Pending"))</f>
        <v/>
      </c>
    </row>
    <row r="144">
      <c r="A144" s="19" t="inlineStr">
        <is>
          <t>M021-Q01</t>
        </is>
      </c>
      <c r="B144" s="19" t="inlineStr">
        <is>
          <t>PROV-M021-005</t>
        </is>
      </c>
      <c r="C144" s="17" t="inlineStr">
        <is>
          <t>Prevention of Frauds Ordinance No. 7 of 1840</t>
        </is>
      </c>
      <c r="D144" s="17" t="inlineStr">
        <is>
          <t>s.4 (1) and (2)</t>
        </is>
      </c>
      <c r="E144" s="17" t="inlineStr">
        <is>
          <t>2025-10</t>
        </is>
      </c>
      <c r="F144" s="17" t="inlineStr">
        <is>
          <t>Current on reference date</t>
        </is>
      </c>
      <c r="G144" s="17" t="inlineStr">
        <is>
          <t>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t>
        </is>
      </c>
      <c r="H144" s="17" t="inlineStr">
        <is>
          <t>https://lankalaw.net/wp-content/uploads/2025/03/Prevention-of-Frauds-Consolidated-2024.pdf</t>
        </is>
      </c>
      <c r="I144" s="17" t="inlineStr">
        <is>
          <t>Indispensable</t>
        </is>
      </c>
      <c r="J144" s="17" t="inlineStr">
        <is>
          <t>This is the core of the procedure the testator must follow. The will must be in writing; the testator must sign and affix his thumb impression at the foot or end of the instrument, and must do so before a notary public and two witnesses all present at the same time. The proviso allows another finger impression or a toe impression where the thumb impression cannot be obtained.
TEMPORAL: Section 4 was renumbered and expanded by the Prevention of Frauds (Amendment) Act No. 30 of 2022 (latest_change_year 2022), so this text was in force before October 2025.</t>
        </is>
      </c>
      <c r="K144" s="17" t="inlineStr">
        <is>
          <t>[partially_verified] Wording and role are right, but the proviso permitting another finger impression or a toe impression, which the gold answer and CL-M021-Q01-005 rely on, sits in 7-1840/s4 outside the recorded relevant_excerpt; the excerpt should be extended to the end of subsection (2) so the quoted text carries the whole rule relied on.</t>
        </is>
      </c>
      <c r="L144" s="21" t="n"/>
      <c r="M144" s="21" t="n"/>
      <c r="N144" s="21" t="n"/>
      <c r="O144" s="21" t="n"/>
      <c r="P144" s="21" t="n"/>
      <c r="Q144" s="17">
        <f>IF(OR(A144="",B144=""),"",IF(AND(L144&lt;&gt;"",P144&lt;&gt;"",IF(L144="Wrong citation",AND(M144&lt;&gt;"",N144&lt;&gt;""),TRUE)),"Complete","Pending"))</f>
        <v/>
      </c>
    </row>
    <row r="145">
      <c r="A145" s="19" t="inlineStr">
        <is>
          <t>M021-Q01</t>
        </is>
      </c>
      <c r="B145" s="19" t="inlineStr">
        <is>
          <t>PROV-M021-007</t>
        </is>
      </c>
      <c r="C145" s="17" t="inlineStr">
        <is>
          <t>Notaries Ordinance No. 1 of 1907</t>
        </is>
      </c>
      <c r="D145" s="17" t="inlineStr">
        <is>
          <t>s.31 (20)(h)</t>
        </is>
      </c>
      <c r="E145" s="17" t="inlineStr">
        <is>
          <t>2025-10</t>
        </is>
      </c>
      <c r="F145" s="17" t="inlineStr">
        <is>
          <t>Current on reference date</t>
        </is>
      </c>
      <c r="G145" s="17" t="inlineStr">
        <is>
          <t>in the case of a will- (i) set out in the attestation of the will that the testator was in good and sound mind to execute the will; and (ii) enter in the deed register maintained by him, the number assigned to such will, the date and the name of the testator.</t>
        </is>
      </c>
      <c r="H145" s="17" t="inlineStr">
        <is>
          <t>https://www.rgd.gov.lk/web/images/ActsPDF/notary/Notaries-English.pdf</t>
        </is>
      </c>
      <c r="I145" s="17" t="inlineStr">
        <is>
          <t>Indispensable</t>
        </is>
      </c>
      <c r="J145" s="17" t="inlineStr">
        <is>
          <t>This is the will-specific notarial duty and the point at which the chronic illness in the scenario bites procedurally: the attesting notary must state in the attestation that the testator was of good and sound mind when he executed the will, and must enter the will's number, its date and the testator's name in his deed register.
TEMPORAL: Rule (20)(h) was added to section 31 by the Notaries (Amendment) Act No. 31 of 2022; section 31 was further amended by Act No. 6 of 2024, which did not disturb paragraph (h). Both changes precede October 2025.</t>
        </is>
      </c>
      <c r="K145" s="17" t="inlineStr">
        <is>
          <t>[verified] Rule (20)(h) confirmed as inserted by 31-2022 s.16(11)(d) and untouched by 6-2024 s.3(7), which reached only paragraph (g).</t>
        </is>
      </c>
      <c r="L145" s="21" t="n"/>
      <c r="M145" s="21" t="n"/>
      <c r="N145" s="21" t="n"/>
      <c r="O145" s="21" t="n"/>
      <c r="P145" s="21" t="n"/>
      <c r="Q145" s="17">
        <f>IF(OR(A145="",B145=""),"",IF(AND(L145&lt;&gt;"",P145&lt;&gt;"",IF(L145="Wrong citation",AND(M145&lt;&gt;"",N145&lt;&gt;""),TRUE)),"Complete","Pending"))</f>
        <v/>
      </c>
    </row>
    <row r="146">
      <c r="A146" s="19" t="inlineStr">
        <is>
          <t>M021-Q01</t>
        </is>
      </c>
      <c r="B146" s="19" t="inlineStr">
        <is>
          <t>PROV-M021-003</t>
        </is>
      </c>
      <c r="C146" s="17" t="inlineStr">
        <is>
          <t>Wills Ordinance (Amendment) Act No. 29 of 2022</t>
        </is>
      </c>
      <c r="D146" s="17" t="inlineStr">
        <is>
          <t>s.3</t>
        </is>
      </c>
      <c r="E146" s="17" t="inlineStr">
        <is>
          <t>2025-10</t>
        </is>
      </c>
      <c r="F146" s="17" t="inlineStr">
        <is>
          <t>Current on reference date</t>
        </is>
      </c>
      <c r="G146" s="17" t="inlineStr">
        <is>
          <t>Section 3 of the principal enactment is hereby repealed.</t>
        </is>
      </c>
      <c r="H146" s="17" t="inlineStr">
        <is>
          <t>data/legal-sources/library/finalized/21-1844-wills-ordinance/29-2022-wills-ordinance-amendment.json</t>
        </is>
      </c>
      <c r="I146" s="17" t="inlineStr">
        <is>
          <t>Supporting</t>
        </is>
      </c>
      <c r="J146" s="17" t="inlineStr">
        <is>
          <t>Section 3 of the Wills Ordinance was the provision that invalidated wills made by persons below the prescribed age. Its repeal in 2022 means the age question is now answered solely by the substituted section 2, with no separate invalidating provision surviving in the Ordinance.
TEMPORAL: Enacted 2022, in force before October 2025. The corpus table of sections for the Wills Ordinance confirms the effect: it runs s.1, s.2, then s.5 to s.9, with ss.3 and 4 absent.</t>
        </is>
      </c>
      <c r="K146" s="17" t="inlineStr">
        <is>
          <t>[verified] Excerpt and effect confirmed; the description of what the repealed s.3 said is carried by PROV-M021-004, since the pre-2022 text of s.3 is not in the corpus.</t>
        </is>
      </c>
      <c r="L146" s="21" t="n"/>
      <c r="M146" s="21" t="n"/>
      <c r="N146" s="21" t="n"/>
      <c r="O146" s="21" t="n"/>
      <c r="P146" s="21" t="n"/>
      <c r="Q146" s="17">
        <f>IF(OR(A146="",B146=""),"",IF(AND(L146&lt;&gt;"",P146&lt;&gt;"",IF(L146="Wrong citation",AND(M146&lt;&gt;"",N146&lt;&gt;""),TRUE)),"Complete","Pending"))</f>
        <v/>
      </c>
    </row>
    <row r="147">
      <c r="A147" s="19" t="inlineStr">
        <is>
          <t>M021-Q01</t>
        </is>
      </c>
      <c r="B147" s="19" t="inlineStr">
        <is>
          <t>PROV-M021-006</t>
        </is>
      </c>
      <c r="C147" s="17" t="inlineStr">
        <is>
          <t>Prevention of Frauds (Amendment) Act No. 30 of 2022</t>
        </is>
      </c>
      <c r="D147" s="17" t="inlineStr">
        <is>
          <t>s.3</t>
        </is>
      </c>
      <c r="E147" s="17" t="inlineStr">
        <is>
          <t>2025-10</t>
        </is>
      </c>
      <c r="F147" s="17" t="inlineStr">
        <is>
          <t>Current on reference date</t>
        </is>
      </c>
      <c r="G147" s="17" t="inlineStr">
        <is>
          <t>by the addition immediately after subsection (1) of that section, the following new subsection: - "(2) The testator shall – (a) sign; and (b) affix his left or right thumb impression, at the foot or end of the will, testament or codicil referred to in subsection (1), before a notary public and two witnesses who shall be present at the same time</t>
        </is>
      </c>
      <c r="H147" s="17" t="inlineStr">
        <is>
          <t>data/legal-sources/library/finalized/7-1840-prevention-of-frauds-ordinance/30-2022-prevention-of-frauds-ordinance-amendment.json</t>
        </is>
      </c>
      <c r="I147" s="17" t="inlineStr">
        <is>
          <t>Supporting</t>
        </is>
      </c>
      <c r="J147" s="17" t="inlineStr">
        <is>
          <t>Shows that the thumb impression requirement for wills is itself a recent statutory change, introduced in 2022 alongside the Wills Ordinance amendment. It supports the temporal claim that the execution formalities stated in the answer are the current ones.
TEMPORAL: Enacted 2022, in force before the October 2025 matter date.</t>
        </is>
      </c>
      <c r="K147" s="17" t="inlineStr">
        <is>
          <t>[verified] Excerpt is a verbatim substring of 30-2022/s3; note that search_corpus.py check reports FAIL for it from a Windows console because the en dash in 'The testator shall -' is mangled in argv, not because the text differs.</t>
        </is>
      </c>
      <c r="L147" s="21" t="n"/>
      <c r="M147" s="21" t="n"/>
      <c r="N147" s="21" t="n"/>
      <c r="O147" s="21" t="n"/>
      <c r="P147" s="21" t="n"/>
      <c r="Q147" s="17">
        <f>IF(OR(A147="",B147=""),"",IF(AND(L147&lt;&gt;"",P147&lt;&gt;"",IF(L147="Wrong citation",AND(M147&lt;&gt;"",N147&lt;&gt;""),TRUE)),"Complete","Pending"))</f>
        <v/>
      </c>
    </row>
    <row r="148">
      <c r="A148" s="19" t="inlineStr">
        <is>
          <t>M021-Q01</t>
        </is>
      </c>
      <c r="B148" s="19" t="inlineStr">
        <is>
          <t>PROV-M021-008</t>
        </is>
      </c>
      <c r="C148" s="17" t="inlineStr">
        <is>
          <t>Notaries Ordinance No. 1 of 1907</t>
        </is>
      </c>
      <c r="D148" s="17" t="inlineStr">
        <is>
          <t>s.31 (12)</t>
        </is>
      </c>
      <c r="E148" s="17" t="inlineStr">
        <is>
          <t>2025-10</t>
        </is>
      </c>
      <c r="F148" s="17" t="inlineStr">
        <is>
          <t>Current on reference date</t>
        </is>
      </c>
      <c r="G148"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148" s="17" t="inlineStr">
        <is>
          <t>https://www.rgd.gov.lk/web/images/ActsPDF/notary/Notaries-English.pdf</t>
        </is>
      </c>
      <c r="I148" s="17" t="inlineStr">
        <is>
          <t>Supporting</t>
        </is>
      </c>
      <c r="J148" s="17" t="inlineStr">
        <is>
          <t>Reinforces the simultaneous-presence requirement from the notary's side: the testator and the witnesses must sign in the notary's presence and in the presence of one another, and the notary must sign in their presence.
TEMPORAL: Long-standing rule in section 31, not altered by the 2022 or 2024 amending Acts. In force at October 2025.</t>
        </is>
      </c>
      <c r="K148" s="17" t="inlineStr">
        <is>
          <t>[verified]</t>
        </is>
      </c>
      <c r="L148" s="21" t="n"/>
      <c r="M148" s="21" t="n"/>
      <c r="N148" s="21" t="n"/>
      <c r="O148" s="21" t="n"/>
      <c r="P148" s="21" t="n"/>
      <c r="Q148" s="17">
        <f>IF(OR(A148="",B148=""),"",IF(AND(L148&lt;&gt;"",P148&lt;&gt;"",IF(L148="Wrong citation",AND(M148&lt;&gt;"",N148&lt;&gt;""),TRUE)),"Complete","Pending"))</f>
        <v/>
      </c>
    </row>
    <row r="149">
      <c r="A149" s="19" t="inlineStr">
        <is>
          <t>M021-Q01</t>
        </is>
      </c>
      <c r="B149" s="19" t="inlineStr">
        <is>
          <t>PROV-M021-009</t>
        </is>
      </c>
      <c r="C149" s="17" t="inlineStr">
        <is>
          <t>Notaries Ordinance No. 1 of 1907</t>
        </is>
      </c>
      <c r="D149" s="17" t="inlineStr">
        <is>
          <t>s.31 (8)</t>
        </is>
      </c>
      <c r="E149" s="17" t="inlineStr">
        <is>
          <t>2025-10</t>
        </is>
      </c>
      <c r="F149" s="17" t="inlineStr">
        <is>
          <t>Current on reference date</t>
        </is>
      </c>
      <c r="G149" s="17" t="inlineStr">
        <is>
          <t>He shall not authenticate or attest any deed or instrument to which at least two witnesses have not subscribed their signatures in letters.</t>
        </is>
      </c>
      <c r="H149" s="17" t="inlineStr">
        <is>
          <t>https://www.rgd.gov.lk/web/images/ActsPDF/notary/Notaries-English.pdf</t>
        </is>
      </c>
      <c r="I149" s="17" t="inlineStr">
        <is>
          <t>Supporting</t>
        </is>
      </c>
      <c r="J149" s="17" t="inlineStr">
        <is>
          <t>Fixes the minimum of two attesting witnesses subscribing in letters, matching the two witnesses the Prevention of Frauds Ordinance requires for a will.
TEMPORAL: In force at October 2025; not amended by Act No. 31 of 2022 or Act No. 6 of 2024.</t>
        </is>
      </c>
      <c r="K149" s="17" t="inlineStr">
        <is>
          <t>[verified]</t>
        </is>
      </c>
      <c r="L149" s="21" t="n"/>
      <c r="M149" s="21" t="n"/>
      <c r="N149" s="21" t="n"/>
      <c r="O149" s="21" t="n"/>
      <c r="P149" s="21" t="n"/>
      <c r="Q149" s="17">
        <f>IF(OR(A149="",B149=""),"",IF(AND(L149&lt;&gt;"",P149&lt;&gt;"",IF(L149="Wrong citation",AND(M149&lt;&gt;"",N149&lt;&gt;""),TRUE)),"Complete","Pending"))</f>
        <v/>
      </c>
    </row>
    <row r="150">
      <c r="A150" s="19" t="inlineStr">
        <is>
          <t>M021-Q01</t>
        </is>
      </c>
      <c r="B150" s="19" t="inlineStr">
        <is>
          <t>PROV-M021-010</t>
        </is>
      </c>
      <c r="C150" s="17" t="inlineStr">
        <is>
          <t>Notaries Ordinance No. 1 of 1907</t>
        </is>
      </c>
      <c r="D150" s="17" t="inlineStr">
        <is>
          <t>s.31 (17)(b)(iii)</t>
        </is>
      </c>
      <c r="E150" s="17" t="inlineStr">
        <is>
          <t>2025-10</t>
        </is>
      </c>
      <c r="F150" s="17" t="inlineStr">
        <is>
          <t>Current on reference date</t>
        </is>
      </c>
      <c r="G150" s="17" t="inlineStr">
        <is>
          <t>in the case of a deed of transfer or a deed of gift, or deed of exchange or a will, he shall affix to the protocol of such instrument passport size photographs of the signatories, other than the witnesses, to which the notary has affixed his seal and shall keep copies of national identity card, passport or driving licence of such signatories attached to the protocol</t>
        </is>
      </c>
      <c r="H150" s="17" t="inlineStr">
        <is>
          <t>https://www.rgd.gov.lk/web/images/ActsPDF/notary/Notaries-English.pdf</t>
        </is>
      </c>
      <c r="I150" s="17" t="inlineStr">
        <is>
          <t>Supporting</t>
        </is>
      </c>
      <c r="J150" s="17" t="inlineStr">
        <is>
          <t>A current, will-specific step in the notarial procedure: the notary must attach a sealed passport size photograph of the testator and a copy of his identity document to the protocol of the will.
TEMPORAL: This text of rule (17)(b)(iii) was substituted by the Notaries (Amendment) Act No. 6 of 2024, in force before October 2025.</t>
        </is>
      </c>
      <c r="K150" s="17" t="inlineStr">
        <is>
          <t>[verified] Subsection label (17)(b)(iii) confirmed against 6-2024 s.3(6)(a), which substituted that sub paragraph and moved the photographs from the original to the protocol.</t>
        </is>
      </c>
      <c r="L150" s="21" t="n"/>
      <c r="M150" s="21" t="n"/>
      <c r="N150" s="21" t="n"/>
      <c r="O150" s="21" t="n"/>
      <c r="P150" s="21" t="n"/>
      <c r="Q150" s="17">
        <f>IF(OR(A150="",B150=""),"",IF(AND(L150&lt;&gt;"",P150&lt;&gt;"",IF(L150="Wrong citation",AND(M150&lt;&gt;"",N150&lt;&gt;""),TRUE)),"Complete","Pending"))</f>
        <v/>
      </c>
    </row>
    <row r="151">
      <c r="A151" s="19" t="inlineStr">
        <is>
          <t>M021-Q01</t>
        </is>
      </c>
      <c r="B151" s="19" t="inlineStr">
        <is>
          <t>PROV-M021-011</t>
        </is>
      </c>
      <c r="C151" s="17" t="inlineStr">
        <is>
          <t>Prevention of Frauds Ordinance No. 7 of 1840</t>
        </is>
      </c>
      <c r="D151" s="17" t="inlineStr">
        <is>
          <t>s.11</t>
        </is>
      </c>
      <c r="E151" s="17" t="inlineStr">
        <is>
          <t>2025-10</t>
        </is>
      </c>
      <c r="F151" s="17" t="inlineStr">
        <is>
          <t>Current on reference date</t>
        </is>
      </c>
      <c r="G151" s="17" t="inlineStr">
        <is>
          <t>If any person shall attest the execution of any will, testament, or codicil to whom or to whose wife or husband any beneficial devise, legacy, estate, interest, gift, disposition, or appointment of or affecting any immovable or movable property</t>
        </is>
      </c>
      <c r="H151" s="17" t="inlineStr">
        <is>
          <t>https://lankalaw.net/wp-content/uploads/2025/03/Prevention-of-Frauds-Consolidated-2024.pdf</t>
        </is>
      </c>
      <c r="I151" s="17" t="inlineStr">
        <is>
          <t>Supporting</t>
        </is>
      </c>
      <c r="J151" s="17" t="inlineStr">
        <is>
          <t>A practical constraint on the choice of the two witnesses: a benefit given by the will to an attesting witness, or to that witness's spouse, is void so far as that witness is concerned, although the witness remains competent to prove the will.
TEMPORAL: In force since 1840, with no amendment recorded in the corpus. Applicable at October 2025.</t>
        </is>
      </c>
      <c r="K151" s="17" t="inlineStr">
        <is>
          <t>[verified]</t>
        </is>
      </c>
      <c r="L151" s="21" t="n"/>
      <c r="M151" s="21" t="n"/>
      <c r="N151" s="21" t="n"/>
      <c r="O151" s="21" t="n"/>
      <c r="P151" s="21" t="n"/>
      <c r="Q151" s="17">
        <f>IF(OR(A151="",B151=""),"",IF(AND(L151&lt;&gt;"",P151&lt;&gt;"",IF(L151="Wrong citation",AND(M151&lt;&gt;"",N151&lt;&gt;""),TRUE)),"Complete","Pending"))</f>
        <v/>
      </c>
    </row>
    <row r="152">
      <c r="A152" s="19" t="inlineStr">
        <is>
          <t>M021-Q01</t>
        </is>
      </c>
      <c r="B152" s="19" t="inlineStr">
        <is>
          <t>PROV-M021-012</t>
        </is>
      </c>
      <c r="C152" s="17" t="inlineStr">
        <is>
          <t>Prevention of Frauds Ordinance No. 7 of 1840</t>
        </is>
      </c>
      <c r="D152" s="17" t="inlineStr">
        <is>
          <t>s.16</t>
        </is>
      </c>
      <c r="E152" s="17" t="inlineStr">
        <is>
          <t>2025-10</t>
        </is>
      </c>
      <c r="F152" s="17" t="inlineStr">
        <is>
          <t>Current on reference date</t>
        </is>
      </c>
      <c r="G152" s="17" t="inlineStr">
        <is>
          <t>Every deed or other instrument, except any will, testament, or codicil required by this Ordinance to be executed or acknowledged before or to be attested by a notary, shall be executed, acknowledged, or attested in triplicate.</t>
        </is>
      </c>
      <c r="H152" s="17" t="inlineStr">
        <is>
          <t>https://lankalaw.net/wp-content/uploads/2025/03/Prevention-of-Frauds-Consolidated-2024.pdf</t>
        </is>
      </c>
      <c r="I152" s="17" t="inlineStr">
        <is>
          <t>Supporting</t>
        </is>
      </c>
      <c r="J152" s="17" t="inlineStr">
        <is>
          <t>Wills are expressly excepted from the triplicate execution rule that applies to other notarially attested instruments, so the procedure for this will does not include execution in triplicate.
TEMPORAL: Section 16 carries a 2022 change made through the Prevention of Frauds (Amendment) Act No. 30 of 2022; the text relied on was in force at October 2025.</t>
        </is>
      </c>
      <c r="K152" s="17" t="inlineStr">
        <is>
          <t>[verified] Confirmed, including that the word triplicate in the excerpt is the text as substituted by 30-2022 s.5 for the former word duplicate.</t>
        </is>
      </c>
      <c r="L152" s="21" t="n"/>
      <c r="M152" s="21" t="n"/>
      <c r="N152" s="21" t="n"/>
      <c r="O152" s="21" t="n"/>
      <c r="P152" s="21" t="n"/>
      <c r="Q152" s="17">
        <f>IF(OR(A152="",B152=""),"",IF(AND(L152&lt;&gt;"",P152&lt;&gt;"",IF(L152="Wrong citation",AND(M152&lt;&gt;"",N152&lt;&gt;""),TRUE)),"Complete","Pending"))</f>
        <v/>
      </c>
    </row>
    <row r="153">
      <c r="A153" s="19" t="inlineStr">
        <is>
          <t>M021-Q01</t>
        </is>
      </c>
      <c r="B153" s="19" t="inlineStr">
        <is>
          <t>PROV-M021-901</t>
        </is>
      </c>
      <c r="C153" s="17" t="inlineStr">
        <is>
          <t>Notaries Ordinance No. 1 of 1907</t>
        </is>
      </c>
      <c r="D153" s="17" t="inlineStr">
        <is>
          <t>s.31 (9)</t>
        </is>
      </c>
      <c r="E153" s="17" t="inlineStr">
        <is>
          <t>2025-10</t>
        </is>
      </c>
      <c r="F153" s="17" t="inlineStr">
        <is>
          <t>Current on reference date</t>
        </is>
      </c>
      <c r="G153"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153" s="17" t="inlineStr">
        <is>
          <t>https://www.rgd.gov.lk/web/images/ActsPDF/notary/Notaries-English.pdf</t>
        </is>
      </c>
      <c r="I153" s="17" t="inlineStr">
        <is>
          <t>Supporting</t>
        </is>
      </c>
      <c r="J153" s="17" t="inlineStr">
        <is>
          <t>Added by the verifier. Rule (9) is a mandatory step in the execution procedure that the map omitted: the notary must establish the identity of the executant (by acquaintance or by inspecting the national identity card, passport bio page or driving licence), must satisfy himself that the two witnesses are of good repute and well acquainted with the testator, and the witnesses must sign a declaration to that effect at the foot of the instrument. The enriched facts put two neighbours forward as witnesses, so the rule is squarely engaged.
TEMPORAL: Rule (9) in its present form was substituted by the Notaries (Amendment) Act No. 31 of 2022 s.16(6) and further amended by the Notaries (Amendment) Act No. 6 of 2024 s.3(3); both precede the October 2025 matter reference date.</t>
        </is>
      </c>
      <c r="K153" s="17" t="inlineStr">
        <is>
          <t>[verified] Added by the verifier; excerpt checked verbatim against 1-1907/s31.</t>
        </is>
      </c>
      <c r="L153" s="21" t="n"/>
      <c r="M153" s="21" t="n"/>
      <c r="N153" s="21" t="n"/>
      <c r="O153" s="21" t="n"/>
      <c r="P153" s="21" t="n"/>
      <c r="Q153" s="17">
        <f>IF(OR(A153="",B153=""),"",IF(AND(L153&lt;&gt;"",P153&lt;&gt;"",IF(L153="Wrong citation",AND(M153&lt;&gt;"",N153&lt;&gt;""),TRUE)),"Complete","Pending"))</f>
        <v/>
      </c>
    </row>
    <row r="154">
      <c r="A154" s="19" t="inlineStr">
        <is>
          <t>M021-Q01</t>
        </is>
      </c>
      <c r="B154" s="19" t="inlineStr">
        <is>
          <t>PROV-M021-004</t>
        </is>
      </c>
      <c r="C154" s="17" t="inlineStr">
        <is>
          <t>Wills (Amendment) No. 5 of 1993</t>
        </is>
      </c>
      <c r="D154" s="17" t="inlineStr">
        <is>
          <t>s.2</t>
        </is>
      </c>
      <c r="E154" s="17" t="inlineStr">
        <is>
          <t>2025-10</t>
        </is>
      </c>
      <c r="F154" s="17" t="inlineStr">
        <is>
          <t>Unclear</t>
        </is>
      </c>
      <c r="G154" s="17" t="inlineStr">
        <is>
          <t>Section 3 of the Wills Ordinance is hereby amended by the substitution for the words " No will made by any male under the age of twenty-one years, or by any female under the age of eighteen years,", of the words "No will made by any person under the age of eighteen years,"</t>
        </is>
      </c>
      <c r="H154" s="17" t="inlineStr">
        <is>
          <t>data/legal-sources/library/finalized/21-1844-wills-ordinance/5-1993-wills-ordinance-amendment.json</t>
        </is>
      </c>
      <c r="I154" s="17" t="inlineStr">
        <is>
          <t>Background</t>
        </is>
      </c>
      <c r="J154" s="17" t="inlineStr">
        <is>
          <t>Background only. It records the earlier statutory position, twenty-one years for males and eighteen for females, equalised at eighteen in 1993, which the 2022 amendment has now superseded, and it shows where the old age rule sat in the Ordinance.
TEMPORAL: Enacted 1993. It amended section 3 of the Wills Ordinance, which was repealed outright by Act No. 29 of 2022, so it has no operative effect at the October 2025 matter date and is used here only to explain the history.</t>
        </is>
      </c>
      <c r="K154" s="17" t="inlineStr">
        <is>
          <t>[verified] Correctly recorded as historical background with applicable_to_matter_date false; the amended s.3 was itself repealed by 29-2022 s.3.</t>
        </is>
      </c>
      <c r="L154" s="21" t="n"/>
      <c r="M154" s="21" t="n"/>
      <c r="N154" s="21" t="n"/>
      <c r="O154" s="21" t="n"/>
      <c r="P154" s="21" t="n"/>
      <c r="Q154" s="17">
        <f>IF(OR(A154="",B154=""),"",IF(AND(L154&lt;&gt;"",P154&lt;&gt;"",IF(L154="Wrong citation",AND(M154&lt;&gt;"",N154&lt;&gt;""),TRUE)),"Complete","Pending"))</f>
        <v/>
      </c>
    </row>
    <row r="155">
      <c r="A155" s="19" t="inlineStr">
        <is>
          <t>M021-Q01</t>
        </is>
      </c>
      <c r="B155" s="19" t="inlineStr">
        <is>
          <t>PROV-M021-013</t>
        </is>
      </c>
      <c r="C155" s="17" t="inlineStr">
        <is>
          <t>Prevention of Frauds Ordinance No. 7 of 1840</t>
        </is>
      </c>
      <c r="D155" s="17" t="inlineStr">
        <is>
          <t>s.9</t>
        </is>
      </c>
      <c r="E155" s="17" t="inlineStr">
        <is>
          <t>2025-10</t>
        </is>
      </c>
      <c r="F155" s="17" t="inlineStr">
        <is>
          <t>Current on reference date</t>
        </is>
      </c>
      <c r="G155" s="17" t="inlineStr">
        <is>
          <t>Every will, testament, or codicil executed in manner herein before required shall be valid without any other publication thereof: Provided always that every such will, testament, or codicil shall, after the decease of the testator or testatrix, be duly proved and recorded in the District Court empowered by law to grant probate or administration</t>
        </is>
      </c>
      <c r="H155" s="17" t="inlineStr">
        <is>
          <t>https://lankalaw.net/wp-content/uploads/2025/03/Prevention-of-Frauds-Consolidated-2024.pdf</t>
        </is>
      </c>
      <c r="I155" s="17" t="inlineStr">
        <is>
          <t>Background</t>
        </is>
      </c>
      <c r="J155" s="17" t="inlineStr">
        <is>
          <t>Background. Once executed in the required manner the will needs no further publication during the testator's lifetime; proof of the will is a step for the District Court after his death, not part of what the testator must do now.
TEMPORAL: In force since 1840 with no recorded amendment. Applicable at October 2025.</t>
        </is>
      </c>
      <c r="K155" s="17" t="inlineStr">
        <is>
          <t>[verified]</t>
        </is>
      </c>
      <c r="L155" s="21" t="n"/>
      <c r="M155" s="21" t="n"/>
      <c r="N155" s="21" t="n"/>
      <c r="O155" s="21" t="n"/>
      <c r="P155" s="21" t="n"/>
      <c r="Q155" s="17">
        <f>IF(OR(A155="",B155=""),"",IF(AND(L155&lt;&gt;"",P155&lt;&gt;"",IF(L155="Wrong citation",AND(M155&lt;&gt;"",N155&lt;&gt;""),TRUE)),"Complete","Pending"))</f>
        <v/>
      </c>
    </row>
    <row r="156">
      <c r="A156" s="19" t="inlineStr">
        <is>
          <t>M021-Q01</t>
        </is>
      </c>
      <c r="B156" s="19" t="inlineStr">
        <is>
          <t>PROV-M021-014</t>
        </is>
      </c>
      <c r="C156" s="17" t="inlineStr">
        <is>
          <t>Wills Ordinance No. 21 of 1844</t>
        </is>
      </c>
      <c r="D156" s="17" t="inlineStr">
        <is>
          <t>s.9</t>
        </is>
      </c>
      <c r="E156" s="17" t="inlineStr">
        <is>
          <t>2025-10</t>
        </is>
      </c>
      <c r="F156" s="17" t="inlineStr">
        <is>
          <t>Current on reference date</t>
        </is>
      </c>
      <c r="G156" s="17" t="inlineStr">
        <is>
          <t>Whenever in this Ordinance the word 'will' is used it shall be construed to extend to a testament and to a codicil, and to any other testamentary disposition</t>
        </is>
      </c>
      <c r="H156" s="17" t="inlineStr">
        <is>
          <t>https://lankalaw.net/wp-content/uploads/2025/03/Wills-Consolidated-2024.pdf</t>
        </is>
      </c>
      <c r="I156" s="17" t="inlineStr">
        <is>
          <t>Background</t>
        </is>
      </c>
      <c r="J156" s="17" t="inlineStr">
        <is>
          <t>The interpretation section. It fixes the meaning of 'will' in the Ordinance, so the eighteen-year rule in section 2 governs codicils and other testamentary dispositions as well as the will itself.
TEMPORAL: Amended by Act No. 29 of 2022, which extended the definition of 'landed property' to condominium and land parcels. The definition of 'will' relied on here is unchanged and in force at October 2025.</t>
        </is>
      </c>
      <c r="K156" s="17" t="inlineStr">
        <is>
          <t>[verified] Confirmed; the 2022 change made by 29-2022 s.6 touched only the 'landed property' limb, not the definition of 'will' relied on.</t>
        </is>
      </c>
      <c r="L156" s="21" t="n"/>
      <c r="M156" s="21" t="n"/>
      <c r="N156" s="21" t="n"/>
      <c r="O156" s="21" t="n"/>
      <c r="P156" s="21" t="n"/>
      <c r="Q156" s="17">
        <f>IF(OR(A156="",B156=""),"",IF(AND(L156&lt;&gt;"",P156&lt;&gt;"",IF(L156="Wrong citation",AND(M156&lt;&gt;"",N156&lt;&gt;""),TRUE)),"Complete","Pending"))</f>
        <v/>
      </c>
    </row>
    <row r="157">
      <c r="A157" s="19" t="inlineStr">
        <is>
          <t>M023-Q02</t>
        </is>
      </c>
      <c r="B157" s="19" t="inlineStr">
        <is>
          <t>PROV-M023-002</t>
        </is>
      </c>
      <c r="C157" s="17" t="inlineStr">
        <is>
          <t>Matrimonial Rights and Inheritance Ordinance No. 15 of 1876</t>
        </is>
      </c>
      <c r="D157" s="17" t="inlineStr">
        <is>
          <t>s.21 (1)</t>
        </is>
      </c>
      <c r="E157" s="17" t="inlineStr">
        <is>
          <t>2025-04</t>
        </is>
      </c>
      <c r="F157" s="17" t="inlineStr">
        <is>
          <t>Current on reference date</t>
        </is>
      </c>
      <c r="G157" s="17" t="inlineStr">
        <is>
          <t>Inheritance ab interstate to the immovable property in Sri Lanka of a person deceased shall be governed and regulated by the following provisions of this Ordinance</t>
        </is>
      </c>
      <c r="H157" s="17" t="inlineStr">
        <is>
          <t>https://lankalaw.net/wp-content/uploads/2024/03/mrai69364.pdf</t>
        </is>
      </c>
      <c r="I157" s="17" t="inlineStr">
        <is>
          <t>Indispensable</t>
        </is>
      </c>
      <c r="J157" s="17" t="inlineStr">
        <is>
          <t>The subject matter is immovable property (Lot 1, 40 perches, at Battaramulla). This subsection makes Part III of the Ordinance the governing law for intestate succession to it, whatever the deceased's domicile.
TEMPORAL: Corpus shows in_force_from_year 1876 with no recorded amendment events; the consolidated text is in force at the matter reference date 2025-04 and was equally in force at each of the deaths in 2008, 2011, 2012 and 2015.</t>
        </is>
      </c>
      <c r="K157" s="17" t="inlineStr">
        <is>
          <t>[verified]</t>
        </is>
      </c>
      <c r="L157" s="21" t="n"/>
      <c r="M157" s="21" t="n"/>
      <c r="N157" s="21" t="n"/>
      <c r="O157" s="21" t="n"/>
      <c r="P157" s="21" t="n"/>
      <c r="Q157" s="17">
        <f>IF(OR(A157="",B157=""),"",IF(AND(L157&lt;&gt;"",P157&lt;&gt;"",IF(L157="Wrong citation",AND(M157&lt;&gt;"",N157&lt;&gt;""),TRUE)),"Complete","Pending"))</f>
        <v/>
      </c>
    </row>
    <row r="158">
      <c r="A158" s="19" t="inlineStr">
        <is>
          <t>M023-Q02</t>
        </is>
      </c>
      <c r="B158" s="19" t="inlineStr">
        <is>
          <t>PROV-M023-003</t>
        </is>
      </c>
      <c r="C158" s="17" t="inlineStr">
        <is>
          <t>Matrimonial Rights and Inheritance Ordinance No. 15 of 1876</t>
        </is>
      </c>
      <c r="D158" s="17" t="inlineStr">
        <is>
          <t>s.22</t>
        </is>
      </c>
      <c r="E158" s="17" t="inlineStr">
        <is>
          <t>2025-04</t>
        </is>
      </c>
      <c r="F158" s="17" t="inlineStr">
        <is>
          <t>Current on reference date</t>
        </is>
      </c>
      <c r="G158" s="17" t="inlineStr">
        <is>
          <t>When any person shall die intestate as to any of his or her property, leaving a spouse surviving, the surviving spouse shall inherit one-half of the property of such person.</t>
        </is>
      </c>
      <c r="H158" s="17" t="inlineStr">
        <is>
          <t>https://lankalaw.net/wp-content/uploads/2024/03/mrai69364.pdf</t>
        </is>
      </c>
      <c r="I158" s="17" t="inlineStr">
        <is>
          <t>Indispensable</t>
        </is>
      </c>
      <c r="J158" s="17" t="inlineStr">
        <is>
          <t>Gives Champa one-half of Kapila's estate and Hasitha Perera one-half of Anusha's estate. It is the first deduction made in each intestacy before the blood relations take.
TEMPORAL: Corpus shows in_force_from_year 1876 with no recorded amendment events; the consolidated text is in force at the matter reference date 2025-04 and was equally in force at each of the deaths in 2008, 2011, 2012 and 2015.</t>
        </is>
      </c>
      <c r="K158" s="17" t="inlineStr">
        <is>
          <t>[verified]</t>
        </is>
      </c>
      <c r="L158" s="21" t="n"/>
      <c r="M158" s="21" t="n"/>
      <c r="N158" s="21" t="n"/>
      <c r="O158" s="21" t="n"/>
      <c r="P158" s="21" t="n"/>
      <c r="Q158" s="17">
        <f>IF(OR(A158="",B158=""),"",IF(AND(L158&lt;&gt;"",P158&lt;&gt;"",IF(L158="Wrong citation",AND(M158&lt;&gt;"",N158&lt;&gt;""),TRUE)),"Complete","Pending"))</f>
        <v/>
      </c>
    </row>
    <row r="159">
      <c r="A159" s="19" t="inlineStr">
        <is>
          <t>M023-Q02</t>
        </is>
      </c>
      <c r="B159" s="19" t="inlineStr">
        <is>
          <t>PROV-M023-005</t>
        </is>
      </c>
      <c r="C159" s="17" t="inlineStr">
        <is>
          <t>Matrimonial Rights and Inheritance Ordinance No. 15 of 1876</t>
        </is>
      </c>
      <c r="D159" s="17" t="inlineStr">
        <is>
          <t>s.24</t>
        </is>
      </c>
      <c r="E159" s="17" t="inlineStr">
        <is>
          <t>2025-04</t>
        </is>
      </c>
      <c r="F159" s="17" t="inlineStr">
        <is>
          <t>Current on reference date</t>
        </is>
      </c>
      <c r="G159" s="17" t="inlineStr">
        <is>
          <t>Children, grandchildren, and remoter descendants are preferent to all others in the estate of the parents; all the children take equally per capita, but the children or remoter issue of a deceased child take per stirpes or by representation.</t>
        </is>
      </c>
      <c r="H159" s="17" t="inlineStr">
        <is>
          <t>https://lankalaw.net/wp-content/uploads/2024/03/mrai69364.pdf</t>
        </is>
      </c>
      <c r="I159" s="17" t="inlineStr">
        <is>
          <t>Indispensable</t>
        </is>
      </c>
      <c r="J159" s="17" t="inlineStr">
        <is>
          <t>Divides the half of Kapila's estate not taken by his widow equally among his four surviving children, Anusha, Prema, Rupa and Seetha, per capita.
TEMPORAL: Corpus shows in_force_from_year 1876 with no recorded amendment events; the consolidated text is in force at the matter reference date 2025-04 and was equally in force at each of the deaths in 2008, 2011, 2012 and 2015.</t>
        </is>
      </c>
      <c r="K159" s="17" t="inlineStr">
        <is>
          <t>[verified]</t>
        </is>
      </c>
      <c r="L159" s="21" t="n"/>
      <c r="M159" s="21" t="n"/>
      <c r="N159" s="21" t="n"/>
      <c r="O159" s="21" t="n"/>
      <c r="P159" s="21" t="n"/>
      <c r="Q159" s="17">
        <f>IF(OR(A159="",B159=""),"",IF(AND(L159&lt;&gt;"",P159&lt;&gt;"",IF(L159="Wrong citation",AND(M159&lt;&gt;"",N159&lt;&gt;""),TRUE)),"Complete","Pending"))</f>
        <v/>
      </c>
    </row>
    <row r="160">
      <c r="A160" s="19" t="inlineStr">
        <is>
          <t>M023-Q02</t>
        </is>
      </c>
      <c r="B160" s="19" t="inlineStr">
        <is>
          <t>PROV-M023-006</t>
        </is>
      </c>
      <c r="C160" s="17" t="inlineStr">
        <is>
          <t>Matrimonial Rights and Inheritance Ordinance No. 15 of 1876</t>
        </is>
      </c>
      <c r="D160" s="17" t="inlineStr">
        <is>
          <t>s.25</t>
        </is>
      </c>
      <c r="E160" s="17" t="inlineStr">
        <is>
          <t>2025-04</t>
        </is>
      </c>
      <c r="F160" s="17" t="inlineStr">
        <is>
          <t>Current on reference date</t>
        </is>
      </c>
      <c r="G160"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160" s="17" t="inlineStr">
        <is>
          <t>https://lankalaw.net/wp-content/uploads/2024/03/mrai69364.pdf</t>
        </is>
      </c>
      <c r="I160" s="17" t="inlineStr">
        <is>
          <t>Indispensable</t>
        </is>
      </c>
      <c r="J160" s="17" t="inlineStr">
        <is>
          <t>Governs Prema's estate: she left no descendants, her father Kapila had predeceased her and her mother Champa survived, so Champa takes half and the surviving siblings take the other half.
TEMPORAL: Corpus shows in_force_from_year 1876 with no recorded amendment events; the consolidated text is in force at the matter reference date 2025-04 and was equally in force at each of the deaths in 2008, 2011, 2012 and 2015.</t>
        </is>
      </c>
      <c r="K160" s="17" t="inlineStr">
        <is>
          <t>[verified]</t>
        </is>
      </c>
      <c r="L160" s="21" t="n"/>
      <c r="M160" s="21" t="n"/>
      <c r="N160" s="21" t="n"/>
      <c r="O160" s="21" t="n"/>
      <c r="P160" s="21" t="n"/>
      <c r="Q160" s="17">
        <f>IF(OR(A160="",B160=""),"",IF(AND(L160&lt;&gt;"",P160&lt;&gt;"",IF(L160="Wrong citation",AND(M160&lt;&gt;"",N160&lt;&gt;""),TRUE)),"Complete","Pending"))</f>
        <v/>
      </c>
    </row>
    <row r="161">
      <c r="A161" s="19" t="inlineStr">
        <is>
          <t>M023-Q02</t>
        </is>
      </c>
      <c r="B161" s="19" t="inlineStr">
        <is>
          <t>PROV-M023-007</t>
        </is>
      </c>
      <c r="C161" s="17" t="inlineStr">
        <is>
          <t>Matrimonial Rights and Inheritance Ordinance No. 15 of 1876</t>
        </is>
      </c>
      <c r="D161" s="17" t="inlineStr">
        <is>
          <t>s.26</t>
        </is>
      </c>
      <c r="E161" s="17" t="inlineStr">
        <is>
          <t>2025-04</t>
        </is>
      </c>
      <c r="F161" s="17" t="inlineStr">
        <is>
          <t>Current on reference date</t>
        </is>
      </c>
      <c r="G161" s="17" t="inlineStr">
        <is>
          <t>Father and mother both failing, the property of the intestate goes to his brothers and sisters, whether of the whole or balf-blood, and their children and other issue by representation.</t>
        </is>
      </c>
      <c r="H161" s="17" t="inlineStr">
        <is>
          <t>https://lankalaw.net/wp-content/uploads/2024/03/mrai69364.pdf</t>
        </is>
      </c>
      <c r="I161" s="17" t="inlineStr">
        <is>
          <t>Indispensable</t>
        </is>
      </c>
      <c r="J161" s="17" t="inlineStr">
        <is>
          <t>Governs Anusha's estate: she left no descendants and both her parents (Sandya and Kapila) had predeceased her, so the residue passes to her half-sisters Prema, Rupa and Seetha.
TEMPORAL: Corpus shows in_force_from_year 1876 with no recorded amendment events; the consolidated text is in force at the matter reference date 2025-04 and was equally in force at each of the deaths in 2008, 2011, 2012 and 2015.</t>
        </is>
      </c>
      <c r="K161" s="17" t="inlineStr">
        <is>
          <t>[verified]</t>
        </is>
      </c>
      <c r="L161" s="21" t="n"/>
      <c r="M161" s="21" t="n"/>
      <c r="N161" s="21" t="n"/>
      <c r="O161" s="21" t="n"/>
      <c r="P161" s="21" t="n"/>
      <c r="Q161" s="17">
        <f>IF(OR(A161="",B161=""),"",IF(AND(L161&lt;&gt;"",P161&lt;&gt;"",IF(L161="Wrong citation",AND(M161&lt;&gt;"",N161&lt;&gt;""),TRUE)),"Complete","Pending"))</f>
        <v/>
      </c>
    </row>
    <row r="162">
      <c r="A162" s="19" t="inlineStr">
        <is>
          <t>M023-Q02</t>
        </is>
      </c>
      <c r="B162" s="19" t="inlineStr">
        <is>
          <t>PROV-M023-008</t>
        </is>
      </c>
      <c r="C162" s="17" t="inlineStr">
        <is>
          <t>Matrimonial Rights and Inheritance Ordinance No. 15 of 1876</t>
        </is>
      </c>
      <c r="D162" s="17" t="inlineStr">
        <is>
          <t>s.29</t>
        </is>
      </c>
      <c r="E162" s="17" t="inlineStr">
        <is>
          <t>2025-04</t>
        </is>
      </c>
      <c r="F162" s="17" t="inlineStr">
        <is>
          <t>Current on reference date</t>
        </is>
      </c>
      <c r="G162"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162" s="17" t="inlineStr">
        <is>
          <t>https://lankalaw.net/wp-content/uploads/2024/03/mrai69364.pdf</t>
        </is>
      </c>
      <c r="I162" s="17" t="inlineStr">
        <is>
          <t>Indispensable</t>
        </is>
      </c>
      <c r="J162" s="17" t="inlineStr">
        <is>
          <t>Anusha's only surviving siblings are half-sisters on her father's side. This section lets them take the whole collateral share, subject to the exception for a surviving ascendant on the mother's side, which the facts do not raise.
TEMPORAL: Corpus shows in_force_from_year 1876 with no recorded amendment events; the consolidated text is in force at the matter reference date 2025-04 and was equally in force at each of the deaths in 2008, 2011, 2012 and 2015.</t>
        </is>
      </c>
      <c r="K162" s="17" t="inlineStr">
        <is>
          <t>[verified]</t>
        </is>
      </c>
      <c r="L162" s="21" t="n"/>
      <c r="M162" s="21" t="n"/>
      <c r="N162" s="21" t="n"/>
      <c r="O162" s="21" t="n"/>
      <c r="P162" s="21" t="n"/>
      <c r="Q162" s="17">
        <f>IF(OR(A162="",B162=""),"",IF(AND(L162&lt;&gt;"",P162&lt;&gt;"",IF(L162="Wrong citation",AND(M162&lt;&gt;"",N162&lt;&gt;""),TRUE)),"Complete","Pending"))</f>
        <v/>
      </c>
    </row>
    <row r="163">
      <c r="A163" s="19" t="inlineStr">
        <is>
          <t>M023-Q02</t>
        </is>
      </c>
      <c r="B163" s="19" t="inlineStr">
        <is>
          <t>PROV-M023-004</t>
        </is>
      </c>
      <c r="C163" s="17" t="inlineStr">
        <is>
          <t>Matrimonial Rights and Inheritance Ordinance No. 15 of 1876</t>
        </is>
      </c>
      <c r="D163" s="17" t="inlineStr">
        <is>
          <t>s.23</t>
        </is>
      </c>
      <c r="E163" s="17" t="inlineStr">
        <is>
          <t>2025-04</t>
        </is>
      </c>
      <c r="F163" s="17" t="inlineStr">
        <is>
          <t>Current on reference date</t>
        </is>
      </c>
      <c r="G163" s="17" t="inlineStr">
        <is>
          <t>Subject to the right of the surviving spouse in the preceding section mentioned, the right of inheritance is divided in the following order as respects (a) descendants, (b) ascendants, (c) collaterals.</t>
        </is>
      </c>
      <c r="H163" s="17" t="inlineStr">
        <is>
          <t>https://lankalaw.net/wp-content/uploads/2024/03/mrai69364.pdf</t>
        </is>
      </c>
      <c r="I163" s="17" t="inlineStr">
        <is>
          <t>Supporting</t>
        </is>
      </c>
      <c r="J163" s="17" t="inlineStr">
        <is>
          <t>Sets the order of classes that structures each of the three intestacies: descendants first, then ascendants, then collaterals. It shows why Anusha's and Prema's estates move down the order once they die issueless.
TEMPORAL: Corpus shows in_force_from_year 1876 with no recorded amendment events; the consolidated text is in force at the matter reference date 2025-04 and was equally in force at each of the deaths in 2008, 2011, 2012 and 2015.</t>
        </is>
      </c>
      <c r="K163" s="17" t="inlineStr">
        <is>
          <t>[verified]</t>
        </is>
      </c>
      <c r="L163" s="21" t="n"/>
      <c r="M163" s="21" t="n"/>
      <c r="N163" s="21" t="n"/>
      <c r="O163" s="21" t="n"/>
      <c r="P163" s="21" t="n"/>
      <c r="Q163" s="17">
        <f>IF(OR(A163="",B163=""),"",IF(AND(L163&lt;&gt;"",P163&lt;&gt;"",IF(L163="Wrong citation",AND(M163&lt;&gt;"",N163&lt;&gt;""),TRUE)),"Complete","Pending"))</f>
        <v/>
      </c>
    </row>
    <row r="164">
      <c r="A164" s="19" t="inlineStr">
        <is>
          <t>M023-Q02</t>
        </is>
      </c>
      <c r="B164" s="19" t="inlineStr">
        <is>
          <t>PROV-M023-009</t>
        </is>
      </c>
      <c r="C164" s="17" t="inlineStr">
        <is>
          <t>Matrimonial Rights and Inheritance Ordinance No. 15 of 1876</t>
        </is>
      </c>
      <c r="D164" s="17" t="inlineStr">
        <is>
          <t>s.30</t>
        </is>
      </c>
      <c r="E164" s="17" t="inlineStr">
        <is>
          <t>2025-04</t>
        </is>
      </c>
      <c r="F164" s="17" t="inlineStr">
        <is>
          <t>Current on reference date</t>
        </is>
      </c>
      <c r="G164" s="17" t="inlineStr">
        <is>
          <t>if all those who succeed to the inheritance are equally near in degree to the intestate, they take per capita, and not per stirpes.</t>
        </is>
      </c>
      <c r="H164" s="17" t="inlineStr">
        <is>
          <t>https://lankalaw.net/wp-content/uploads/2024/03/mrai69364.pdf</t>
        </is>
      </c>
      <c r="I164" s="17" t="inlineStr">
        <is>
          <t>Supporting</t>
        </is>
      </c>
      <c r="J164" s="17" t="inlineStr">
        <is>
          <t>Confirms per capita division among the three half-sisters in Anusha's estate and among the two full sisters in Prema's estate, all being equally near in degree.
TEMPORAL: Corpus shows in_force_from_year 1876 with no recorded amendment events; the consolidated text is in force at the matter reference date 2025-04 and was equally in force at each of the deaths in 2008, 2011, 2012 and 2015.</t>
        </is>
      </c>
      <c r="K164" s="17" t="inlineStr">
        <is>
          <t>[partially_verified] The excerpt drops the section's opening qualifier 'Except when otherwise expressly provided', so s.30 supplies per capita division only inside a class that ss.25 and 27 have not already divided; on these facts that is the sibling half in each of Anusha's and Prema's estates, so the result is unchanged but the qualifier must be stated.</t>
        </is>
      </c>
      <c r="L164" s="21" t="n"/>
      <c r="M164" s="21" t="n"/>
      <c r="N164" s="21" t="n"/>
      <c r="O164" s="21" t="n"/>
      <c r="P164" s="21" t="n"/>
      <c r="Q164" s="17">
        <f>IF(OR(A164="",B164=""),"",IF(AND(L164&lt;&gt;"",P164&lt;&gt;"",IF(L164="Wrong citation",AND(M164&lt;&gt;"",N164&lt;&gt;""),TRUE)),"Complete","Pending"))</f>
        <v/>
      </c>
    </row>
    <row r="165">
      <c r="A165" s="19" t="inlineStr">
        <is>
          <t>M023-Q02</t>
        </is>
      </c>
      <c r="B165" s="19" t="inlineStr">
        <is>
          <t>PROV-M023-012</t>
        </is>
      </c>
      <c r="C165" s="17" t="inlineStr">
        <is>
          <t>Matrimonial Rights and Inheritance Ordinance No. 15 of 1876</t>
        </is>
      </c>
      <c r="D165" s="17" t="inlineStr">
        <is>
          <t>s.3</t>
        </is>
      </c>
      <c r="E165" s="17" t="inlineStr">
        <is>
          <t>2025-04</t>
        </is>
      </c>
      <c r="F165" s="17" t="inlineStr">
        <is>
          <t>Current on reference date</t>
        </is>
      </c>
      <c r="G165" s="17" t="inlineStr">
        <is>
          <t>means not having a husband or wife living</t>
        </is>
      </c>
      <c r="H165" s="17" t="inlineStr">
        <is>
          <t>https://lankalaw.net/wp-content/uploads/2024/03/mrai69364.pdf</t>
        </is>
      </c>
      <c r="I165" s="17" t="inlineStr">
        <is>
          <t>Supporting</t>
        </is>
      </c>
      <c r="J165" s="17" t="inlineStr">
        <is>
          <t>Defines 'unmarried' for the Ordinance. Prema is described as having died unmarried, so no share of her estate is deducted for a surviving spouse under section 22.
TEMPORAL: Corpus shows in_force_from_year 1876 with no recorded amendment events; the consolidated text is in force at the matter reference date 2025-04 and was equally in force at each of the deaths in 2008, 2011, 2012 and 2015.</t>
        </is>
      </c>
      <c r="K165" s="17" t="inlineStr">
        <is>
          <t>[verified]</t>
        </is>
      </c>
      <c r="L165" s="21" t="n"/>
      <c r="M165" s="21" t="n"/>
      <c r="N165" s="21" t="n"/>
      <c r="O165" s="21" t="n"/>
      <c r="P165" s="21" t="n"/>
      <c r="Q165" s="17">
        <f>IF(OR(A165="",B165=""),"",IF(AND(L165&lt;&gt;"",P165&lt;&gt;"",IF(L165="Wrong citation",AND(M165&lt;&gt;"",N165&lt;&gt;""),TRUE)),"Complete","Pending"))</f>
        <v/>
      </c>
    </row>
    <row r="166">
      <c r="A166" s="19" t="inlineStr">
        <is>
          <t>M023-Q02</t>
        </is>
      </c>
      <c r="B166" s="19" t="inlineStr">
        <is>
          <t>PROV-M023-013</t>
        </is>
      </c>
      <c r="C166" s="17" t="inlineStr">
        <is>
          <t>Matrimonial Rights and Inheritance Ordinance No. 15 of 1876</t>
        </is>
      </c>
      <c r="D166" s="17" t="inlineStr">
        <is>
          <t>s.27</t>
        </is>
      </c>
      <c r="E166" s="17" t="inlineStr">
        <is>
          <t>2025-04</t>
        </is>
      </c>
      <c r="F166" s="17" t="inlineStr">
        <is>
          <t>Current on reference date</t>
        </is>
      </c>
      <c r="G166"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166" s="17" t="inlineStr">
        <is>
          <t>https://lankalaw.net/wp-content/uploads/2024/03/mrai69364.pdf</t>
        </is>
      </c>
      <c r="I166" s="17" t="inlineStr">
        <is>
          <t>Supporting</t>
        </is>
      </c>
      <c r="J166" s="17" t="inlineStr">
        <is>
          <t>The division rule that qualifies section 26 where half-blood siblings are involved. It is examined and found not to alter the result in Anusha's estate, because she left no full siblings at all, so section 29 rather than section 27 supplies the division.
TEMPORAL: Corpus shows in_force_from_year 1876 with no recorded amendment events; the consolidated text is in force at the matter reference date 2025-04 and was equally in force at each of the deaths in 2008, 2011, 2012 and 2015.</t>
        </is>
      </c>
      <c r="K166" s="17" t="inlineStr">
        <is>
          <t>[verified]</t>
        </is>
      </c>
      <c r="L166" s="21" t="n"/>
      <c r="M166" s="21" t="n"/>
      <c r="N166" s="21" t="n"/>
      <c r="O166" s="21" t="n"/>
      <c r="P166" s="21" t="n"/>
      <c r="Q166" s="17">
        <f>IF(OR(A166="",B166=""),"",IF(AND(L166&lt;&gt;"",P166&lt;&gt;"",IF(L166="Wrong citation",AND(M166&lt;&gt;"",N166&lt;&gt;""),TRUE)),"Complete","Pending"))</f>
        <v/>
      </c>
    </row>
    <row r="167">
      <c r="A167" s="19" t="inlineStr">
        <is>
          <t>M023-Q02</t>
        </is>
      </c>
      <c r="B167" s="19" t="inlineStr">
        <is>
          <t>PROV-M023-901</t>
        </is>
      </c>
      <c r="C167" s="17" t="inlineStr">
        <is>
          <t>Matrimonial Rights and Inheritance Ordinance No. 15 of 1876</t>
        </is>
      </c>
      <c r="D167" s="17" t="inlineStr">
        <is>
          <t>s.3</t>
        </is>
      </c>
      <c r="E167" s="17" t="inlineStr">
        <is>
          <t>2025-04</t>
        </is>
      </c>
      <c r="F167" s="17" t="inlineStr">
        <is>
          <t>Current on reference date</t>
        </is>
      </c>
      <c r="G167" s="17" t="inlineStr">
        <is>
          <t>includes land, incorporeal tenements, and things attached to the earth or permanently fastened to anything which is attached to the earth, and any interest in land except that of a mortgagee</t>
        </is>
      </c>
      <c r="H167" s="17" t="inlineStr">
        <is>
          <t>https://lankalaw.net/wp-content/uploads/2024/03/mrai69364.pdf</t>
        </is>
      </c>
      <c r="I167" s="17" t="inlineStr">
        <is>
          <t>Supporting</t>
        </is>
      </c>
      <c r="J167" s="17" t="inlineStr">
        <is>
          <t>Defines 'immovable property' for the Ordinance. Section 21(1) makes Part III the governing law for inheritance ab intestato to immovable property in Sri Lanka, and Lot 1 is land, so this definition is what brings the subject matter inside s.21(1).
TEMPORAL: Corpus shows in_force_from_year 1876 with no recorded amendment events and no amending Act to 15-1876 in the corpus; in force at the matter reference date 2025-04 and at each of the deaths in 2008, 2011, 2012 and 2015.</t>
        </is>
      </c>
      <c r="K167" s="17" t="inlineStr">
        <is>
          <t>[verified] Added by the verifier: `edges 15-1876/s21` records a defines-link to 15-1876/s3 for the term 'immovable property', and the map excerpted s.3 only for 'unmarried'. Excerpt confirmed verbatim with `check`.</t>
        </is>
      </c>
      <c r="L167" s="21" t="n"/>
      <c r="M167" s="21" t="n"/>
      <c r="N167" s="21" t="n"/>
      <c r="O167" s="21" t="n"/>
      <c r="P167" s="21" t="n"/>
      <c r="Q167" s="17">
        <f>IF(OR(A167="",B167=""),"",IF(AND(L167&lt;&gt;"",P167&lt;&gt;"",IF(L167="Wrong citation",AND(M167&lt;&gt;"",N167&lt;&gt;""),TRUE)),"Complete","Pending"))</f>
        <v/>
      </c>
    </row>
    <row r="168">
      <c r="A168" s="19" t="inlineStr">
        <is>
          <t>M023-Q02</t>
        </is>
      </c>
      <c r="B168" s="19" t="inlineStr">
        <is>
          <t>PROV-M023-001</t>
        </is>
      </c>
      <c r="C168" s="17" t="inlineStr">
        <is>
          <t>Matrimonial Rights and Inheritance Ordinance No. 15 of 1876</t>
        </is>
      </c>
      <c r="D168" s="17" t="inlineStr">
        <is>
          <t>s.20</t>
        </is>
      </c>
      <c r="E168" s="17" t="inlineStr">
        <is>
          <t>2025-04</t>
        </is>
      </c>
      <c r="F168" s="17" t="inlineStr">
        <is>
          <t>Current on reference date</t>
        </is>
      </c>
      <c r="G168" s="17" t="inlineStr">
        <is>
          <t>The following sections of this Ordinance shall apply to the estates of such persons only as shall die after the proclamation of this Ordinance</t>
        </is>
      </c>
      <c r="H168" s="17" t="inlineStr">
        <is>
          <t>https://lankalaw.net/wp-content/uploads/2024/03/mrai69364.pdf</t>
        </is>
      </c>
      <c r="I168" s="17" t="inlineStr">
        <is>
          <t>Background</t>
        </is>
      </c>
      <c r="J168" s="17" t="inlineStr">
        <is>
          <t>Fixes the temporal scope of Part III. All the deaths relied on (2008, 2011, 2012, 2015) occurred long after the proclamation of the Ordinance, so Part III applies to each estate.
TEMPORAL: Corpus shows in_force_from_year 1876 with no recorded amendment events; the consolidated text is in force at the matter reference date 2025-04 and was equally in force at each of the deaths in 2008, 2011, 2012 and 2015.</t>
        </is>
      </c>
      <c r="K168" s="17" t="inlineStr">
        <is>
          <t>[partially_verified] Wording is verbatim, but why_relevant states only one limb of s.20: the section also requires the deceased to have been unmarried at death or, if married, to have married after the proclamation of the Ordinance; both limbs are in fact satisfied for Kapila, Anusha and Prema, and the provision remains background rather than operative.</t>
        </is>
      </c>
      <c r="L168" s="21" t="n"/>
      <c r="M168" s="21" t="n"/>
      <c r="N168" s="21" t="n"/>
      <c r="O168" s="21" t="n"/>
      <c r="P168" s="21" t="n"/>
      <c r="Q168" s="17">
        <f>IF(OR(A168="",B168=""),"",IF(AND(L168&lt;&gt;"",P168&lt;&gt;"",IF(L168="Wrong citation",AND(M168&lt;&gt;"",N168&lt;&gt;""),TRUE)),"Complete","Pending"))</f>
        <v/>
      </c>
    </row>
    <row r="169">
      <c r="A169" s="19" t="inlineStr">
        <is>
          <t>M023-Q02</t>
        </is>
      </c>
      <c r="B169" s="19" t="inlineStr">
        <is>
          <t>PROV-M023-010</t>
        </is>
      </c>
      <c r="C169" s="17" t="inlineStr">
        <is>
          <t>Matrimonial Rights and Inheritance Ordinance No. 15 of 1876</t>
        </is>
      </c>
      <c r="D169" s="17" t="inlineStr">
        <is>
          <t>s.36</t>
        </is>
      </c>
      <c r="E169" s="17" t="inlineStr">
        <is>
          <t>2025-04</t>
        </is>
      </c>
      <c r="F169" s="17" t="inlineStr">
        <is>
          <t>Current on reference date</t>
        </is>
      </c>
      <c r="G169" s="17" t="inlineStr">
        <is>
          <t>In all questions relating to the distribution of the property of an intestate, if the present Ordinance is silent, the rules of the Roman-Dutch law as it prevailed in North Holland are to govern and be followed.</t>
        </is>
      </c>
      <c r="H169" s="17" t="inlineStr">
        <is>
          <t>https://lankalaw.net/wp-content/uploads/2024/03/mrai69364.pdf</t>
        </is>
      </c>
      <c r="I169" s="17" t="inlineStr">
        <is>
          <t>Background</t>
        </is>
      </c>
      <c r="J169" s="17" t="inlineStr">
        <is>
          <t>The Ordinance's own residual clause. It is the statutory acknowledgement that any step the Ordinance does not cover, such as the effect of a reserved life interest, falls to Roman-Dutch common law, which is outside this corpus.
TEMPORAL: Corpus shows in_force_from_year 1876 with no recorded amendment events; the consolidated text is in force at the matter reference date 2025-04 and was equally in force at each of the deaths in 2008, 2011, 2012 and 2015.</t>
        </is>
      </c>
      <c r="K169" s="17" t="inlineStr">
        <is>
          <t>[verified]</t>
        </is>
      </c>
      <c r="L169" s="21" t="n"/>
      <c r="M169" s="21" t="n"/>
      <c r="N169" s="21" t="n"/>
      <c r="O169" s="21" t="n"/>
      <c r="P169" s="21" t="n"/>
      <c r="Q169" s="17">
        <f>IF(OR(A169="",B169=""),"",IF(AND(L169&lt;&gt;"",P169&lt;&gt;"",IF(L169="Wrong citation",AND(M169&lt;&gt;"",N169&lt;&gt;""),TRUE)),"Complete","Pending"))</f>
        <v/>
      </c>
    </row>
    <row r="170">
      <c r="A170" s="19" t="inlineStr">
        <is>
          <t>M025-Q01</t>
        </is>
      </c>
      <c r="B170" s="19" t="inlineStr">
        <is>
          <t>PROV-M025-001</t>
        </is>
      </c>
      <c r="C170" s="17" t="inlineStr">
        <is>
          <t>Matrimonial Rights and Inheritance Ordinance No. 15 of 1876</t>
        </is>
      </c>
      <c r="D170" s="17" t="inlineStr">
        <is>
          <t>s.21 (1)</t>
        </is>
      </c>
      <c r="E170" s="17" t="inlineStr">
        <is>
          <t>2024-10</t>
        </is>
      </c>
      <c r="F170" s="17" t="inlineStr">
        <is>
          <t>Current on reference date</t>
        </is>
      </c>
      <c r="G170" s="17" t="inlineStr">
        <is>
          <t>Inheritance ab interstate to the immovable property in Sri Lanka of a person deceased shall be governed and regulated by the following provisions of this Ordinance wherever such person may have or have had his actual or matrimonial domicile.</t>
        </is>
      </c>
      <c r="H170" s="17" t="inlineStr">
        <is>
          <t>https://lankalaw.net/wp-content/uploads/2024/03/mrai69364.pdf</t>
        </is>
      </c>
      <c r="I170" s="17" t="inlineStr">
        <is>
          <t>Indispensable</t>
        </is>
      </c>
      <c r="J170" s="17" t="inlineStr">
        <is>
          <t>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TEMPORAL: In force from 1876; the corpus records no amendment event for this section, so the same text governed the deaths in 2013, 2017 and 2018 and is in force at 2024-10.</t>
        </is>
      </c>
      <c r="K170" s="17" t="inlineStr">
        <is>
          <t>[verified]</t>
        </is>
      </c>
      <c r="L170" s="21" t="n"/>
      <c r="M170" s="21" t="n"/>
      <c r="N170" s="21" t="n"/>
      <c r="O170" s="21" t="n"/>
      <c r="P170" s="21" t="n"/>
      <c r="Q170" s="17">
        <f>IF(OR(A170="",B170=""),"",IF(AND(L170&lt;&gt;"",P170&lt;&gt;"",IF(L170="Wrong citation",AND(M170&lt;&gt;"",N170&lt;&gt;""),TRUE)),"Complete","Pending"))</f>
        <v/>
      </c>
    </row>
    <row r="171">
      <c r="A171" s="19" t="inlineStr">
        <is>
          <t>M025-Q01</t>
        </is>
      </c>
      <c r="B171" s="19" t="inlineStr">
        <is>
          <t>PROV-M025-003</t>
        </is>
      </c>
      <c r="C171" s="17" t="inlineStr">
        <is>
          <t>Matrimonial Rights and Inheritance Ordinance No. 15 of 1876</t>
        </is>
      </c>
      <c r="D171" s="17" t="inlineStr">
        <is>
          <t>s.22</t>
        </is>
      </c>
      <c r="E171" s="17" t="inlineStr">
        <is>
          <t>2024-10</t>
        </is>
      </c>
      <c r="F171" s="17" t="inlineStr">
        <is>
          <t>Current on reference date</t>
        </is>
      </c>
      <c r="G171" s="17" t="inlineStr">
        <is>
          <t>When any person shall die intestate as to any of his or her property, leaving a spouse surviving, the surviving spouse shall inherit one-half of the property of such person.</t>
        </is>
      </c>
      <c r="H171" s="17" t="inlineStr">
        <is>
          <t>https://lankalaw.net/wp-content/uploads/2024/03/mrai69364.pdf</t>
        </is>
      </c>
      <c r="I171" s="17" t="inlineStr">
        <is>
          <t>Indispensable</t>
        </is>
      </c>
      <c r="J171" s="17" t="inlineStr">
        <is>
          <t>Governs the share of Sena, the surviving husband of Sarathi, who died intestate on 8 August 2018. It also explains why nothing passes to a spouse out of the estates of Kasun (who died unmarried) and Thilak (no surviving spouse disclosed).
TEMPORAL: In force from 1876; no amendment event recorded in the corpus, so the same text applied at Sarathi's death in 2018 and at 2024-10.</t>
        </is>
      </c>
      <c r="K171" s="17" t="inlineStr">
        <is>
          <t>[verified]</t>
        </is>
      </c>
      <c r="L171" s="21" t="n"/>
      <c r="M171" s="21" t="n"/>
      <c r="N171" s="21" t="n"/>
      <c r="O171" s="21" t="n"/>
      <c r="P171" s="21" t="n"/>
      <c r="Q171" s="17">
        <f>IF(OR(A171="",B171=""),"",IF(AND(L171&lt;&gt;"",P171&lt;&gt;"",IF(L171="Wrong citation",AND(M171&lt;&gt;"",N171&lt;&gt;""),TRUE)),"Complete","Pending"))</f>
        <v/>
      </c>
    </row>
    <row r="172">
      <c r="A172" s="19" t="inlineStr">
        <is>
          <t>M025-Q01</t>
        </is>
      </c>
      <c r="B172" s="19" t="inlineStr">
        <is>
          <t>PROV-M025-004</t>
        </is>
      </c>
      <c r="C172" s="17" t="inlineStr">
        <is>
          <t>Matrimonial Rights and Inheritance Ordinance No. 15 of 1876</t>
        </is>
      </c>
      <c r="D172" s="17" t="inlineStr">
        <is>
          <t>s.23</t>
        </is>
      </c>
      <c r="E172" s="17" t="inlineStr">
        <is>
          <t>2024-10</t>
        </is>
      </c>
      <c r="F172" s="17" t="inlineStr">
        <is>
          <t>Current on reference date</t>
        </is>
      </c>
      <c r="G172" s="17" t="inlineStr">
        <is>
          <t>Subject to the right of the surviving spouse in the preceding section mentioned, the right of inheritance is divided in the following order as respects (a) descendants, (b) ascendants, (c) collaterals.</t>
        </is>
      </c>
      <c r="H172" s="17" t="inlineStr">
        <is>
          <t>https://lankalaw.net/wp-content/uploads/2024/03/mrai69364.pdf</t>
        </is>
      </c>
      <c r="I172" s="17" t="inlineStr">
        <is>
          <t>Indispensable</t>
        </is>
      </c>
      <c r="J172" s="17" t="inlineStr">
        <is>
          <t>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TEMPORAL: In force from 1876; no amendment event recorded in the corpus.</t>
        </is>
      </c>
      <c r="K172" s="17" t="inlineStr">
        <is>
          <t>[verified]</t>
        </is>
      </c>
      <c r="L172" s="21" t="n"/>
      <c r="M172" s="21" t="n"/>
      <c r="N172" s="21" t="n"/>
      <c r="O172" s="21" t="n"/>
      <c r="P172" s="21" t="n"/>
      <c r="Q172" s="17">
        <f>IF(OR(A172="",B172=""),"",IF(AND(L172&lt;&gt;"",P172&lt;&gt;"",IF(L172="Wrong citation",AND(M172&lt;&gt;"",N172&lt;&gt;""),TRUE)),"Complete","Pending"))</f>
        <v/>
      </c>
    </row>
    <row r="173">
      <c r="A173" s="19" t="inlineStr">
        <is>
          <t>M025-Q01</t>
        </is>
      </c>
      <c r="B173" s="19" t="inlineStr">
        <is>
          <t>PROV-M025-005</t>
        </is>
      </c>
      <c r="C173" s="17" t="inlineStr">
        <is>
          <t>Matrimonial Rights and Inheritance Ordinance No. 15 of 1876</t>
        </is>
      </c>
      <c r="D173" s="17" t="inlineStr">
        <is>
          <t>s.24</t>
        </is>
      </c>
      <c r="E173" s="17" t="inlineStr">
        <is>
          <t>2024-10</t>
        </is>
      </c>
      <c r="F173" s="17" t="inlineStr">
        <is>
          <t>Current on reference date</t>
        </is>
      </c>
      <c r="G173" s="17" t="inlineStr">
        <is>
          <t>Children, grandchildren, and remoter descendants are preferent to all others in the estate of the parents; all the children take equally per capita, but the children or remoter issue of a deceased child take per stirpes or by representation.</t>
        </is>
      </c>
      <c r="H173" s="17" t="inlineStr">
        <is>
          <t>https://lankalaw.net/wp-content/uploads/2024/03/mrai69364.pdf</t>
        </is>
      </c>
      <c r="I173" s="17" t="inlineStr">
        <is>
          <t>Indispensable</t>
        </is>
      </c>
      <c r="J173" s="17" t="inlineStr">
        <is>
          <t>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TEMPORAL: In force from 1876; no amendment event recorded in the corpus, so the same text applied at Thilak's death in 2017 and at 2024-10.</t>
        </is>
      </c>
      <c r="K173" s="17" t="inlineStr">
        <is>
          <t>[verified]</t>
        </is>
      </c>
      <c r="L173" s="21" t="n"/>
      <c r="M173" s="21" t="n"/>
      <c r="N173" s="21" t="n"/>
      <c r="O173" s="21" t="n"/>
      <c r="P173" s="21" t="n"/>
      <c r="Q173" s="17">
        <f>IF(OR(A173="",B173=""),"",IF(AND(L173&lt;&gt;"",P173&lt;&gt;"",IF(L173="Wrong citation",AND(M173&lt;&gt;"",N173&lt;&gt;""),TRUE)),"Complete","Pending"))</f>
        <v/>
      </c>
    </row>
    <row r="174">
      <c r="A174" s="19" t="inlineStr">
        <is>
          <t>M025-Q01</t>
        </is>
      </c>
      <c r="B174" s="19" t="inlineStr">
        <is>
          <t>PROV-M025-006</t>
        </is>
      </c>
      <c r="C174" s="17" t="inlineStr">
        <is>
          <t>Matrimonial Rights and Inheritance Ordinance No. 15 of 1876</t>
        </is>
      </c>
      <c r="D174" s="17" t="inlineStr">
        <is>
          <t>s.25</t>
        </is>
      </c>
      <c r="E174" s="17" t="inlineStr">
        <is>
          <t>2024-10</t>
        </is>
      </c>
      <c r="F174" s="17" t="inlineStr">
        <is>
          <t>Current on reference date</t>
        </is>
      </c>
      <c r="G174"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174" s="17" t="inlineStr">
        <is>
          <t>https://lankalaw.net/wp-content/uploads/2024/03/mrai69364.pdf</t>
        </is>
      </c>
      <c r="I174" s="17" t="inlineStr">
        <is>
          <t>Indispensable</t>
        </is>
      </c>
      <c r="J174" s="17" t="inlineStr">
        <is>
          <t>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TEMPORAL: In force from 1876; no amendment event recorded in the corpus, so the same text applied at Kasun's death in 2013, at Sarathi's death in 2018 and at 2024-10.</t>
        </is>
      </c>
      <c r="K174" s="17" t="inlineStr">
        <is>
          <t>[partially_verified]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t>
        </is>
      </c>
      <c r="L174" s="21" t="n"/>
      <c r="M174" s="21" t="n"/>
      <c r="N174" s="21" t="n"/>
      <c r="O174" s="21" t="n"/>
      <c r="P174" s="21" t="n"/>
      <c r="Q174" s="17">
        <f>IF(OR(A174="",B174=""),"",IF(AND(L174&lt;&gt;"",P174&lt;&gt;"",IF(L174="Wrong citation",AND(M174&lt;&gt;"",N174&lt;&gt;""),TRUE)),"Complete","Pending"))</f>
        <v/>
      </c>
    </row>
    <row r="175">
      <c r="A175" s="19" t="inlineStr">
        <is>
          <t>M025-Q01</t>
        </is>
      </c>
      <c r="B175" s="19" t="inlineStr">
        <is>
          <t>PROV-M025-008</t>
        </is>
      </c>
      <c r="C175" s="17" t="inlineStr">
        <is>
          <t>Matrimonial Rights and Inheritance Ordinance No. 15 of 1876</t>
        </is>
      </c>
      <c r="D175" s="17" t="inlineStr">
        <is>
          <t>s.3</t>
        </is>
      </c>
      <c r="E175" s="17" t="inlineStr">
        <is>
          <t>2024-10</t>
        </is>
      </c>
      <c r="F175" s="17" t="inlineStr">
        <is>
          <t>Current on reference date</t>
        </is>
      </c>
      <c r="G175" s="17" t="inlineStr">
        <is>
          <t>means not having a husband or wife living</t>
        </is>
      </c>
      <c r="H175" s="17" t="inlineStr">
        <is>
          <t>https://lankalaw.net/wp-content/uploads/2024/03/mrai69364.pdf</t>
        </is>
      </c>
      <c r="I175" s="17" t="inlineStr">
        <is>
          <t>Indispensable</t>
        </is>
      </c>
      <c r="J175" s="17" t="inlineStr">
        <is>
          <t>Defines "unmarried" for the purposes of the Ordinance. The background records that Kasun died "intestate and unmarried", which on this definition means he left no surviving spouse, so s.22 gives no half share out of his estate and the whole of it falls to be divided under s.25.
TEMPORAL: In force from 1876; no amendment event recorded in the corpus. The corpus text of this interpretation section has lost its defined-term lead-ins in extraction, so the excerpt reads as a bare definition body; the corpus row records "unmarried" among the section's defined terms.</t>
        </is>
      </c>
      <c r="K175" s="17" t="inlineStr">
        <is>
          <t>[partially_verified]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t>
        </is>
      </c>
      <c r="L175" s="21" t="n"/>
      <c r="M175" s="21" t="n"/>
      <c r="N175" s="21" t="n"/>
      <c r="O175" s="21" t="n"/>
      <c r="P175" s="21" t="n"/>
      <c r="Q175" s="17">
        <f>IF(OR(A175="",B175=""),"",IF(AND(L175&lt;&gt;"",P175&lt;&gt;"",IF(L175="Wrong citation",AND(M175&lt;&gt;"",N175&lt;&gt;""),TRUE)),"Complete","Pending"))</f>
        <v/>
      </c>
    </row>
    <row r="176">
      <c r="A176" s="19" t="inlineStr">
        <is>
          <t>M025-Q01</t>
        </is>
      </c>
      <c r="B176" s="19" t="inlineStr">
        <is>
          <t>PROV-M025-007</t>
        </is>
      </c>
      <c r="C176" s="17" t="inlineStr">
        <is>
          <t>Matrimonial Rights and Inheritance Ordinance No. 15 of 1876</t>
        </is>
      </c>
      <c r="D176" s="17" t="inlineStr">
        <is>
          <t>s.30</t>
        </is>
      </c>
      <c r="E176" s="17" t="inlineStr">
        <is>
          <t>2024-10</t>
        </is>
      </c>
      <c r="F176" s="17" t="inlineStr">
        <is>
          <t>Current on reference date</t>
        </is>
      </c>
      <c r="G176" s="17" t="inlineStr">
        <is>
          <t>Except when otherwise expressly provided, if all those who succeed to the inheritance are equally near in degree to the intestate, they take per capita, and not per stirpes.</t>
        </is>
      </c>
      <c r="H176" s="17" t="inlineStr">
        <is>
          <t>https://lankalaw.net/wp-content/uploads/2024/03/mrai69364.pdf</t>
        </is>
      </c>
      <c r="I176" s="17" t="inlineStr">
        <is>
          <t>Supporting</t>
        </is>
      </c>
      <c r="J176" s="17" t="inlineStr">
        <is>
          <t>Supplies the mode of division within the sibling half of Kasun's estate: Sarathi and Amal are equally near in degree to Kasun (both half-sisters and half-brothers on the mother's side), so they take that half per capita, one-quarter of the land each.
TEMPORAL: In force from 1876; no amendment event recorded in the corpus.</t>
        </is>
      </c>
      <c r="K176" s="17" t="inlineStr">
        <is>
          <t>[partially_verified]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t>
        </is>
      </c>
      <c r="L176" s="21" t="n"/>
      <c r="M176" s="21" t="n"/>
      <c r="N176" s="21" t="n"/>
      <c r="O176" s="21" t="n"/>
      <c r="P176" s="21" t="n"/>
      <c r="Q176" s="17">
        <f>IF(OR(A176="",B176=""),"",IF(AND(L176&lt;&gt;"",P176&lt;&gt;"",IF(L176="Wrong citation",AND(M176&lt;&gt;"",N176&lt;&gt;""),TRUE)),"Complete","Pending"))</f>
        <v/>
      </c>
    </row>
    <row r="177">
      <c r="A177" s="19" t="inlineStr">
        <is>
          <t>M025-Q01</t>
        </is>
      </c>
      <c r="B177" s="19" t="inlineStr">
        <is>
          <t>PROV-M025-011</t>
        </is>
      </c>
      <c r="C177" s="17" t="inlineStr">
        <is>
          <t>Civil Procedure Code No. 2 of 1889</t>
        </is>
      </c>
      <c r="D177" s="17" t="inlineStr">
        <is>
          <t>s.531 (1)(b)</t>
        </is>
      </c>
      <c r="E177" s="17" t="inlineStr">
        <is>
          <t>2024-10</t>
        </is>
      </c>
      <c r="F177" s="17" t="inlineStr">
        <is>
          <t>Current on reference date</t>
        </is>
      </c>
      <c r="G177" s="17" t="inlineStr">
        <is>
          <t>make order for the issue of a certificate of heir ship in form No. 87A in the First Schedule, to each of the heirs mentioned in the application, stating also the share of the estate which each heir is entitled to receive, if agreed to by the heirs</t>
        </is>
      </c>
      <c r="H177" s="17" t="inlineStr">
        <is>
          <t>https://lankalaw.net/wp-content/uploads/2024/09/Consolidated-Civil-Procedure-Code-upto-Act-No.-43-of-2024.pdf</t>
        </is>
      </c>
      <c r="I177" s="17" t="inlineStr">
        <is>
          <t>Supporting</t>
        </is>
      </c>
      <c r="J177" s="17" t="inlineStr">
        <is>
          <t>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TEMPORAL: In force from 1889, last changed in 1993 (Act No. 14 of 1993 s.4) per the corpus amendment events, so the corpus text was already in force when the testamentary proceeding ran in 2013 and 2014 and remains in force at 2024-10.</t>
        </is>
      </c>
      <c r="K177" s="17" t="inlineStr">
        <is>
          <t>[partially_verified]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t>
        </is>
      </c>
      <c r="L177" s="21" t="n"/>
      <c r="M177" s="21" t="n"/>
      <c r="N177" s="21" t="n"/>
      <c r="O177" s="21" t="n"/>
      <c r="P177" s="21" t="n"/>
      <c r="Q177" s="17">
        <f>IF(OR(A177="",B177=""),"",IF(AND(L177&lt;&gt;"",P177&lt;&gt;"",IF(L177="Wrong citation",AND(M177&lt;&gt;"",N177&lt;&gt;""),TRUE)),"Complete","Pending"))</f>
        <v/>
      </c>
    </row>
    <row r="178">
      <c r="A178" s="19" t="inlineStr">
        <is>
          <t>M025-Q01</t>
        </is>
      </c>
      <c r="B178" s="19" t="inlineStr">
        <is>
          <t>PROV-M025-012</t>
        </is>
      </c>
      <c r="C178" s="17" t="inlineStr">
        <is>
          <t>Civil Procedure Code No. 2 of 1889</t>
        </is>
      </c>
      <c r="D178" s="17" t="inlineStr">
        <is>
          <t>s.724B (1)</t>
        </is>
      </c>
      <c r="E178" s="17" t="inlineStr">
        <is>
          <t>2024-10</t>
        </is>
      </c>
      <c r="F178" s="17" t="inlineStr">
        <is>
          <t>Current on reference date</t>
        </is>
      </c>
      <c r="G178" s="17" t="inlineStr">
        <is>
          <t>establishing that the entire estate has been duly administered and distributed, the court may grant him a discharge and enter an order that the estate has been fully administered.</t>
        </is>
      </c>
      <c r="H178" s="17" t="inlineStr">
        <is>
          <t>https://lankalaw.net/wp-content/uploads/2024/09/Consolidated-Civil-Procedure-Code-upto-Act-No.-43-of-2024.pdf</t>
        </is>
      </c>
      <c r="I178" s="17" t="inlineStr">
        <is>
          <t>Supporting</t>
        </is>
      </c>
      <c r="J178" s="17" t="inlineStr">
        <is>
          <t>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TEMPORAL: In force from 1889, last changed in 1977 (Act No. 20 of 1977 s.108) per the corpus amendment events, so the corpus text governed the 2014 termination and is in force at 2024-10.</t>
        </is>
      </c>
      <c r="K178" s="17" t="inlineStr">
        <is>
          <t>[partially_verified]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t>
        </is>
      </c>
      <c r="L178" s="21" t="n"/>
      <c r="M178" s="21" t="n"/>
      <c r="N178" s="21" t="n"/>
      <c r="O178" s="21" t="n"/>
      <c r="P178" s="21" t="n"/>
      <c r="Q178" s="17">
        <f>IF(OR(A178="",B178=""),"",IF(AND(L178&lt;&gt;"",P178&lt;&gt;"",IF(L178="Wrong citation",AND(M178&lt;&gt;"",N178&lt;&gt;""),TRUE)),"Complete","Pending"))</f>
        <v/>
      </c>
    </row>
    <row r="179">
      <c r="A179" s="19" t="inlineStr">
        <is>
          <t>M025-Q01</t>
        </is>
      </c>
      <c r="B179" s="19" t="inlineStr">
        <is>
          <t>PROV-M025-901</t>
        </is>
      </c>
      <c r="C179" s="17" t="inlineStr">
        <is>
          <t>Matrimonial Rights and Inheritance Ordinance No. 15 of 1876</t>
        </is>
      </c>
      <c r="D179" s="17" t="inlineStr">
        <is>
          <t>s.27</t>
        </is>
      </c>
      <c r="E179" s="17" t="inlineStr">
        <is>
          <t>2024-10</t>
        </is>
      </c>
      <c r="F179" s="17" t="inlineStr">
        <is>
          <t>Current on reference date</t>
        </is>
      </c>
      <c r="G179" s="17" t="inlineStr">
        <is>
          <t>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t>
        </is>
      </c>
      <c r="H179" s="17" t="inlineStr">
        <is>
          <t>https://lankalaw.net/wp-content/uploads/2024/03/mrai69364.pdf</t>
        </is>
      </c>
      <c r="I179" s="17" t="inlineStr">
        <is>
          <t>Supporting</t>
        </is>
      </c>
      <c r="J179" s="17" t="inlineStr">
        <is>
          <t>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TEMPORAL: In force from 1876; the corpus records no amendment event for this section, so the same text applied at Kasun's death in 2013 and is in force at 2024-10.</t>
        </is>
      </c>
      <c r="K179" s="17" t="inlineStr">
        <is>
          <t>[verified]</t>
        </is>
      </c>
      <c r="L179" s="21" t="n"/>
      <c r="M179" s="21" t="n"/>
      <c r="N179" s="21" t="n"/>
      <c r="O179" s="21" t="n"/>
      <c r="P179" s="21" t="n"/>
      <c r="Q179" s="17">
        <f>IF(OR(A179="",B179=""),"",IF(AND(L179&lt;&gt;"",P179&lt;&gt;"",IF(L179="Wrong citation",AND(M179&lt;&gt;"",N179&lt;&gt;""),TRUE)),"Complete","Pending"))</f>
        <v/>
      </c>
    </row>
    <row r="180">
      <c r="A180" s="19" t="inlineStr">
        <is>
          <t>M025-Q01</t>
        </is>
      </c>
      <c r="B180" s="19" t="inlineStr">
        <is>
          <t>PROV-M025-002</t>
        </is>
      </c>
      <c r="C180" s="17" t="inlineStr">
        <is>
          <t>Matrimonial Rights and Inheritance Ordinance No. 15 of 1876</t>
        </is>
      </c>
      <c r="D180" s="17" t="inlineStr">
        <is>
          <t>s.2</t>
        </is>
      </c>
      <c r="E180" s="17" t="inlineStr">
        <is>
          <t>2024-10</t>
        </is>
      </c>
      <c r="F180" s="17" t="inlineStr">
        <is>
          <t>Current on reference date</t>
        </is>
      </c>
      <c r="G180" s="17" t="inlineStr">
        <is>
          <t>this Ordinance shall not apply to Kandyans or Muslims, or to Tamils of the Northern Province who are or may become subject to the Tesawalamai.</t>
        </is>
      </c>
      <c r="H180" s="17" t="inlineStr">
        <is>
          <t>https://lankalaw.net/wp-content/uploads/2024/03/mrai69364.pdf</t>
        </is>
      </c>
      <c r="I180" s="17" t="inlineStr">
        <is>
          <t>Background</t>
        </is>
      </c>
      <c r="J180" s="17" t="inlineStr">
        <is>
          <t>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TEMPORAL: In force from 1876; no amendment event recorded in the corpus.</t>
        </is>
      </c>
      <c r="K180" s="17" t="inlineStr">
        <is>
          <t>[verified]</t>
        </is>
      </c>
      <c r="L180" s="21" t="n"/>
      <c r="M180" s="21" t="n"/>
      <c r="N180" s="21" t="n"/>
      <c r="O180" s="21" t="n"/>
      <c r="P180" s="21" t="n"/>
      <c r="Q180" s="17">
        <f>IF(OR(A180="",B180=""),"",IF(AND(L180&lt;&gt;"",P180&lt;&gt;"",IF(L180="Wrong citation",AND(M180&lt;&gt;"",N180&lt;&gt;""),TRUE)),"Complete","Pending"))</f>
        <v/>
      </c>
    </row>
    <row r="181">
      <c r="A181" s="19" t="inlineStr">
        <is>
          <t>M025-Q01</t>
        </is>
      </c>
      <c r="B181" s="19" t="inlineStr">
        <is>
          <t>PROV-M025-009</t>
        </is>
      </c>
      <c r="C181" s="17" t="inlineStr">
        <is>
          <t>Matrimonial Rights and Inheritance Ordinance No. 15 of 1876</t>
        </is>
      </c>
      <c r="D181" s="17" t="inlineStr">
        <is>
          <t>s.20</t>
        </is>
      </c>
      <c r="E181" s="17" t="inlineStr">
        <is>
          <t>2024-10</t>
        </is>
      </c>
      <c r="F181" s="17" t="inlineStr">
        <is>
          <t>Current on reference date</t>
        </is>
      </c>
      <c r="G181" s="17" t="inlineStr">
        <is>
          <t>The following sections of this Ordinance shall apply to the estates of such persons only as shall die after the proclamation of this Ordinance</t>
        </is>
      </c>
      <c r="H181" s="17" t="inlineStr">
        <is>
          <t>https://lankalaw.net/wp-content/uploads/2024/03/mrai69364.pdf</t>
        </is>
      </c>
      <c r="I181" s="17" t="inlineStr">
        <is>
          <t>Background</t>
        </is>
      </c>
      <c r="J181" s="17" t="inlineStr">
        <is>
          <t>Temporal scope of Part III. Every death in this matter (2011, 2013, 2017, 2018) is long after the proclamation of the Ordinance, so the inheritance sections apply to each estate. Recorded as background because the condition is plainly satisfied.
TEMPORAL: In force from 1876; no amendment event recorded in the corpus.</t>
        </is>
      </c>
      <c r="K181" s="17" t="inlineStr">
        <is>
          <t>[partially_verified]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t>
        </is>
      </c>
      <c r="L181" s="21" t="n"/>
      <c r="M181" s="21" t="n"/>
      <c r="N181" s="21" t="n"/>
      <c r="O181" s="21" t="n"/>
      <c r="P181" s="21" t="n"/>
      <c r="Q181" s="17">
        <f>IF(OR(A181="",B181=""),"",IF(AND(L181&lt;&gt;"",P181&lt;&gt;"",IF(L181="Wrong citation",AND(M181&lt;&gt;"",N181&lt;&gt;""),TRUE)),"Complete","Pending"))</f>
        <v/>
      </c>
    </row>
    <row r="182">
      <c r="A182" s="19" t="inlineStr">
        <is>
          <t>M025-Q01</t>
        </is>
      </c>
      <c r="B182" s="19" t="inlineStr">
        <is>
          <t>PROV-M025-010</t>
        </is>
      </c>
      <c r="C182" s="17" t="inlineStr">
        <is>
          <t>Prevention of Frauds Ordinance No. 7 of 1840</t>
        </is>
      </c>
      <c r="D182" s="17" t="inlineStr">
        <is>
          <t>s.2 (1)</t>
        </is>
      </c>
      <c r="E182" s="17" t="inlineStr">
        <is>
          <t>2024-10</t>
        </is>
      </c>
      <c r="F182" s="17" t="inlineStr">
        <is>
          <t>Current on reference date</t>
        </is>
      </c>
      <c r="G182"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182" s="17" t="inlineStr">
        <is>
          <t>https://lankalaw.net/wp-content/uploads/2025/03/Prevention-of-Frauds-Consolidated-2024.pdf</t>
        </is>
      </c>
      <c r="I182" s="17" t="inlineStr">
        <is>
          <t>Background</t>
        </is>
      </c>
      <c r="J182" s="17" t="inlineStr">
        <is>
          <t>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TEMPORAL: In force at 2024-10, but the corpus text is the version as amended by Act No. 30 of 2022 and Act No. 4 of 2024. The deeds in this matter were executed in 2011 and 2014, before those amendments, so the corpus wording (thumb impressions, transferee execution) is not the text that governed their execution. Used only as background for the general notarial-writing requirement, which predates the amendments.</t>
        </is>
      </c>
      <c r="K182" s="17" t="inlineStr">
        <is>
          <t>[partially_verified]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t>
        </is>
      </c>
      <c r="L182" s="21" t="n"/>
      <c r="M182" s="21" t="n"/>
      <c r="N182" s="21" t="n"/>
      <c r="O182" s="21" t="n"/>
      <c r="P182" s="21" t="n"/>
      <c r="Q182" s="17">
        <f>IF(OR(A182="",B182=""),"",IF(AND(L182&lt;&gt;"",P182&lt;&gt;"",IF(L182="Wrong citation",AND(M182&lt;&gt;"",N182&lt;&gt;""),TRUE)),"Complete","Pending"))</f>
        <v/>
      </c>
    </row>
    <row r="183">
      <c r="A183" s="19" t="inlineStr">
        <is>
          <t>M025-Q01</t>
        </is>
      </c>
      <c r="B183" s="19" t="inlineStr">
        <is>
          <t>PROV-M025-902</t>
        </is>
      </c>
      <c r="C183" s="17" t="inlineStr">
        <is>
          <t>Matrimonial Rights and Inheritance Ordinance No. 15 of 1876</t>
        </is>
      </c>
      <c r="D183" s="17" t="inlineStr">
        <is>
          <t>s.26</t>
        </is>
      </c>
      <c r="E183" s="17" t="inlineStr">
        <is>
          <t>2024-10</t>
        </is>
      </c>
      <c r="F183" s="17" t="inlineStr">
        <is>
          <t>Current on reference date</t>
        </is>
      </c>
      <c r="G183" s="17" t="inlineStr">
        <is>
          <t>Father and mother both failing, the property of the intestate goes to his brothers and sisters, whether of the whole or balf-blood, and their children and other issue by representation.</t>
        </is>
      </c>
      <c r="H183" s="17" t="inlineStr">
        <is>
          <t>https://lankalaw.net/wp-content/uploads/2024/03/mrai69364.pdf</t>
        </is>
      </c>
      <c r="I183" s="17" t="inlineStr">
        <is>
          <t>Background</t>
        </is>
      </c>
      <c r="J183" s="17" t="inlineStr">
        <is>
          <t>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TEMPORAL: In force from 1876; no amendment event recorded in the corpus. The corpus body carries an OCR corruption, "balf-blood" for "half-blood"; the excerpt is quoted as the corpus holds it.</t>
        </is>
      </c>
      <c r="K183" s="17" t="inlineStr">
        <is>
          <t>[verified]</t>
        </is>
      </c>
      <c r="L183" s="21" t="n"/>
      <c r="M183" s="21" t="n"/>
      <c r="N183" s="21" t="n"/>
      <c r="O183" s="21" t="n"/>
      <c r="P183" s="21" t="n"/>
      <c r="Q183" s="17">
        <f>IF(OR(A183="",B183=""),"",IF(AND(L183&lt;&gt;"",P183&lt;&gt;"",IF(L183="Wrong citation",AND(M183&lt;&gt;"",N183&lt;&gt;""),TRUE)),"Complete","Pending"))</f>
        <v/>
      </c>
    </row>
    <row r="184">
      <c r="A184" s="19" t="inlineStr">
        <is>
          <t>M025-Q01</t>
        </is>
      </c>
      <c r="B184" s="19" t="inlineStr">
        <is>
          <t>PROV-M025-903</t>
        </is>
      </c>
      <c r="C184" s="17" t="inlineStr">
        <is>
          <t>Matrimonial Rights and Inheritance Ordinance No. 15 of 1876</t>
        </is>
      </c>
      <c r="D184" s="17" t="inlineStr">
        <is>
          <t>s.36</t>
        </is>
      </c>
      <c r="E184" s="17" t="inlineStr">
        <is>
          <t>2024-10</t>
        </is>
      </c>
      <c r="F184" s="17" t="inlineStr">
        <is>
          <t>Current on reference date</t>
        </is>
      </c>
      <c r="G184" s="17" t="inlineStr">
        <is>
          <t>In all questions relating to the distribution of the property of an intestate, if the present Ordinance is silent, the rules of the Roman-Dutch law as it prevailed in North Holland are to govern and be followed.</t>
        </is>
      </c>
      <c r="H184" s="17" t="inlineStr">
        <is>
          <t>https://lankalaw.net/wp-content/uploads/2024/03/mrai69364.pdf</t>
        </is>
      </c>
      <c r="I184" s="17" t="inlineStr">
        <is>
          <t>Background</t>
        </is>
      </c>
      <c r="J184" s="17" t="inlineStr">
        <is>
          <t>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TEMPORAL: In force from 1876; no amendment event recorded in the corpus.</t>
        </is>
      </c>
      <c r="K184" s="17" t="inlineStr">
        <is>
          <t>[verified]</t>
        </is>
      </c>
      <c r="L184" s="21" t="n"/>
      <c r="M184" s="21" t="n"/>
      <c r="N184" s="21" t="n"/>
      <c r="O184" s="21" t="n"/>
      <c r="P184" s="21" t="n"/>
      <c r="Q184" s="17">
        <f>IF(OR(A184="",B184=""),"",IF(AND(L184&lt;&gt;"",P184&lt;&gt;"",IF(L184="Wrong citation",AND(M184&lt;&gt;"",N184&lt;&gt;""),TRUE)),"Complete","Pending"))</f>
        <v/>
      </c>
    </row>
    <row r="185">
      <c r="A185" s="19" t="inlineStr">
        <is>
          <t>M025-Q02</t>
        </is>
      </c>
      <c r="B185" s="19" t="inlineStr">
        <is>
          <t>PROV-M025-001</t>
        </is>
      </c>
      <c r="C185" s="17" t="inlineStr">
        <is>
          <t>Matrimonial Rights and Inheritance Ordinance No. 15 of 1876</t>
        </is>
      </c>
      <c r="D185" s="17" t="inlineStr">
        <is>
          <t>s.21 (1)</t>
        </is>
      </c>
      <c r="E185" s="17" t="inlineStr">
        <is>
          <t>2024-10</t>
        </is>
      </c>
      <c r="F185" s="17" t="inlineStr">
        <is>
          <t>Current on reference date</t>
        </is>
      </c>
      <c r="G185" s="17" t="inlineStr">
        <is>
          <t>Inheritance ab interstate to the immovable property in Sri Lanka of a person deceased shall be governed and regulated by the following provisions of this Ordinance wherever such person may have or have had his actual or matrimonial domicile.</t>
        </is>
      </c>
      <c r="H185" s="17" t="inlineStr">
        <is>
          <t>https://lankalaw.net/wp-content/uploads/2024/03/mrai69364.pdf</t>
        </is>
      </c>
      <c r="I185" s="17" t="inlineStr">
        <is>
          <t>Indispensable</t>
        </is>
      </c>
      <c r="J185" s="17" t="inlineStr">
        <is>
          <t>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TEMPORAL: In force from 1876; the corpus records no amendment event for this section, so the same text governed the deaths in 2013, 2017 and 2018 and is in force at 2024-10.</t>
        </is>
      </c>
      <c r="K185" s="17" t="inlineStr">
        <is>
          <t>[verified]</t>
        </is>
      </c>
      <c r="L185" s="21" t="n"/>
      <c r="M185" s="21" t="n"/>
      <c r="N185" s="21" t="n"/>
      <c r="O185" s="21" t="n"/>
      <c r="P185" s="21" t="n"/>
      <c r="Q185" s="17">
        <f>IF(OR(A185="",B185=""),"",IF(AND(L185&lt;&gt;"",P185&lt;&gt;"",IF(L185="Wrong citation",AND(M185&lt;&gt;"",N185&lt;&gt;""),TRUE)),"Complete","Pending"))</f>
        <v/>
      </c>
    </row>
    <row r="186">
      <c r="A186" s="19" t="inlineStr">
        <is>
          <t>M025-Q02</t>
        </is>
      </c>
      <c r="B186" s="19" t="inlineStr">
        <is>
          <t>PROV-M025-003</t>
        </is>
      </c>
      <c r="C186" s="17" t="inlineStr">
        <is>
          <t>Matrimonial Rights and Inheritance Ordinance No. 15 of 1876</t>
        </is>
      </c>
      <c r="D186" s="17" t="inlineStr">
        <is>
          <t>s.22</t>
        </is>
      </c>
      <c r="E186" s="17" t="inlineStr">
        <is>
          <t>2024-10</t>
        </is>
      </c>
      <c r="F186" s="17" t="inlineStr">
        <is>
          <t>Current on reference date</t>
        </is>
      </c>
      <c r="G186" s="17" t="inlineStr">
        <is>
          <t>When any person shall die intestate as to any of his or her property, leaving a spouse surviving, the surviving spouse shall inherit one-half of the property of such person.</t>
        </is>
      </c>
      <c r="H186" s="17" t="inlineStr">
        <is>
          <t>https://lankalaw.net/wp-content/uploads/2024/03/mrai69364.pdf</t>
        </is>
      </c>
      <c r="I186" s="17" t="inlineStr">
        <is>
          <t>Indispensable</t>
        </is>
      </c>
      <c r="J186" s="17" t="inlineStr">
        <is>
          <t>Governs the share of Sena, the surviving husband of Sarathi, who died intestate on 8 August 2018. It also explains why nothing passes to a spouse out of the estates of Kasun (who died unmarried) and Thilak (no surviving spouse disclosed).
TEMPORAL: In force from 1876; no amendment event recorded in the corpus, so the same text applied at Sarathi's death in 2018 and at 2024-10.</t>
        </is>
      </c>
      <c r="K186" s="17" t="inlineStr">
        <is>
          <t>[verified]</t>
        </is>
      </c>
      <c r="L186" s="21" t="n"/>
      <c r="M186" s="21" t="n"/>
      <c r="N186" s="21" t="n"/>
      <c r="O186" s="21" t="n"/>
      <c r="P186" s="21" t="n"/>
      <c r="Q186" s="17">
        <f>IF(OR(A186="",B186=""),"",IF(AND(L186&lt;&gt;"",P186&lt;&gt;"",IF(L186="Wrong citation",AND(M186&lt;&gt;"",N186&lt;&gt;""),TRUE)),"Complete","Pending"))</f>
        <v/>
      </c>
    </row>
    <row r="187">
      <c r="A187" s="19" t="inlineStr">
        <is>
          <t>M025-Q02</t>
        </is>
      </c>
      <c r="B187" s="19" t="inlineStr">
        <is>
          <t>PROV-M025-004</t>
        </is>
      </c>
      <c r="C187" s="17" t="inlineStr">
        <is>
          <t>Matrimonial Rights and Inheritance Ordinance No. 15 of 1876</t>
        </is>
      </c>
      <c r="D187" s="17" t="inlineStr">
        <is>
          <t>s.23</t>
        </is>
      </c>
      <c r="E187" s="17" t="inlineStr">
        <is>
          <t>2024-10</t>
        </is>
      </c>
      <c r="F187" s="17" t="inlineStr">
        <is>
          <t>Current on reference date</t>
        </is>
      </c>
      <c r="G187" s="17" t="inlineStr">
        <is>
          <t>Subject to the right of the surviving spouse in the preceding section mentioned, the right of inheritance is divided in the following order as respects (a) descendants, (b) ascendants, (c) collaterals.</t>
        </is>
      </c>
      <c r="H187" s="17" t="inlineStr">
        <is>
          <t>https://lankalaw.net/wp-content/uploads/2024/03/mrai69364.pdf</t>
        </is>
      </c>
      <c r="I187" s="17" t="inlineStr">
        <is>
          <t>Indispensable</t>
        </is>
      </c>
      <c r="J187" s="17" t="inlineStr">
        <is>
          <t>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TEMPORAL: In force from 1876; no amendment event recorded in the corpus.</t>
        </is>
      </c>
      <c r="K187" s="17" t="inlineStr">
        <is>
          <t>[verified]</t>
        </is>
      </c>
      <c r="L187" s="21" t="n"/>
      <c r="M187" s="21" t="n"/>
      <c r="N187" s="21" t="n"/>
      <c r="O187" s="21" t="n"/>
      <c r="P187" s="21" t="n"/>
      <c r="Q187" s="17">
        <f>IF(OR(A187="",B187=""),"",IF(AND(L187&lt;&gt;"",P187&lt;&gt;"",IF(L187="Wrong citation",AND(M187&lt;&gt;"",N187&lt;&gt;""),TRUE)),"Complete","Pending"))</f>
        <v/>
      </c>
    </row>
    <row r="188">
      <c r="A188" s="19" t="inlineStr">
        <is>
          <t>M025-Q02</t>
        </is>
      </c>
      <c r="B188" s="19" t="inlineStr">
        <is>
          <t>PROV-M025-005</t>
        </is>
      </c>
      <c r="C188" s="17" t="inlineStr">
        <is>
          <t>Matrimonial Rights and Inheritance Ordinance No. 15 of 1876</t>
        </is>
      </c>
      <c r="D188" s="17" t="inlineStr">
        <is>
          <t>s.24</t>
        </is>
      </c>
      <c r="E188" s="17" t="inlineStr">
        <is>
          <t>2024-10</t>
        </is>
      </c>
      <c r="F188" s="17" t="inlineStr">
        <is>
          <t>Current on reference date</t>
        </is>
      </c>
      <c r="G188" s="17" t="inlineStr">
        <is>
          <t>Children, grandchildren, and remoter descendants are preferent to all others in the estate of the parents; all the children take equally per capita, but the children or remoter issue of a deceased child take per stirpes or by representation.</t>
        </is>
      </c>
      <c r="H188" s="17" t="inlineStr">
        <is>
          <t>https://lankalaw.net/wp-content/uploads/2024/03/mrai69364.pdf</t>
        </is>
      </c>
      <c r="I188" s="17" t="inlineStr">
        <is>
          <t>Indispensable</t>
        </is>
      </c>
      <c r="J188" s="17" t="inlineStr">
        <is>
          <t>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TEMPORAL: In force from 1876; no amendment event recorded in the corpus, so the same text applied at Thilak's death in 2017 and at 2024-10.</t>
        </is>
      </c>
      <c r="K188" s="17" t="inlineStr">
        <is>
          <t>[verified]</t>
        </is>
      </c>
      <c r="L188" s="21" t="n"/>
      <c r="M188" s="21" t="n"/>
      <c r="N188" s="21" t="n"/>
      <c r="O188" s="21" t="n"/>
      <c r="P188" s="21" t="n"/>
      <c r="Q188" s="17">
        <f>IF(OR(A188="",B188=""),"",IF(AND(L188&lt;&gt;"",P188&lt;&gt;"",IF(L188="Wrong citation",AND(M188&lt;&gt;"",N188&lt;&gt;""),TRUE)),"Complete","Pending"))</f>
        <v/>
      </c>
    </row>
    <row r="189">
      <c r="A189" s="19" t="inlineStr">
        <is>
          <t>M025-Q02</t>
        </is>
      </c>
      <c r="B189" s="19" t="inlineStr">
        <is>
          <t>PROV-M025-006</t>
        </is>
      </c>
      <c r="C189" s="17" t="inlineStr">
        <is>
          <t>Matrimonial Rights and Inheritance Ordinance No. 15 of 1876</t>
        </is>
      </c>
      <c r="D189" s="17" t="inlineStr">
        <is>
          <t>s.25</t>
        </is>
      </c>
      <c r="E189" s="17" t="inlineStr">
        <is>
          <t>2024-10</t>
        </is>
      </c>
      <c r="F189" s="17" t="inlineStr">
        <is>
          <t>Current on reference date</t>
        </is>
      </c>
      <c r="G189"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189" s="17" t="inlineStr">
        <is>
          <t>https://lankalaw.net/wp-content/uploads/2024/03/mrai69364.pdf</t>
        </is>
      </c>
      <c r="I189" s="17" t="inlineStr">
        <is>
          <t>Indispensable</t>
        </is>
      </c>
      <c r="J189" s="17" t="inlineStr">
        <is>
          <t>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TEMPORAL: In force from 1876; no amendment event recorded in the corpus, so the same text applied at Kasun's death in 2013, at Sarathi's death in 2018 and at 2024-10.</t>
        </is>
      </c>
      <c r="K189" s="17" t="inlineStr">
        <is>
          <t>[partially_verified]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t>
        </is>
      </c>
      <c r="L189" s="21" t="n"/>
      <c r="M189" s="21" t="n"/>
      <c r="N189" s="21" t="n"/>
      <c r="O189" s="21" t="n"/>
      <c r="P189" s="21" t="n"/>
      <c r="Q189" s="17">
        <f>IF(OR(A189="",B189=""),"",IF(AND(L189&lt;&gt;"",P189&lt;&gt;"",IF(L189="Wrong citation",AND(M189&lt;&gt;"",N189&lt;&gt;""),TRUE)),"Complete","Pending"))</f>
        <v/>
      </c>
    </row>
    <row r="190">
      <c r="A190" s="19" t="inlineStr">
        <is>
          <t>M025-Q02</t>
        </is>
      </c>
      <c r="B190" s="19" t="inlineStr">
        <is>
          <t>PROV-M025-007</t>
        </is>
      </c>
      <c r="C190" s="17" t="inlineStr">
        <is>
          <t>Matrimonial Rights and Inheritance Ordinance No. 15 of 1876</t>
        </is>
      </c>
      <c r="D190" s="17" t="inlineStr">
        <is>
          <t>s.30</t>
        </is>
      </c>
      <c r="E190" s="17" t="inlineStr">
        <is>
          <t>2024-10</t>
        </is>
      </c>
      <c r="F190" s="17" t="inlineStr">
        <is>
          <t>Current on reference date</t>
        </is>
      </c>
      <c r="G190" s="17" t="inlineStr">
        <is>
          <t>Except when otherwise expressly provided, if all those who succeed to the inheritance are equally near in degree to the intestate, they take per capita, and not per stirpes.</t>
        </is>
      </c>
      <c r="H190" s="17" t="inlineStr">
        <is>
          <t>https://lankalaw.net/wp-content/uploads/2024/03/mrai69364.pdf</t>
        </is>
      </c>
      <c r="I190" s="17" t="inlineStr">
        <is>
          <t>Indispensable</t>
        </is>
      </c>
      <c r="J190" s="17" t="inlineStr">
        <is>
          <t>Supplies the mode of division within the sibling half of Kasun's estate: Sarathi and Amal are equally near in degree to Kasun (both half-sisters and half-brothers on the mother's side), so they take that half per capita, one-quarter of the land each.
TEMPORAL: In force from 1876; no amendment event recorded in the corpus.</t>
        </is>
      </c>
      <c r="K190" s="17" t="inlineStr">
        <is>
          <t>[partially_verified]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t>
        </is>
      </c>
      <c r="L190" s="21" t="n"/>
      <c r="M190" s="21" t="n"/>
      <c r="N190" s="21" t="n"/>
      <c r="O190" s="21" t="n"/>
      <c r="P190" s="21" t="n"/>
      <c r="Q190" s="17">
        <f>IF(OR(A190="",B190=""),"",IF(AND(L190&lt;&gt;"",P190&lt;&gt;"",IF(L190="Wrong citation",AND(M190&lt;&gt;"",N190&lt;&gt;""),TRUE)),"Complete","Pending"))</f>
        <v/>
      </c>
    </row>
    <row r="191">
      <c r="A191" s="19" t="inlineStr">
        <is>
          <t>M025-Q02</t>
        </is>
      </c>
      <c r="B191" s="19" t="inlineStr">
        <is>
          <t>PROV-M025-008</t>
        </is>
      </c>
      <c r="C191" s="17" t="inlineStr">
        <is>
          <t>Matrimonial Rights and Inheritance Ordinance No. 15 of 1876</t>
        </is>
      </c>
      <c r="D191" s="17" t="inlineStr">
        <is>
          <t>s.3</t>
        </is>
      </c>
      <c r="E191" s="17" t="inlineStr">
        <is>
          <t>2024-10</t>
        </is>
      </c>
      <c r="F191" s="17" t="inlineStr">
        <is>
          <t>Current on reference date</t>
        </is>
      </c>
      <c r="G191" s="17" t="inlineStr">
        <is>
          <t>means not having a husband or wife living</t>
        </is>
      </c>
      <c r="H191" s="17" t="inlineStr">
        <is>
          <t>https://lankalaw.net/wp-content/uploads/2024/03/mrai69364.pdf</t>
        </is>
      </c>
      <c r="I191" s="17" t="inlineStr">
        <is>
          <t>Indispensable</t>
        </is>
      </c>
      <c r="J191" s="17" t="inlineStr">
        <is>
          <t>Defines "unmarried" for the purposes of the Ordinance. The background records that Kasun died "intestate and unmarried", which on this definition means he left no surviving spouse, so s.22 gives no half share out of his estate and the whole of it falls to be divided under s.25.
TEMPORAL: In force from 1876; no amendment event recorded in the corpus. The corpus text of this interpretation section has lost its defined-term lead-ins in extraction, so the excerpt reads as a bare definition body; the corpus row records "unmarried" among the section's defined terms.</t>
        </is>
      </c>
      <c r="K191" s="17" t="inlineStr">
        <is>
          <t>[partially_verified]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t>
        </is>
      </c>
      <c r="L191" s="21" t="n"/>
      <c r="M191" s="21" t="n"/>
      <c r="N191" s="21" t="n"/>
      <c r="O191" s="21" t="n"/>
      <c r="P191" s="21" t="n"/>
      <c r="Q191" s="17">
        <f>IF(OR(A191="",B191=""),"",IF(AND(L191&lt;&gt;"",P191&lt;&gt;"",IF(L191="Wrong citation",AND(M191&lt;&gt;"",N191&lt;&gt;""),TRUE)),"Complete","Pending"))</f>
        <v/>
      </c>
    </row>
    <row r="192">
      <c r="A192" s="19" t="inlineStr">
        <is>
          <t>M025-Q02</t>
        </is>
      </c>
      <c r="B192" s="19" t="inlineStr">
        <is>
          <t>PROV-M025-011</t>
        </is>
      </c>
      <c r="C192" s="17" t="inlineStr">
        <is>
          <t>Civil Procedure Code No. 2 of 1889</t>
        </is>
      </c>
      <c r="D192" s="17" t="inlineStr">
        <is>
          <t>s.531 (1)(b)</t>
        </is>
      </c>
      <c r="E192" s="17" t="inlineStr">
        <is>
          <t>2024-10</t>
        </is>
      </c>
      <c r="F192" s="17" t="inlineStr">
        <is>
          <t>Current on reference date</t>
        </is>
      </c>
      <c r="G192" s="17" t="inlineStr">
        <is>
          <t>make order for the issue of a certificate of heir ship in form No. 87A in the First Schedule, to each of the heirs mentioned in the application, stating also the share of the estate which each heir is entitled to receive, if agreed to by the heirs</t>
        </is>
      </c>
      <c r="H192" s="17" t="inlineStr">
        <is>
          <t>https://lankalaw.net/wp-content/uploads/2024/09/Consolidated-Civil-Procedure-Code-upto-Act-No.-43-of-2024.pdf</t>
        </is>
      </c>
      <c r="I192" s="17" t="inlineStr">
        <is>
          <t>Supporting</t>
        </is>
      </c>
      <c r="J192" s="17" t="inlineStr">
        <is>
          <t>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TEMPORAL: In force from 1889, last changed in 1993 (Act No. 14 of 1993 s.4) per the corpus amendment events, so the corpus text was already in force when the testamentary proceeding ran in 2013 and 2014 and remains in force at 2024-10.</t>
        </is>
      </c>
      <c r="K192" s="17" t="inlineStr">
        <is>
          <t>[partially_verified]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t>
        </is>
      </c>
      <c r="L192" s="21" t="n"/>
      <c r="M192" s="21" t="n"/>
      <c r="N192" s="21" t="n"/>
      <c r="O192" s="21" t="n"/>
      <c r="P192" s="21" t="n"/>
      <c r="Q192" s="17">
        <f>IF(OR(A192="",B192=""),"",IF(AND(L192&lt;&gt;"",P192&lt;&gt;"",IF(L192="Wrong citation",AND(M192&lt;&gt;"",N192&lt;&gt;""),TRUE)),"Complete","Pending"))</f>
        <v/>
      </c>
    </row>
    <row r="193">
      <c r="A193" s="19" t="inlineStr">
        <is>
          <t>M025-Q02</t>
        </is>
      </c>
      <c r="B193" s="19" t="inlineStr">
        <is>
          <t>PROV-M025-012</t>
        </is>
      </c>
      <c r="C193" s="17" t="inlineStr">
        <is>
          <t>Civil Procedure Code No. 2 of 1889</t>
        </is>
      </c>
      <c r="D193" s="17" t="inlineStr">
        <is>
          <t>s.724B (1)</t>
        </is>
      </c>
      <c r="E193" s="17" t="inlineStr">
        <is>
          <t>2024-10</t>
        </is>
      </c>
      <c r="F193" s="17" t="inlineStr">
        <is>
          <t>Current on reference date</t>
        </is>
      </c>
      <c r="G193" s="17" t="inlineStr">
        <is>
          <t>establishing that the entire estate has been duly administered and distributed, the court may grant him a discharge and enter an order that the estate has been fully administered.</t>
        </is>
      </c>
      <c r="H193" s="17" t="inlineStr">
        <is>
          <t>https://lankalaw.net/wp-content/uploads/2024/09/Consolidated-Civil-Procedure-Code-upto-Act-No.-43-of-2024.pdf</t>
        </is>
      </c>
      <c r="I193" s="17" t="inlineStr">
        <is>
          <t>Supporting</t>
        </is>
      </c>
      <c r="J193" s="17" t="inlineStr">
        <is>
          <t>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TEMPORAL: In force from 1889, last changed in 1977 (Act No. 20 of 1977 s.108) per the corpus amendment events, so the corpus text governed the 2014 termination and is in force at 2024-10.</t>
        </is>
      </c>
      <c r="K193" s="17" t="inlineStr">
        <is>
          <t>[partially_verified]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t>
        </is>
      </c>
      <c r="L193" s="21" t="n"/>
      <c r="M193" s="21" t="n"/>
      <c r="N193" s="21" t="n"/>
      <c r="O193" s="21" t="n"/>
      <c r="P193" s="21" t="n"/>
      <c r="Q193" s="17">
        <f>IF(OR(A193="",B193=""),"",IF(AND(L193&lt;&gt;"",P193&lt;&gt;"",IF(L193="Wrong citation",AND(M193&lt;&gt;"",N193&lt;&gt;""),TRUE)),"Complete","Pending"))</f>
        <v/>
      </c>
    </row>
    <row r="194">
      <c r="A194" s="19" t="inlineStr">
        <is>
          <t>M025-Q02</t>
        </is>
      </c>
      <c r="B194" s="19" t="inlineStr">
        <is>
          <t>PROV-M025-901</t>
        </is>
      </c>
      <c r="C194" s="17" t="inlineStr">
        <is>
          <t>Matrimonial Rights and Inheritance Ordinance No. 15 of 1876</t>
        </is>
      </c>
      <c r="D194" s="17" t="inlineStr">
        <is>
          <t>s.27</t>
        </is>
      </c>
      <c r="E194" s="17" t="inlineStr">
        <is>
          <t>2024-10</t>
        </is>
      </c>
      <c r="F194" s="17" t="inlineStr">
        <is>
          <t>Current on reference date</t>
        </is>
      </c>
      <c r="G194" s="17" t="inlineStr">
        <is>
          <t>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t>
        </is>
      </c>
      <c r="H194" s="17" t="inlineStr">
        <is>
          <t>https://lankalaw.net/wp-content/uploads/2024/03/mrai69364.pdf</t>
        </is>
      </c>
      <c r="I194" s="17" t="inlineStr">
        <is>
          <t>Supporting</t>
        </is>
      </c>
      <c r="J194" s="17" t="inlineStr">
        <is>
          <t>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TEMPORAL: In force from 1876; the corpus records no amendment event for this section, so the same text applied at Kasun's death in 2013 and is in force at 2024-10.</t>
        </is>
      </c>
      <c r="K194" s="17" t="inlineStr">
        <is>
          <t>[verified]</t>
        </is>
      </c>
      <c r="L194" s="21" t="n"/>
      <c r="M194" s="21" t="n"/>
      <c r="N194" s="21" t="n"/>
      <c r="O194" s="21" t="n"/>
      <c r="P194" s="21" t="n"/>
      <c r="Q194" s="17">
        <f>IF(OR(A194="",B194=""),"",IF(AND(L194&lt;&gt;"",P194&lt;&gt;"",IF(L194="Wrong citation",AND(M194&lt;&gt;"",N194&lt;&gt;""),TRUE)),"Complete","Pending"))</f>
        <v/>
      </c>
    </row>
    <row r="195">
      <c r="A195" s="19" t="inlineStr">
        <is>
          <t>M025-Q02</t>
        </is>
      </c>
      <c r="B195" s="19" t="inlineStr">
        <is>
          <t>PROV-M025-002</t>
        </is>
      </c>
      <c r="C195" s="17" t="inlineStr">
        <is>
          <t>Matrimonial Rights and Inheritance Ordinance No. 15 of 1876</t>
        </is>
      </c>
      <c r="D195" s="17" t="inlineStr">
        <is>
          <t>s.2</t>
        </is>
      </c>
      <c r="E195" s="17" t="inlineStr">
        <is>
          <t>2024-10</t>
        </is>
      </c>
      <c r="F195" s="17" t="inlineStr">
        <is>
          <t>Current on reference date</t>
        </is>
      </c>
      <c r="G195" s="17" t="inlineStr">
        <is>
          <t>this Ordinance shall not apply to Kandyans or Muslims, or to Tamils of the Northern Province who are or may become subject to the Tesawalamai.</t>
        </is>
      </c>
      <c r="H195" s="17" t="inlineStr">
        <is>
          <t>https://lankalaw.net/wp-content/uploads/2024/03/mrai69364.pdf</t>
        </is>
      </c>
      <c r="I195" s="17" t="inlineStr">
        <is>
          <t>Background</t>
        </is>
      </c>
      <c r="J195" s="17" t="inlineStr">
        <is>
          <t>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TEMPORAL: In force from 1876; no amendment event recorded in the corpus.</t>
        </is>
      </c>
      <c r="K195" s="17" t="inlineStr">
        <is>
          <t>[verified]</t>
        </is>
      </c>
      <c r="L195" s="21" t="n"/>
      <c r="M195" s="21" t="n"/>
      <c r="N195" s="21" t="n"/>
      <c r="O195" s="21" t="n"/>
      <c r="P195" s="21" t="n"/>
      <c r="Q195" s="17">
        <f>IF(OR(A195="",B195=""),"",IF(AND(L195&lt;&gt;"",P195&lt;&gt;"",IF(L195="Wrong citation",AND(M195&lt;&gt;"",N195&lt;&gt;""),TRUE)),"Complete","Pending"))</f>
        <v/>
      </c>
    </row>
    <row r="196">
      <c r="A196" s="19" t="inlineStr">
        <is>
          <t>M025-Q02</t>
        </is>
      </c>
      <c r="B196" s="19" t="inlineStr">
        <is>
          <t>PROV-M025-009</t>
        </is>
      </c>
      <c r="C196" s="17" t="inlineStr">
        <is>
          <t>Matrimonial Rights and Inheritance Ordinance No. 15 of 1876</t>
        </is>
      </c>
      <c r="D196" s="17" t="inlineStr">
        <is>
          <t>s.20</t>
        </is>
      </c>
      <c r="E196" s="17" t="inlineStr">
        <is>
          <t>2024-10</t>
        </is>
      </c>
      <c r="F196" s="17" t="inlineStr">
        <is>
          <t>Current on reference date</t>
        </is>
      </c>
      <c r="G196" s="17" t="inlineStr">
        <is>
          <t>The following sections of this Ordinance shall apply to the estates of such persons only as shall die after the proclamation of this Ordinance</t>
        </is>
      </c>
      <c r="H196" s="17" t="inlineStr">
        <is>
          <t>https://lankalaw.net/wp-content/uploads/2024/03/mrai69364.pdf</t>
        </is>
      </c>
      <c r="I196" s="17" t="inlineStr">
        <is>
          <t>Background</t>
        </is>
      </c>
      <c r="J196" s="17" t="inlineStr">
        <is>
          <t>Temporal scope of Part III. Every death in this matter (2011, 2013, 2017, 2018) is long after the proclamation of the Ordinance, so the inheritance sections apply to each estate. Recorded as background because the condition is plainly satisfied.
TEMPORAL: In force from 1876; no amendment event recorded in the corpus.</t>
        </is>
      </c>
      <c r="K196" s="17" t="inlineStr">
        <is>
          <t>[partially_verified]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t>
        </is>
      </c>
      <c r="L196" s="21" t="n"/>
      <c r="M196" s="21" t="n"/>
      <c r="N196" s="21" t="n"/>
      <c r="O196" s="21" t="n"/>
      <c r="P196" s="21" t="n"/>
      <c r="Q196" s="17">
        <f>IF(OR(A196="",B196=""),"",IF(AND(L196&lt;&gt;"",P196&lt;&gt;"",IF(L196="Wrong citation",AND(M196&lt;&gt;"",N196&lt;&gt;""),TRUE)),"Complete","Pending"))</f>
        <v/>
      </c>
    </row>
    <row r="197">
      <c r="A197" s="19" t="inlineStr">
        <is>
          <t>M025-Q02</t>
        </is>
      </c>
      <c r="B197" s="19" t="inlineStr">
        <is>
          <t>PROV-M025-010</t>
        </is>
      </c>
      <c r="C197" s="17" t="inlineStr">
        <is>
          <t>Prevention of Frauds Ordinance No. 7 of 1840</t>
        </is>
      </c>
      <c r="D197" s="17" t="inlineStr">
        <is>
          <t>s.2 (1)</t>
        </is>
      </c>
      <c r="E197" s="17" t="inlineStr">
        <is>
          <t>2024-10</t>
        </is>
      </c>
      <c r="F197" s="17" t="inlineStr">
        <is>
          <t>Current on reference date</t>
        </is>
      </c>
      <c r="G197"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197" s="17" t="inlineStr">
        <is>
          <t>https://lankalaw.net/wp-content/uploads/2025/03/Prevention-of-Frauds-Consolidated-2024.pdf</t>
        </is>
      </c>
      <c r="I197" s="17" t="inlineStr">
        <is>
          <t>Background</t>
        </is>
      </c>
      <c r="J197" s="17" t="inlineStr">
        <is>
          <t>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TEMPORAL: In force at 2024-10, but the corpus text is the version as amended by Act No. 30 of 2022 and Act No. 4 of 2024. The deeds in this matter were executed in 2011 and 2014, before those amendments, so the corpus wording (thumb impressions, transferee execution) is not the text that governed their execution. Used only as background for the general notarial-writing requirement, which predates the amendments.</t>
        </is>
      </c>
      <c r="K197" s="17" t="inlineStr">
        <is>
          <t>[partially_verified]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t>
        </is>
      </c>
      <c r="L197" s="21" t="n"/>
      <c r="M197" s="21" t="n"/>
      <c r="N197" s="21" t="n"/>
      <c r="O197" s="21" t="n"/>
      <c r="P197" s="21" t="n"/>
      <c r="Q197" s="17">
        <f>IF(OR(A197="",B197=""),"",IF(AND(L197&lt;&gt;"",P197&lt;&gt;"",IF(L197="Wrong citation",AND(M197&lt;&gt;"",N197&lt;&gt;""),TRUE)),"Complete","Pending"))</f>
        <v/>
      </c>
    </row>
    <row r="198">
      <c r="A198" s="19" t="inlineStr">
        <is>
          <t>M025-Q02</t>
        </is>
      </c>
      <c r="B198" s="19" t="inlineStr">
        <is>
          <t>PROV-M025-902</t>
        </is>
      </c>
      <c r="C198" s="17" t="inlineStr">
        <is>
          <t>Matrimonial Rights and Inheritance Ordinance No. 15 of 1876</t>
        </is>
      </c>
      <c r="D198" s="17" t="inlineStr">
        <is>
          <t>s.26</t>
        </is>
      </c>
      <c r="E198" s="17" t="inlineStr">
        <is>
          <t>2024-10</t>
        </is>
      </c>
      <c r="F198" s="17" t="inlineStr">
        <is>
          <t>Current on reference date</t>
        </is>
      </c>
      <c r="G198" s="17" t="inlineStr">
        <is>
          <t>Father and mother both failing, the property of the intestate goes to his brothers and sisters, whether of the whole or balf-blood, and their children and other issue by representation.</t>
        </is>
      </c>
      <c r="H198" s="17" t="inlineStr">
        <is>
          <t>https://lankalaw.net/wp-content/uploads/2024/03/mrai69364.pdf</t>
        </is>
      </c>
      <c r="I198" s="17" t="inlineStr">
        <is>
          <t>Background</t>
        </is>
      </c>
      <c r="J198" s="17" t="inlineStr">
        <is>
          <t>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TEMPORAL: In force from 1876; no amendment event recorded in the corpus. The corpus body carries an OCR corruption, "balf-blood" for "half-blood"; the excerpt is quoted as the corpus holds it.</t>
        </is>
      </c>
      <c r="K198" s="17" t="inlineStr">
        <is>
          <t>[verified]</t>
        </is>
      </c>
      <c r="L198" s="21" t="n"/>
      <c r="M198" s="21" t="n"/>
      <c r="N198" s="21" t="n"/>
      <c r="O198" s="21" t="n"/>
      <c r="P198" s="21" t="n"/>
      <c r="Q198" s="17">
        <f>IF(OR(A198="",B198=""),"",IF(AND(L198&lt;&gt;"",P198&lt;&gt;"",IF(L198="Wrong citation",AND(M198&lt;&gt;"",N198&lt;&gt;""),TRUE)),"Complete","Pending"))</f>
        <v/>
      </c>
    </row>
    <row r="199">
      <c r="A199" s="19" t="inlineStr">
        <is>
          <t>M025-Q02</t>
        </is>
      </c>
      <c r="B199" s="19" t="inlineStr">
        <is>
          <t>PROV-M025-903</t>
        </is>
      </c>
      <c r="C199" s="17" t="inlineStr">
        <is>
          <t>Matrimonial Rights and Inheritance Ordinance No. 15 of 1876</t>
        </is>
      </c>
      <c r="D199" s="17" t="inlineStr">
        <is>
          <t>s.36</t>
        </is>
      </c>
      <c r="E199" s="17" t="inlineStr">
        <is>
          <t>2024-10</t>
        </is>
      </c>
      <c r="F199" s="17" t="inlineStr">
        <is>
          <t>Current on reference date</t>
        </is>
      </c>
      <c r="G199" s="17" t="inlineStr">
        <is>
          <t>In all questions relating to the distribution of the property of an intestate, if the present Ordinance is silent, the rules of the Roman-Dutch law as it prevailed in North Holland are to govern and be followed.</t>
        </is>
      </c>
      <c r="H199" s="17" t="inlineStr">
        <is>
          <t>https://lankalaw.net/wp-content/uploads/2024/03/mrai69364.pdf</t>
        </is>
      </c>
      <c r="I199" s="17" t="inlineStr">
        <is>
          <t>Background</t>
        </is>
      </c>
      <c r="J199" s="17" t="inlineStr">
        <is>
          <t>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TEMPORAL: In force from 1876; no amendment event recorded in the corpus.</t>
        </is>
      </c>
      <c r="K199" s="17" t="inlineStr">
        <is>
          <t>[verified]</t>
        </is>
      </c>
      <c r="L199" s="21" t="n"/>
      <c r="M199" s="21" t="n"/>
      <c r="N199" s="21" t="n"/>
      <c r="O199" s="21" t="n"/>
      <c r="P199" s="21" t="n"/>
      <c r="Q199" s="17">
        <f>IF(OR(A199="",B199=""),"",IF(AND(L199&lt;&gt;"",P199&lt;&gt;"",IF(L199="Wrong citation",AND(M199&lt;&gt;"",N199&lt;&gt;""),TRUE)),"Complete","Pending"))</f>
        <v/>
      </c>
    </row>
    <row r="200">
      <c r="A200" s="19" t="inlineStr">
        <is>
          <t>M027-Q01</t>
        </is>
      </c>
      <c r="B200" s="19" t="inlineStr">
        <is>
          <t>PROV-M027-001</t>
        </is>
      </c>
      <c r="C200" s="17" t="inlineStr">
        <is>
          <t>Prevention of Frauds Ordinance No. 7 of 1840</t>
        </is>
      </c>
      <c r="D200" s="17" t="inlineStr">
        <is>
          <t>s.2 (1)(a)</t>
        </is>
      </c>
      <c r="E200" s="17" t="inlineStr">
        <is>
          <t>2024-10</t>
        </is>
      </c>
      <c r="F200" s="17" t="inlineStr">
        <is>
          <t>Current on reference date</t>
        </is>
      </c>
      <c r="G200"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00" s="17" t="inlineStr">
        <is>
          <t>https://lankalaw.net/wp-content/uploads/2025/03/Prevention-of-Frauds-Consolidated-2024.pdf</t>
        </is>
      </c>
      <c r="I200" s="17" t="inlineStr">
        <is>
          <t>Indispensable</t>
        </is>
      </c>
      <c r="J200" s="17" t="inlineStr">
        <is>
          <t>A lease of an apartment for three years is an agreement affecting immovable property outside the 'lease at will or for any period not exceeding one month' exclusion, so it is of no force in law unless it is in writing, signed by every executant or by a person duly authorised by the executant, together with the witnesses, in the presence of a licenced notary and attested by that notary. This both compels notarial execution and supplies the route by which Shantha may sign through an authorised person.
TEMPORAL: Section 2 was last amended in 2024 (Act No. 4 of 2024) and in 2022 (Act No. 30 of 2022); the corpus text is the consolidated version. Commencement dates are not in the corpus.</t>
        </is>
      </c>
      <c r="K200" s="17" t="inlineStr">
        <is>
          <t>[verified]</t>
        </is>
      </c>
      <c r="L200" s="21" t="n"/>
      <c r="M200" s="21" t="n"/>
      <c r="N200" s="21" t="n"/>
      <c r="O200" s="21" t="n"/>
      <c r="P200" s="21" t="n"/>
      <c r="Q200" s="17">
        <f>IF(OR(A200="",B200=""),"",IF(AND(L200&lt;&gt;"",P200&lt;&gt;"",IF(L200="Wrong citation",AND(M200&lt;&gt;"",N200&lt;&gt;""),TRUE)),"Complete","Pending"))</f>
        <v/>
      </c>
    </row>
    <row r="201">
      <c r="A201" s="19" t="inlineStr">
        <is>
          <t>M027-Q01</t>
        </is>
      </c>
      <c r="B201" s="19" t="inlineStr">
        <is>
          <t>PROV-M027-002</t>
        </is>
      </c>
      <c r="C201" s="17" t="inlineStr">
        <is>
          <t>Notaries Ordinance No. 1 of 1907</t>
        </is>
      </c>
      <c r="D201" s="17" t="inlineStr">
        <is>
          <t>s.31 rule (12)</t>
        </is>
      </c>
      <c r="E201" s="17" t="inlineStr">
        <is>
          <t>2024-10</t>
        </is>
      </c>
      <c r="F201" s="17" t="inlineStr">
        <is>
          <t>Current on reference date</t>
        </is>
      </c>
      <c r="G201"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201" s="17" t="inlineStr">
        <is>
          <t>https://www.rgd.gov.lk/web/images/ActsPDF/notary/Notaries-English.pdf</t>
        </is>
      </c>
      <c r="I201" s="17" t="inlineStr">
        <is>
          <t>Indispensable</t>
        </is>
      </c>
      <c r="J201" s="17" t="inlineStr">
        <is>
          <t>Fixes the core execution requirement: the executant and the witnesses must sign in the notary's presence and in the presence of one another. This is why Shantha cannot simply post a signed agreement to Kanthi.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01" s="17" t="inlineStr">
        <is>
          <t>[verified]</t>
        </is>
      </c>
      <c r="L201" s="21" t="n"/>
      <c r="M201" s="21" t="n"/>
      <c r="N201" s="21" t="n"/>
      <c r="O201" s="21" t="n"/>
      <c r="P201" s="21" t="n"/>
      <c r="Q201" s="17">
        <f>IF(OR(A201="",B201=""),"",IF(AND(L201&lt;&gt;"",P201&lt;&gt;"",IF(L201="Wrong citation",AND(M201&lt;&gt;"",N201&lt;&gt;""),TRUE)),"Complete","Pending"))</f>
        <v/>
      </c>
    </row>
    <row r="202">
      <c r="A202" s="19" t="inlineStr">
        <is>
          <t>M027-Q01</t>
        </is>
      </c>
      <c r="B202" s="19" t="inlineStr">
        <is>
          <t>PROV-M027-003</t>
        </is>
      </c>
      <c r="C202" s="17" t="inlineStr">
        <is>
          <t>Notaries Ordinance No. 1 of 1907</t>
        </is>
      </c>
      <c r="D202" s="17" t="inlineStr">
        <is>
          <t>s.31 rule (22)</t>
        </is>
      </c>
      <c r="E202" s="17" t="inlineStr">
        <is>
          <t>2024-10</t>
        </is>
      </c>
      <c r="F202" s="17" t="inlineStr">
        <is>
          <t>Current on reference date</t>
        </is>
      </c>
      <c r="G202" s="17" t="inlineStr">
        <is>
          <t>(22)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202" s="17" t="inlineStr">
        <is>
          <t>https://www.rgd.gov.lk/web/images/ActsPDF/notary/Notaries-English.pdf</t>
        </is>
      </c>
      <c r="I202" s="17" t="inlineStr">
        <is>
          <t>Indispensable</t>
        </is>
      </c>
      <c r="J202" s="17" t="inlineStr">
        <is>
          <t>A notary may not attest a deed in any area other than the area in which she is authorised to practise. Kanthi practises in Colombo, so if the Negombo area lies outside her authorised area she cannot travel to Negombo and attest Shantha's signature there.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02" s="17" t="inlineStr">
        <is>
          <t>[verified]</t>
        </is>
      </c>
      <c r="L202" s="21" t="n"/>
      <c r="M202" s="21" t="n"/>
      <c r="N202" s="21" t="n"/>
      <c r="O202" s="21" t="n"/>
      <c r="P202" s="21" t="n"/>
      <c r="Q202" s="17">
        <f>IF(OR(A202="",B202=""),"",IF(AND(L202&lt;&gt;"",P202&lt;&gt;"",IF(L202="Wrong citation",AND(M202&lt;&gt;"",N202&lt;&gt;""),TRUE)),"Complete","Pending"))</f>
        <v/>
      </c>
    </row>
    <row r="203">
      <c r="A203" s="19" t="inlineStr">
        <is>
          <t>M027-Q01</t>
        </is>
      </c>
      <c r="B203" s="19" t="inlineStr">
        <is>
          <t>PROV-M027-004</t>
        </is>
      </c>
      <c r="C203" s="17" t="inlineStr">
        <is>
          <t>Notaries Ordinance No. 1 of 1907</t>
        </is>
      </c>
      <c r="D203" s="17" t="inlineStr">
        <is>
          <t>s.31 rule (25)</t>
        </is>
      </c>
      <c r="E203" s="17" t="inlineStr">
        <is>
          <t>2024-10</t>
        </is>
      </c>
      <c r="F203" s="17" t="inlineStr">
        <is>
          <t>Current on reference date</t>
        </is>
      </c>
      <c r="G203"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t>
        </is>
      </c>
      <c r="H203" s="17" t="inlineStr">
        <is>
          <t>https://www.rgd.gov.lk/web/images/ActsPDF/notary/Notaries-English.pdf</t>
        </is>
      </c>
      <c r="I203" s="17" t="inlineStr">
        <is>
          <t>Indispensable</t>
        </is>
      </c>
      <c r="J203" s="17" t="inlineStr">
        <is>
          <t>Expressly contemplates a deed or instrument executed or acknowledged before more than one notary and allocates the attestation duties between the first attesting notary and every other attesting notary. This is the statutory basis for Shantha signing before a notary where he is and Ananda signing before Kanthi in Colombo.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03" s="17" t="inlineStr">
        <is>
          <t>[verified]</t>
        </is>
      </c>
      <c r="L203" s="21" t="n"/>
      <c r="M203" s="21" t="n"/>
      <c r="N203" s="21" t="n"/>
      <c r="O203" s="21" t="n"/>
      <c r="P203" s="21" t="n"/>
      <c r="Q203" s="17">
        <f>IF(OR(A203="",B203=""),"",IF(AND(L203&lt;&gt;"",P203&lt;&gt;"",IF(L203="Wrong citation",AND(M203&lt;&gt;"",N203&lt;&gt;""),TRUE)),"Complete","Pending"))</f>
        <v/>
      </c>
    </row>
    <row r="204">
      <c r="A204" s="19" t="inlineStr">
        <is>
          <t>M027-Q01</t>
        </is>
      </c>
      <c r="B204" s="19" t="inlineStr">
        <is>
          <t>PROV-M027-005</t>
        </is>
      </c>
      <c r="C204" s="17" t="inlineStr">
        <is>
          <t>Notaries Ordinance No. 1 of 1907</t>
        </is>
      </c>
      <c r="D204" s="17" t="inlineStr">
        <is>
          <t>s.32 (2)(i)</t>
        </is>
      </c>
      <c r="E204" s="17" t="inlineStr">
        <is>
          <t>2024-10</t>
        </is>
      </c>
      <c r="F204" s="17" t="inlineStr">
        <is>
          <t>Current on reference date</t>
        </is>
      </c>
      <c r="G204" s="17" t="inlineStr">
        <is>
          <t>(2)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204" s="17" t="inlineStr">
        <is>
          <t>https://www.rgd.gov.lk/web/images/ActsPDF/notary/Notaries-English.pdf</t>
        </is>
      </c>
      <c r="I204" s="17" t="inlineStr">
        <is>
          <t>Indispensable</t>
        </is>
      </c>
      <c r="J204" s="17" t="inlineStr">
        <is>
          <t>Deals in terms with a deed to be executed by two or more parties who do not sign at the same time and place, and fixes when the instrument is deemed executed for the purposes of rules (6), (7), (23) and (25). It confirms that split execution is lawful and tells Kanthi which date governs stamping and numbering.
TEMPORAL: Unamended 1907 text in the corpus; no amendment event recorded, so in force at October 2024.</t>
        </is>
      </c>
      <c r="K204" s="17" t="inlineStr">
        <is>
          <t>[verified]</t>
        </is>
      </c>
      <c r="L204" s="21" t="n"/>
      <c r="M204" s="21" t="n"/>
      <c r="N204" s="21" t="n"/>
      <c r="O204" s="21" t="n"/>
      <c r="P204" s="21" t="n"/>
      <c r="Q204" s="17">
        <f>IF(OR(A204="",B204=""),"",IF(AND(L204&lt;&gt;"",P204&lt;&gt;"",IF(L204="Wrong citation",AND(M204&lt;&gt;"",N204&lt;&gt;""),TRUE)),"Complete","Pending"))</f>
        <v/>
      </c>
    </row>
    <row r="205">
      <c r="A205" s="19" t="inlineStr">
        <is>
          <t>M027-Q01</t>
        </is>
      </c>
      <c r="B205" s="19" t="inlineStr">
        <is>
          <t>PROV-M027-012</t>
        </is>
      </c>
      <c r="C205" s="17" t="inlineStr">
        <is>
          <t>Notaries Ordinance No. 1 of 1907</t>
        </is>
      </c>
      <c r="D205" s="17" t="inlineStr">
        <is>
          <t>s.31 rule (30A)</t>
        </is>
      </c>
      <c r="E205" s="17" t="inlineStr">
        <is>
          <t>2024-10</t>
        </is>
      </c>
      <c r="F205" s="17" t="inlineStr">
        <is>
          <t>Current on reference date</t>
        </is>
      </c>
      <c r="G205" s="17" t="inlineStr">
        <is>
          <t>(30A) It shall be the duty of every notary to submit for registration to the Registrar, every deed or instrument attested by him before the expiry of thirty days from the date of attestation thereof: Provided that, where such deed or instrument is required to be registered outside the jurisdiction in which he is practicing, he shall submit such deed or instrument for registration before the expiry of sixty days from the date of attestation.</t>
        </is>
      </c>
      <c r="H205" s="17" t="inlineStr">
        <is>
          <t>https://www.rgd.gov.lk/web/images/ActsPDF/notary/Notaries-English.pdf</t>
        </is>
      </c>
      <c r="I205" s="17" t="inlineStr">
        <is>
          <t>Indispensable</t>
        </is>
      </c>
      <c r="J205" s="17" t="inlineStr">
        <is>
          <t>The registration deadline: every deed attested must be submitted for registration within thirty days of attestation, or sixty days where it has to be registered outside the jurisdiction in which the notary practises. The apartment is in Negombo and Kanthi practises in Colombo, so the sixty-day limb is the one in issue.
TEMPORAL: Consolidated Notaries Ordinance text; latest recorded change 2022 (Act No. 31 of 2022), before the October 2024 matter date. The corpus carries years only, not commencement dates.</t>
        </is>
      </c>
      <c r="K205" s="17" t="inlineStr">
        <is>
          <t>[verified]</t>
        </is>
      </c>
      <c r="L205" s="21" t="n"/>
      <c r="M205" s="21" t="n"/>
      <c r="N205" s="21" t="n"/>
      <c r="O205" s="21" t="n"/>
      <c r="P205" s="21" t="n"/>
      <c r="Q205" s="17">
        <f>IF(OR(A205="",B205=""),"",IF(AND(L205&lt;&gt;"",P205&lt;&gt;"",IF(L205="Wrong citation",AND(M205&lt;&gt;"",N205&lt;&gt;""),TRUE)),"Complete","Pending"))</f>
        <v/>
      </c>
    </row>
    <row r="206">
      <c r="A206" s="19" t="inlineStr">
        <is>
          <t>M027-Q01</t>
        </is>
      </c>
      <c r="B206" s="19" t="inlineStr">
        <is>
          <t>PROV-M027-015</t>
        </is>
      </c>
      <c r="C206" s="17" t="inlineStr">
        <is>
          <t>Registration of Documents Ordinance No. 23 of 1927</t>
        </is>
      </c>
      <c r="D206" s="17" t="inlineStr">
        <is>
          <t>s.8 (b)</t>
        </is>
      </c>
      <c r="E206" s="17" t="inlineStr">
        <is>
          <t>2024-10</t>
        </is>
      </c>
      <c r="F206" s="17" t="inlineStr">
        <is>
          <t>Current on reference date</t>
        </is>
      </c>
      <c r="G206" s="17" t="inlineStr">
        <is>
          <t>(b) if executed or made after the commencement of this Ordinance, 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 or which create or record or are evidence of any contract for effecting any such object</t>
        </is>
      </c>
      <c r="H206" s="17" t="inlineStr">
        <is>
          <t>https://lankalaw.net/wp-content/uploads/2025/03/Registration-of-Documents-Consolidated-2024.pdf</t>
        </is>
      </c>
      <c r="I206" s="17" t="inlineStr">
        <is>
          <t>Indispensable</t>
        </is>
      </c>
      <c r="J206" s="17" t="inlineStr">
        <is>
          <t>A three-year lease is an instrument that creates an interest in land, so it is deemed to affect land and falls within the registration chapter. The proviso excludes only tenancies at will or for a period not exceeding one month, which this is not.
TEMPORAL: Corpus text is the 1990 consolidation of the Ordinance. Section 8 was later amended by the Registration of Documents (Amendment) Act, No. 18 of 2024, s.2 (new subparagraph (xii) in the proviso to paragraph (b)), which does not affect a lease; that Act comes into operation on a date appointed by the Minister and the corpus records no commencement date. Paragraph (b) as relied on here was in force at October 2024.</t>
        </is>
      </c>
      <c r="K206" s="17" t="inlineStr">
        <is>
          <t>[partially_verified] Wording and role confirmed, but the temporal note is wrong: section 8 was amended by the Registration of Documents (Amendment) Act, No. 18 of 2024, s.2, which adds subparagraph (xii) to the proviso to paragraph (b); the corpus text is the 1990 consolidation and does not carry it. The new subparagraph excludes agreements under the Secured Transactions law and does not affect a lease, and Act No. 18 of 2024 comes into operation on a date appointed by the Minister, which the corpus does not record.</t>
        </is>
      </c>
      <c r="L206" s="21" t="n"/>
      <c r="M206" s="21" t="n"/>
      <c r="N206" s="21" t="n"/>
      <c r="O206" s="21" t="n"/>
      <c r="P206" s="21" t="n"/>
      <c r="Q206" s="17">
        <f>IF(OR(A206="",B206=""),"",IF(AND(L206&lt;&gt;"",P206&lt;&gt;"",IF(L206="Wrong citation",AND(M206&lt;&gt;"",N206&lt;&gt;""),TRUE)),"Complete","Pending"))</f>
        <v/>
      </c>
    </row>
    <row r="207">
      <c r="A207" s="19" t="inlineStr">
        <is>
          <t>M027-Q01</t>
        </is>
      </c>
      <c r="B207" s="19" t="inlineStr">
        <is>
          <t>PROV-M027-017</t>
        </is>
      </c>
      <c r="C207" s="17" t="inlineStr">
        <is>
          <t>Registration of Documents Ordinance No. 23 of 1927</t>
        </is>
      </c>
      <c r="D207" s="17" t="inlineStr">
        <is>
          <t>s.14 (1)</t>
        </is>
      </c>
      <c r="E207" s="17" t="inlineStr">
        <is>
          <t>2024-10</t>
        </is>
      </c>
      <c r="F207" s="17" t="inlineStr">
        <is>
          <t>Current on reference date</t>
        </is>
      </c>
      <c r="G207" s="17" t="inlineStr">
        <is>
          <t>(1) Every instrument presented for registration shall be registered in the book allotted to the division in which the land affected by the instrument is situated</t>
        </is>
      </c>
      <c r="H207" s="17" t="inlineStr">
        <is>
          <t>https://lankalaw.net/wp-content/uploads/2025/03/Registration-of-Documents-Consolidated-2024.pdf</t>
        </is>
      </c>
      <c r="I207" s="17" t="inlineStr">
        <is>
          <t>Indispensable</t>
        </is>
      </c>
      <c r="J207" s="17" t="inlineStr">
        <is>
          <t>Fixes the place of registration: the book allotted to the division in which the land affected is situated - here the land registry for the division covering the Negombo apartment, not Colombo.
TEMPORAL: Corpus text carries a 1974 editorial marker; no amendment event is recorded against the operative words relied on here. In force at October 2024.</t>
        </is>
      </c>
      <c r="K207" s="17" t="inlineStr">
        <is>
          <t>[verified]</t>
        </is>
      </c>
      <c r="L207" s="21" t="n"/>
      <c r="M207" s="21" t="n"/>
      <c r="N207" s="21" t="n"/>
      <c r="O207" s="21" t="n"/>
      <c r="P207" s="21" t="n"/>
      <c r="Q207" s="17">
        <f>IF(OR(A207="",B207=""),"",IF(AND(L207&lt;&gt;"",P207&lt;&gt;"",IF(L207="Wrong citation",AND(M207&lt;&gt;"",N207&lt;&gt;""),TRUE)),"Complete","Pending"))</f>
        <v/>
      </c>
    </row>
    <row r="208">
      <c r="A208" s="19" t="inlineStr">
        <is>
          <t>M027-Q01</t>
        </is>
      </c>
      <c r="B208" s="19" t="inlineStr">
        <is>
          <t>PROV-M027-901</t>
        </is>
      </c>
      <c r="C208" s="17" t="inlineStr">
        <is>
          <t>Notaries Ordinance No. 1 of 1907</t>
        </is>
      </c>
      <c r="D208" s="17" t="inlineStr">
        <is>
          <t>s.2</t>
        </is>
      </c>
      <c r="E208" s="17" t="inlineStr">
        <is>
          <t>2024-10</t>
        </is>
      </c>
      <c r="F208" s="17" t="inlineStr">
        <is>
          <t>Current on reference date</t>
        </is>
      </c>
      <c r="G208" s="17" t="inlineStr">
        <is>
          <t>Every appointment to the office of notary shall be by warrant granted by the Minister, and shall specify the area within which, and the language or languages in which, the person appointed is authorized to practice.</t>
        </is>
      </c>
      <c r="H208" s="17" t="inlineStr">
        <is>
          <t>https://www.rgd.gov.lk/web/images/ActsPDF/notary/Notaries-English.pdf</t>
        </is>
      </c>
      <c r="I208" s="17" t="inlineStr">
        <is>
          <t>Indispensable</t>
        </is>
      </c>
      <c r="J208" s="17" t="inlineStr">
        <is>
          <t>Supplies the referent for the words the area in which he is authorized to practice in section 31 rule (22): that area is the one specified in the notary's warrant. Without it rule (22) cannot be applied to Kanthi at all, and the answer's step from practising in Colombo to may not attest in Negombo has no statutory anchor.
TEMPORAL: Unamended 1907 text in the corpus; no amendment event recorded against section 2, so in force at October 2024.</t>
        </is>
      </c>
      <c r="K208" s="17" t="inlineStr">
        <is>
          <t>[verified] Added by the verifier. Excerpt checked verbatim against 1-1907/s2. Section 4A (a warrant for a judicial division is deemed to authorise practice in the judicial zone in which the notary resides) and section 11 (Minister may grant a fresh warrant for another judicial zone) qualify the area but were left out because the corpus holds no list of judicial zones.</t>
        </is>
      </c>
      <c r="L208" s="21" t="n"/>
      <c r="M208" s="21" t="n"/>
      <c r="N208" s="21" t="n"/>
      <c r="O208" s="21" t="n"/>
      <c r="P208" s="21" t="n"/>
      <c r="Q208" s="17">
        <f>IF(OR(A208="",B208=""),"",IF(AND(L208&lt;&gt;"",P208&lt;&gt;"",IF(L208="Wrong citation",AND(M208&lt;&gt;"",N208&lt;&gt;""),TRUE)),"Complete","Pending"))</f>
        <v/>
      </c>
    </row>
    <row r="209">
      <c r="A209" s="19" t="inlineStr">
        <is>
          <t>M027-Q01</t>
        </is>
      </c>
      <c r="B209" s="19" t="inlineStr">
        <is>
          <t>PROV-M027-006</t>
        </is>
      </c>
      <c r="C209" s="17" t="inlineStr">
        <is>
          <t>Notaries Ordinance No. 1 of 1907</t>
        </is>
      </c>
      <c r="D209" s="17" t="inlineStr">
        <is>
          <t>s.31 rule (30)</t>
        </is>
      </c>
      <c r="E209" s="17" t="inlineStr">
        <is>
          <t>2024-10</t>
        </is>
      </c>
      <c r="F209" s="17" t="inlineStr">
        <is>
          <t>Current on reference date</t>
        </is>
      </c>
      <c r="G209" s="17" t="inlineStr">
        <is>
          <t>(30) If he attest any deed or instrument executed before him by means of an attorney, he shall preserve a true copy of the power of attorney with his protocol, and shall forward a like copy with the duplicate to the Registrar of Lands.</t>
        </is>
      </c>
      <c r="H209" s="17" t="inlineStr">
        <is>
          <t>https://www.rgd.gov.lk/web/images/ActsPDF/notary/Notaries-English.pdf</t>
        </is>
      </c>
      <c r="I209" s="17" t="inlineStr">
        <is>
          <t>Supporting</t>
        </is>
      </c>
      <c r="J209" s="17" t="inlineStr">
        <is>
          <t>If the agreement is executed by an attorney under a power of attorney, the attesting notary must keep a true copy of the power with her protocol and forward a like copy with the duplicate to the Registrar of Lands.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09" s="17" t="inlineStr">
        <is>
          <t>[verified]</t>
        </is>
      </c>
      <c r="L209" s="21" t="n"/>
      <c r="M209" s="21" t="n"/>
      <c r="N209" s="21" t="n"/>
      <c r="O209" s="21" t="n"/>
      <c r="P209" s="21" t="n"/>
      <c r="Q209" s="17">
        <f>IF(OR(A209="",B209=""),"",IF(AND(L209&lt;&gt;"",P209&lt;&gt;"",IF(L209="Wrong citation",AND(M209&lt;&gt;"",N209&lt;&gt;""),TRUE)),"Complete","Pending"))</f>
        <v/>
      </c>
    </row>
    <row r="210">
      <c r="A210" s="19" t="inlineStr">
        <is>
          <t>M027-Q01</t>
        </is>
      </c>
      <c r="B210" s="19" t="inlineStr">
        <is>
          <t>PROV-M027-007</t>
        </is>
      </c>
      <c r="C210" s="17" t="inlineStr">
        <is>
          <t>Notaries Ordinance No. 1 of 1907</t>
        </is>
      </c>
      <c r="D210" s="17" t="inlineStr">
        <is>
          <t>s.31 rule (15A), paragraph (c) (inserted by Act No. 31 of 2022; rule number taken from the corpus provision ids for section 31, which label this block sub-15A)</t>
        </is>
      </c>
      <c r="E210" s="17" t="inlineStr">
        <is>
          <t>2024-10</t>
        </is>
      </c>
      <c r="F210" s="17" t="inlineStr">
        <is>
          <t>Current on reference date</t>
        </is>
      </c>
      <c r="G210" s="17" t="inlineStr">
        <is>
          <t>(c) where a deed or instrument is signed by an attorney, such attorney shall submit to the notary an affidavit affirming that the Power of Attorney is genuine and in force and the grantor is alive when executing such deed or instrument;</t>
        </is>
      </c>
      <c r="H210" s="17" t="inlineStr">
        <is>
          <t>https://www.rgd.gov.lk/web/images/ActsPDF/notary/Notaries-English.pdf</t>
        </is>
      </c>
      <c r="I210" s="17" t="inlineStr">
        <is>
          <t>Supporting</t>
        </is>
      </c>
      <c r="J210" s="17" t="inlineStr">
        <is>
          <t>Where an attorney signs, that attorney must give the notary an affidavit that the power of attorney is genuine and in force and that the grantor is alive at the time of execution. A step Kanthi must take if the power-of-attorney route is used.
TEMPORAL: Consolidated Notaries Ordinance text; latest recorded change 2022 (Act No. 31 of 2022), before the October 2024 matter date. The corpus carries years only, not commencement dates.</t>
        </is>
      </c>
      <c r="K210" s="17" t="inlineStr">
        <is>
          <t>[partially_verified] Excerpt is verbatim and the substance is right, but the rule number is recoverable after all: the corpus provision ids for section 31 label this block 1-1907/s31/sub-15A/sub-1/par-c, and section 32(1) independently identifies rule (16) as the boundaries rule, so this is rule (15A), paragraph (c), not an unnumbered rule.</t>
        </is>
      </c>
      <c r="L210" s="21" t="n"/>
      <c r="M210" s="21" t="n"/>
      <c r="N210" s="21" t="n"/>
      <c r="O210" s="21" t="n"/>
      <c r="P210" s="21" t="n"/>
      <c r="Q210" s="17">
        <f>IF(OR(A210="",B210=""),"",IF(AND(L210&lt;&gt;"",P210&lt;&gt;"",IF(L210="Wrong citation",AND(M210&lt;&gt;"",N210&lt;&gt;""),TRUE)),"Complete","Pending"))</f>
        <v/>
      </c>
    </row>
    <row r="211">
      <c r="A211" s="19" t="inlineStr">
        <is>
          <t>M027-Q01</t>
        </is>
      </c>
      <c r="B211" s="19" t="inlineStr">
        <is>
          <t>PROV-M027-008</t>
        </is>
      </c>
      <c r="C211" s="17" t="inlineStr">
        <is>
          <t>Powers of Attorney Ordinance No. 4 of 1902</t>
        </is>
      </c>
      <c r="D211" s="17" t="inlineStr">
        <is>
          <t>s.2 definition of "power of attorney"</t>
        </is>
      </c>
      <c r="E211" s="17" t="inlineStr">
        <is>
          <t>2024-10</t>
        </is>
      </c>
      <c r="F211" s="17" t="inlineStr">
        <is>
          <t>Current on reference date</t>
        </is>
      </c>
      <c r="G211" s="17" t="inlineStr">
        <is>
          <t>means any written power or authority other than that given to an attorney at law for the purpose of appearing as an attorney at law on behalf of such person, given by one person to another, to represent him, to perform any work, do any act, or carry on any trade or business, and - (a) if it is executed in Sri Lanka, executed before two witnesses and attested by a notary public;</t>
        </is>
      </c>
      <c r="H211" s="17" t="inlineStr">
        <is>
          <t>https://www.rgd.gov.lk/web/images/ActsPDF/notary/powers-of-Attorney-English.pdf</t>
        </is>
      </c>
      <c r="I211" s="17" t="inlineStr">
        <is>
          <t>Supporting</t>
        </is>
      </c>
      <c r="J211" s="17" t="inlineStr">
        <is>
          <t>Defines the instrument by which Shantha can authorise another person to sign for him, and requires that a power executed in Sri Lanka be executed before two witnesses and attested by a notary public.
TEMPORAL: Definition substituted by Act No. 28 of 2022 and amended by Act No. 3 of 2024; the corpus text is the consolidated version. Commencement dates are not in the corpus.</t>
        </is>
      </c>
      <c r="K211" s="17" t="inlineStr">
        <is>
          <t>[verified]</t>
        </is>
      </c>
      <c r="L211" s="21" t="n"/>
      <c r="M211" s="21" t="n"/>
      <c r="N211" s="21" t="n"/>
      <c r="O211" s="21" t="n"/>
      <c r="P211" s="21" t="n"/>
      <c r="Q211" s="17">
        <f>IF(OR(A211="",B211=""),"",IF(AND(L211&lt;&gt;"",P211&lt;&gt;"",IF(L211="Wrong citation",AND(M211&lt;&gt;"",N211&lt;&gt;""),TRUE)),"Complete","Pending"))</f>
        <v/>
      </c>
    </row>
    <row r="212">
      <c r="A212" s="19" t="inlineStr">
        <is>
          <t>M027-Q01</t>
        </is>
      </c>
      <c r="B212" s="19" t="inlineStr">
        <is>
          <t>PROV-M027-009</t>
        </is>
      </c>
      <c r="C212" s="17" t="inlineStr">
        <is>
          <t>Powers of Attorney Ordinance No. 4 of 1902</t>
        </is>
      </c>
      <c r="D212" s="17" t="inlineStr">
        <is>
          <t>s.3 (1)(b)</t>
        </is>
      </c>
      <c r="E212" s="17" t="inlineStr">
        <is>
          <t>2024-10</t>
        </is>
      </c>
      <c r="F212" s="17" t="inlineStr">
        <is>
          <t>Current on reference date</t>
        </is>
      </c>
      <c r="G212" s="17" t="inlineStr">
        <is>
          <t>(b)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t>
        </is>
      </c>
      <c r="H212" s="17" t="inlineStr">
        <is>
          <t>https://www.rgd.gov.lk/web/images/ActsPDF/notary/powers-of-Attorney-English.pdf</t>
        </is>
      </c>
      <c r="I212" s="17" t="inlineStr">
        <is>
          <t>Supporting</t>
        </is>
      </c>
      <c r="J212" s="17" t="inlineStr">
        <is>
          <t>A power of attorney executed in Sri Lanka must be submitted to the Registrar-General for registration within one month of execution, with a notarially certified copy and an affidavit. A dated step in the power-of-attorney route.
TEMPORAL: Section 3 was repealed and substituted by Act No. 28 of 2022, before the matter date.</t>
        </is>
      </c>
      <c r="K212" s="17" t="inlineStr">
        <is>
          <t>[verified]</t>
        </is>
      </c>
      <c r="L212" s="21" t="n"/>
      <c r="M212" s="21" t="n"/>
      <c r="N212" s="21" t="n"/>
      <c r="O212" s="21" t="n"/>
      <c r="P212" s="21" t="n"/>
      <c r="Q212" s="17">
        <f>IF(OR(A212="",B212=""),"",IF(AND(L212&lt;&gt;"",P212&lt;&gt;"",IF(L212="Wrong citation",AND(M212&lt;&gt;"",N212&lt;&gt;""),TRUE)),"Complete","Pending"))</f>
        <v/>
      </c>
    </row>
    <row r="213">
      <c r="A213" s="19" t="inlineStr">
        <is>
          <t>M027-Q01</t>
        </is>
      </c>
      <c r="B213" s="19" t="inlineStr">
        <is>
          <t>PROV-M027-010</t>
        </is>
      </c>
      <c r="C213" s="17" t="inlineStr">
        <is>
          <t>Powers of Attorney Ordinance No. 4 of 1902</t>
        </is>
      </c>
      <c r="D213" s="17" t="inlineStr">
        <is>
          <t>s.3A (1)</t>
        </is>
      </c>
      <c r="E213" s="17" t="inlineStr">
        <is>
          <t>2024-10</t>
        </is>
      </c>
      <c r="F213" s="17" t="inlineStr">
        <is>
          <t>Current on reference date</t>
        </is>
      </c>
      <c r="G213" s="17" t="inlineStr">
        <is>
          <t>(1) A power of attorney granted to be used for the purpose of a transaction which falls within the scope of section 2 of the Prevention of Frauds Ordinance (Chapter 70) shall be executed subject to the provisions specified in subsection (2) or (3), as the case may be.</t>
        </is>
      </c>
      <c r="H213" s="17" t="inlineStr">
        <is>
          <t>https://www.rgd.gov.lk/web/images/ActsPDF/notary/powers-of-Attorney-English.pdf</t>
        </is>
      </c>
      <c r="I213" s="17" t="inlineStr">
        <is>
          <t>Supporting</t>
        </is>
      </c>
      <c r="J213" s="17" t="inlineStr">
        <is>
          <t>A power of attorney granted for a transaction within section 2 of the Prevention of Frauds Ordinance - which this three-year lease is - must satisfy the additional formal requirements in section 3A(2) or (3), including a description of the condominium parcel and the prior registration reference.
TEMPORAL: Inserted by Act No. 28 of 2022, before the matter date.</t>
        </is>
      </c>
      <c r="K213" s="17" t="inlineStr">
        <is>
          <t>[verified]</t>
        </is>
      </c>
      <c r="L213" s="21" t="n"/>
      <c r="M213" s="21" t="n"/>
      <c r="N213" s="21" t="n"/>
      <c r="O213" s="21" t="n"/>
      <c r="P213" s="21" t="n"/>
      <c r="Q213" s="17">
        <f>IF(OR(A213="",B213=""),"",IF(AND(L213&lt;&gt;"",P213&lt;&gt;"",IF(L213="Wrong citation",AND(M213&lt;&gt;"",N213&lt;&gt;""),TRUE)),"Complete","Pending"))</f>
        <v/>
      </c>
    </row>
    <row r="214">
      <c r="A214" s="19" t="inlineStr">
        <is>
          <t>M027-Q01</t>
        </is>
      </c>
      <c r="B214" s="19" t="inlineStr">
        <is>
          <t>PROV-M027-011</t>
        </is>
      </c>
      <c r="C214" s="17" t="inlineStr">
        <is>
          <t>Powers of Attorney Ordinance No. 4 of 1902</t>
        </is>
      </c>
      <c r="D214" s="17" t="inlineStr">
        <is>
          <t>s.3B (1)(a)-(b)</t>
        </is>
      </c>
      <c r="E214" s="17" t="inlineStr">
        <is>
          <t>2024-10</t>
        </is>
      </c>
      <c r="F214" s="17" t="inlineStr">
        <is>
          <t>Current on reference date</t>
        </is>
      </c>
      <c r="G214" s="17" t="inlineStr">
        <is>
          <t>(a) examine the relevant volumes and folios in the Registrar General's department; (b) be satisfied that the power of attorney has not been revoked or cancelled and shall state such fact in his attestation:</t>
        </is>
      </c>
      <c r="H214" s="17" t="inlineStr">
        <is>
          <t>https://www.rgd.gov.lk/web/images/ActsPDF/notary/powers-of-Attorney-English.pdf</t>
        </is>
      </c>
      <c r="I214" s="17" t="inlineStr">
        <is>
          <t>Supporting</t>
        </is>
      </c>
      <c r="J214" s="17" t="inlineStr">
        <is>
          <t>Puts a personal duty on the attesting notary to examine the Registrar-General's volumes and folios, to satisfy herself that the power of attorney has not been revoked or cancelled, and to say so in the attestation.
TEMPORAL: Inserted by Act No. 28 of 2022, before the matter date.</t>
        </is>
      </c>
      <c r="K214" s="17" t="inlineStr">
        <is>
          <t>[verified]</t>
        </is>
      </c>
      <c r="L214" s="21" t="n"/>
      <c r="M214" s="21" t="n"/>
      <c r="N214" s="21" t="n"/>
      <c r="O214" s="21" t="n"/>
      <c r="P214" s="21" t="n"/>
      <c r="Q214" s="17">
        <f>IF(OR(A214="",B214=""),"",IF(AND(L214&lt;&gt;"",P214&lt;&gt;"",IF(L214="Wrong citation",AND(M214&lt;&gt;"",N214&lt;&gt;""),TRUE)),"Complete","Pending"))</f>
        <v/>
      </c>
    </row>
    <row r="215">
      <c r="A215" s="19" t="inlineStr">
        <is>
          <t>M027-Q01</t>
        </is>
      </c>
      <c r="B215" s="19" t="inlineStr">
        <is>
          <t>PROV-M027-013</t>
        </is>
      </c>
      <c r="C215" s="17" t="inlineStr">
        <is>
          <t>Notaries Ordinance No. 1 of 1907</t>
        </is>
      </c>
      <c r="D215" s="17" t="inlineStr">
        <is>
          <t>s.31 rule (26)(a)(i)</t>
        </is>
      </c>
      <c r="E215" s="17" t="inlineStr">
        <is>
          <t>2024-10</t>
        </is>
      </c>
      <c r="F215" s="17" t="inlineStr">
        <is>
          <t>Current on reference date</t>
        </is>
      </c>
      <c r="G215" s="17" t="inlineStr">
        <is>
          <t>(i) 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t>
        </is>
      </c>
      <c r="H215" s="17" t="inlineStr">
        <is>
          <t>https://www.rgd.gov.lk/web/images/ActsPDF/notary/Notaries-English.pdf</t>
        </is>
      </c>
      <c r="I215" s="17" t="inlineStr">
        <is>
          <t>Supporting</t>
        </is>
      </c>
      <c r="J215" s="17" t="inlineStr">
        <is>
          <t>Requires the duplicate of every deed attested during a month, with a signed list in duplicate in Form F1, to reach the Registrar of Lands of the district in which the notary resides on or before the fifteenth day of the following month. Rule (26) is identified by number in section 21(1)(d) and section 34(2).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15" s="17" t="inlineStr">
        <is>
          <t>[verified]</t>
        </is>
      </c>
      <c r="L215" s="21" t="n"/>
      <c r="M215" s="21" t="n"/>
      <c r="N215" s="21" t="n"/>
      <c r="O215" s="21" t="n"/>
      <c r="P215" s="21" t="n"/>
      <c r="Q215" s="17">
        <f>IF(OR(A215="",B215=""),"",IF(AND(L215&lt;&gt;"",P215&lt;&gt;"",IF(L215="Wrong citation",AND(M215&lt;&gt;"",N215&lt;&gt;""),TRUE)),"Complete","Pending"))</f>
        <v/>
      </c>
    </row>
    <row r="216">
      <c r="A216" s="19" t="inlineStr">
        <is>
          <t>M027-Q01</t>
        </is>
      </c>
      <c r="B216" s="19" t="inlineStr">
        <is>
          <t>PROV-M027-014</t>
        </is>
      </c>
      <c r="C216" s="17" t="inlineStr">
        <is>
          <t>Notaries Ordinance No. 1 of 1907</t>
        </is>
      </c>
      <c r="D216" s="17" t="inlineStr">
        <is>
          <t>s.31 rule (29)</t>
        </is>
      </c>
      <c r="E216" s="17" t="inlineStr">
        <is>
          <t>2024-10</t>
        </is>
      </c>
      <c r="F216" s="17" t="inlineStr">
        <is>
          <t>Current on reference date</t>
        </is>
      </c>
      <c r="G216" s="17" t="inlineStr">
        <is>
          <t>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216" s="17" t="inlineStr">
        <is>
          <t>https://www.rgd.gov.lk/web/images/ActsPDF/notary/Notaries-English.pdf</t>
        </is>
      </c>
      <c r="I216" s="17" t="inlineStr">
        <is>
          <t>Supporting</t>
        </is>
      </c>
      <c r="J216" s="17" t="inlineStr">
        <is>
          <t>Where the deed affects land in a district other than the district in which the attesting notary resides, a certified copy must also be sent to the Registrar of Lands of the district where the land is situated by the fifteenth of the following month. Kanthi resides and practises in Colombo; the apartment is in Negombo.
TEMPORAL: Unamended 1907 text in the corpus; no amendment event recorded, so in force at October 2024.</t>
        </is>
      </c>
      <c r="K216" s="17" t="inlineStr">
        <is>
          <t>[partially_verified] Wording is verbatim but the excerpt begins mid-sentence and drops the operative condition (If a deed or instrument ... affects a land situated in a district other than that in which the notary ... shall reside); the rule also turns on the district in which the notary resides, and the matter states only that Kanthi practises in Colombo, not where she resides.</t>
        </is>
      </c>
      <c r="L216" s="21" t="n"/>
      <c r="M216" s="21" t="n"/>
      <c r="N216" s="21" t="n"/>
      <c r="O216" s="21" t="n"/>
      <c r="P216" s="21" t="n"/>
      <c r="Q216" s="17">
        <f>IF(OR(A216="",B216=""),"",IF(AND(L216&lt;&gt;"",P216&lt;&gt;"",IF(L216="Wrong citation",AND(M216&lt;&gt;"",N216&lt;&gt;""),TRUE)),"Complete","Pending"))</f>
        <v/>
      </c>
    </row>
    <row r="217">
      <c r="A217" s="19" t="inlineStr">
        <is>
          <t>M027-Q01</t>
        </is>
      </c>
      <c r="B217" s="19" t="inlineStr">
        <is>
          <t>PROV-M027-016</t>
        </is>
      </c>
      <c r="C217" s="17" t="inlineStr">
        <is>
          <t>Registration of Documents Ordinance No. 23 of 1927</t>
        </is>
      </c>
      <c r="D217" s="17" t="inlineStr">
        <is>
          <t>s.7 (1)</t>
        </is>
      </c>
      <c r="E217" s="17" t="inlineStr">
        <is>
          <t>2024-10</t>
        </is>
      </c>
      <c r="F217" s="17" t="inlineStr">
        <is>
          <t>Current on reference date</t>
        </is>
      </c>
      <c r="G217" s="17" t="inlineStr">
        <is>
          <t>(1) 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217" s="17" t="inlineStr">
        <is>
          <t>https://lankalaw.net/wp-content/uploads/2025/03/Registration-of-Documents-Consolidated-2024.pdf</t>
        </is>
      </c>
      <c r="I217" s="17" t="inlineStr">
        <is>
          <t>Supporting</t>
        </is>
      </c>
      <c r="J217" s="17" t="inlineStr">
        <is>
          <t>Supplies the consequence of failing to register: the lease would be void against a person who later acquires an adverse interest for value under a duly registered instrument. This is why registration matters to Ananda.
TEMPORAL: Unamended 1927 text in the corpus; in force at October 2024.</t>
        </is>
      </c>
      <c r="K217" s="17" t="inlineStr">
        <is>
          <t>[verified]</t>
        </is>
      </c>
      <c r="L217" s="21" t="n"/>
      <c r="M217" s="21" t="n"/>
      <c r="N217" s="21" t="n"/>
      <c r="O217" s="21" t="n"/>
      <c r="P217" s="21" t="n"/>
      <c r="Q217" s="17">
        <f>IF(OR(A217="",B217=""),"",IF(AND(L217&lt;&gt;"",P217&lt;&gt;"",IF(L217="Wrong citation",AND(M217&lt;&gt;"",N217&lt;&gt;""),TRUE)),"Complete","Pending"))</f>
        <v/>
      </c>
    </row>
    <row r="218">
      <c r="A218" s="19" t="inlineStr">
        <is>
          <t>M027-Q01</t>
        </is>
      </c>
      <c r="B218" s="19" t="inlineStr">
        <is>
          <t>PROV-M027-018</t>
        </is>
      </c>
      <c r="C218" s="17" t="inlineStr">
        <is>
          <t>Registration of Documents Ordinance No. 23 of 1927</t>
        </is>
      </c>
      <c r="D218" s="17" t="inlineStr">
        <is>
          <t>s.26 (1)(a)-(d)</t>
        </is>
      </c>
      <c r="E218" s="17" t="inlineStr">
        <is>
          <t>2024-10</t>
        </is>
      </c>
      <c r="F218" s="17" t="inlineStr">
        <is>
          <t>Current on reference date</t>
        </is>
      </c>
      <c r="G218" s="17" t="inlineStr">
        <is>
          <t>(a) any person executing the instrument; (b) any person claiming any interest or benefit thereunder; (c) any person having any interest in or charge on any property affected thereby; or (d) the agent of any such person or a attorney-at-law or notary acting on behalf of any such person.</t>
        </is>
      </c>
      <c r="H218" s="17" t="inlineStr">
        <is>
          <t>https://lankalaw.net/wp-content/uploads/2025/03/Registration-of-Documents-Consolidated-2024.pdf</t>
        </is>
      </c>
      <c r="I218" s="17" t="inlineStr">
        <is>
          <t>Supporting</t>
        </is>
      </c>
      <c r="J218" s="17" t="inlineStr">
        <is>
          <t>Confirms that Kanthi, as the notary acting on behalf of a party, may herself present the agreement for registration.
TEMPORAL: Chapter inserted by Act No. 22 of 1958; no later amendment recorded. In force at October 2024.</t>
        </is>
      </c>
      <c r="K218" s="17" t="inlineStr">
        <is>
          <t>[verified]</t>
        </is>
      </c>
      <c r="L218" s="21" t="n"/>
      <c r="M218" s="21" t="n"/>
      <c r="N218" s="21" t="n"/>
      <c r="O218" s="21" t="n"/>
      <c r="P218" s="21" t="n"/>
      <c r="Q218" s="17">
        <f>IF(OR(A218="",B218=""),"",IF(AND(L218&lt;&gt;"",P218&lt;&gt;"",IF(L218="Wrong citation",AND(M218&lt;&gt;"",N218&lt;&gt;""),TRUE)),"Complete","Pending"))</f>
        <v/>
      </c>
    </row>
    <row r="219">
      <c r="A219" s="19" t="inlineStr">
        <is>
          <t>M027-Q01</t>
        </is>
      </c>
      <c r="B219" s="19" t="inlineStr">
        <is>
          <t>PROV-M027-019</t>
        </is>
      </c>
      <c r="C219" s="17" t="inlineStr">
        <is>
          <t>Notaries Ordinance No. 1 of 1907</t>
        </is>
      </c>
      <c r="D219" s="17" t="inlineStr">
        <is>
          <t>s.37</t>
        </is>
      </c>
      <c r="E219" s="17" t="inlineStr">
        <is>
          <t>2024-10</t>
        </is>
      </c>
      <c r="F219" s="17" t="inlineStr">
        <is>
          <t>Current on reference date</t>
        </is>
      </c>
      <c r="G219" s="17" t="inlineStr">
        <is>
          <t>Whenever a notary has received instructions to register, and a sufficient sum to meet the necessary expense of registering, any deed drawn or attested by him, and shall in such case fail to use due diligence in effecting such registration, he shall be guilty of an offence, and liable on conviction to a fine not less than seven thousand five hundred rupees and not exceeding twenty five thousand rupees, in addition to any civil liability which he may incur by reason of his default.</t>
        </is>
      </c>
      <c r="H219" s="17" t="inlineStr">
        <is>
          <t>https://www.rgd.gov.lk/web/images/ActsPDF/notary/Notaries-English.pdf</t>
        </is>
      </c>
      <c r="I219" s="17" t="inlineStr">
        <is>
          <t>Supporting</t>
        </is>
      </c>
      <c r="J219" s="17" t="inlineStr">
        <is>
          <t>Where the notary has instructions and funds to register, failure to use due diligence in registering is an offence carrying a fine of Rs. 7,500 to Rs. 25,000 in addition to civil liability. It disciplines the registration steps Kanthi must take.
TEMPORAL: Fine levels set by the Increase of Fines Act No. 12 of 2005; in force at October 2024.</t>
        </is>
      </c>
      <c r="K219" s="17" t="inlineStr">
        <is>
          <t>[verified]</t>
        </is>
      </c>
      <c r="L219" s="21" t="n"/>
      <c r="M219" s="21" t="n"/>
      <c r="N219" s="21" t="n"/>
      <c r="O219" s="21" t="n"/>
      <c r="P219" s="21" t="n"/>
      <c r="Q219" s="17">
        <f>IF(OR(A219="",B219=""),"",IF(AND(L219&lt;&gt;"",P219&lt;&gt;"",IF(L219="Wrong citation",AND(M219&lt;&gt;"",N219&lt;&gt;""),TRUE)),"Complete","Pending"))</f>
        <v/>
      </c>
    </row>
    <row r="220">
      <c r="A220" s="19" t="inlineStr">
        <is>
          <t>M027-Q01</t>
        </is>
      </c>
      <c r="B220" s="19" t="inlineStr">
        <is>
          <t>PROV-M027-021</t>
        </is>
      </c>
      <c r="C220" s="17" t="inlineStr">
        <is>
          <t>Notaries Ordinance No. 1 of 1907</t>
        </is>
      </c>
      <c r="D220" s="17" t="inlineStr">
        <is>
          <t>s.31 rule (6)</t>
        </is>
      </c>
      <c r="E220" s="17" t="inlineStr">
        <is>
          <t>2024-10</t>
        </is>
      </c>
      <c r="F220" s="17" t="inlineStr">
        <is>
          <t>Current on reference date</t>
        </is>
      </c>
      <c r="G220" s="17" t="inlineStr">
        <is>
          <t>(6) He shall not authenticate or attest any deed or instrument unless he has an assurance that the required stamp duty is provided.</t>
        </is>
      </c>
      <c r="H220" s="17" t="inlineStr">
        <is>
          <t>https://www.rgd.gov.lk/web/images/ActsPDF/notary/Notaries-English.pdf</t>
        </is>
      </c>
      <c r="I220" s="17" t="inlineStr">
        <is>
          <t>Supporting</t>
        </is>
      </c>
      <c r="J220" s="17" t="inlineStr">
        <is>
          <t>A notary must not attest any deed unless she has an assurance that the required stamp duty is provided, which makes the stamp duty question a precondition of attestation.
TEMPORAL: Unamended 1907 text in the corpus; no amendment event recorded, so in force at October 2024.</t>
        </is>
      </c>
      <c r="K220" s="17" t="inlineStr">
        <is>
          <t>[verified]</t>
        </is>
      </c>
      <c r="L220" s="21" t="n"/>
      <c r="M220" s="21" t="n"/>
      <c r="N220" s="21" t="n"/>
      <c r="O220" s="21" t="n"/>
      <c r="P220" s="21" t="n"/>
      <c r="Q220" s="17">
        <f>IF(OR(A220="",B220=""),"",IF(AND(L220&lt;&gt;"",P220&lt;&gt;"",IF(L220="Wrong citation",AND(M220&lt;&gt;"",N220&lt;&gt;""),TRUE)),"Complete","Pending"))</f>
        <v/>
      </c>
    </row>
    <row r="221">
      <c r="A221" s="19" t="inlineStr">
        <is>
          <t>M027-Q01</t>
        </is>
      </c>
      <c r="B221" s="19" t="inlineStr">
        <is>
          <t>PROV-M027-902</t>
        </is>
      </c>
      <c r="C221" s="17" t="inlineStr">
        <is>
          <t>Notaries Ordinance No. 1 of 1907</t>
        </is>
      </c>
      <c r="D221" s="17" t="inlineStr">
        <is>
          <t>s.31 rule (8)</t>
        </is>
      </c>
      <c r="E221" s="17" t="inlineStr">
        <is>
          <t>2024-10</t>
        </is>
      </c>
      <c r="F221" s="17" t="inlineStr">
        <is>
          <t>Current on reference date</t>
        </is>
      </c>
      <c r="G221" s="17" t="inlineStr">
        <is>
          <t>(8) He shall not authenticate or attest any deed or instrument to which at least two witnesses have not subscribed their signatures in letters.</t>
        </is>
      </c>
      <c r="H221" s="17" t="inlineStr">
        <is>
          <t>https://www.rgd.gov.lk/web/images/ActsPDF/notary/Notaries-English.pdf</t>
        </is>
      </c>
      <c r="I221" s="17" t="inlineStr">
        <is>
          <t>Supporting</t>
        </is>
      </c>
      <c r="J221" s="17" t="inlineStr">
        <is>
          <t>The question asks how the agreement can be signed by both parties. Rule (8) fixes the minimum number of witnesses: the notary may not attest unless at least two witnesses have subscribed their signatures in letters. The gold answer has Ananda signing with two witnesses but the map cited no provision for the number.
TEMPORAL: Unamended 1907 text in the corpus; no amendment event recorded against this rule, so in force at October 2024.</t>
        </is>
      </c>
      <c r="K221" s="17" t="inlineStr">
        <is>
          <t>[verified] Added by the verifier. Excerpt checked verbatim against 1-1907/s31.</t>
        </is>
      </c>
      <c r="L221" s="21" t="n"/>
      <c r="M221" s="21" t="n"/>
      <c r="N221" s="21" t="n"/>
      <c r="O221" s="21" t="n"/>
      <c r="P221" s="21" t="n"/>
      <c r="Q221" s="17">
        <f>IF(OR(A221="",B221=""),"",IF(AND(L221&lt;&gt;"",P221&lt;&gt;"",IF(L221="Wrong citation",AND(M221&lt;&gt;"",N221&lt;&gt;""),TRUE)),"Complete","Pending"))</f>
        <v/>
      </c>
    </row>
    <row r="222">
      <c r="A222" s="19" t="inlineStr">
        <is>
          <t>M027-Q01</t>
        </is>
      </c>
      <c r="B222" s="19" t="inlineStr">
        <is>
          <t>PROV-M027-903</t>
        </is>
      </c>
      <c r="C222" s="17" t="inlineStr">
        <is>
          <t>Prevention of Frauds Ordinance No. 7 of 1840</t>
        </is>
      </c>
      <c r="D222" s="17" t="inlineStr">
        <is>
          <t>s.2 (1)(b)</t>
        </is>
      </c>
      <c r="E222" s="17" t="inlineStr">
        <is>
          <t>2024-10</t>
        </is>
      </c>
      <c r="F222" s="17" t="inlineStr">
        <is>
          <t>Current on reference date</t>
        </is>
      </c>
      <c r="G222" s="17" t="inlineStr">
        <is>
          <t>(b)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t>
        </is>
      </c>
      <c r="H222" s="17" t="inlineStr">
        <is>
          <t>https://lankalaw.net/wp-content/uploads/2025/03/Prevention-of-Frauds-Consolidated-2024.pdf</t>
        </is>
      </c>
      <c r="I222" s="17" t="inlineStr">
        <is>
          <t>Supporting</t>
        </is>
      </c>
      <c r="J222" s="17" t="inlineStr">
        <is>
          <t>Paragraph (b) is a second, cumulative condition of validity alongside paragraph (a): the lease is of no force in law unless every executant also affixes a thumb impression above or beside the signature on the original, duplicate and protocol, in the presence of the notary and the witnesses. It is part of the answer to how the agreement must be signed, and it binds each notary separately in a two-notary execution.
TEMPORAL: Section 2 was amended in 2024 (Act No. 4 of 2024) and in 2022 (Act No. 30 of 2022); the corpus text is the consolidated version. Commencement dates are not in the corpus.</t>
        </is>
      </c>
      <c r="K222" s="17" t="inlineStr">
        <is>
          <t>[verified] Added by the verifier. Excerpt checked verbatim against 7-1840/s2. Section 31 rule (15A)(a) of the Notaries Ordinance imposes the matching duty on the notary.</t>
        </is>
      </c>
      <c r="L222" s="21" t="n"/>
      <c r="M222" s="21" t="n"/>
      <c r="N222" s="21" t="n"/>
      <c r="O222" s="21" t="n"/>
      <c r="P222" s="21" t="n"/>
      <c r="Q222" s="17">
        <f>IF(OR(A222="",B222=""),"",IF(AND(L222&lt;&gt;"",P222&lt;&gt;"",IF(L222="Wrong citation",AND(M222&lt;&gt;"",N222&lt;&gt;""),TRUE)),"Complete","Pending"))</f>
        <v/>
      </c>
    </row>
    <row r="223">
      <c r="A223" s="19" t="inlineStr">
        <is>
          <t>M027-Q01</t>
        </is>
      </c>
      <c r="B223" s="19" t="inlineStr">
        <is>
          <t>PROV-M027-020</t>
        </is>
      </c>
      <c r="C223" s="17" t="inlineStr">
        <is>
          <t>Apartment Ownership Law No. 11 of 1973</t>
        </is>
      </c>
      <c r="D223" s="17" t="inlineStr">
        <is>
          <t>s.10 (1)</t>
        </is>
      </c>
      <c r="E223" s="17" t="inlineStr">
        <is>
          <t>2024-10</t>
        </is>
      </c>
      <c r="F223" s="17" t="inlineStr">
        <is>
          <t>Current on reference date</t>
        </is>
      </c>
      <c r="G223" s="17" t="inlineStr">
        <is>
          <t>(1) 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t>
        </is>
      </c>
      <c r="H223" s="17" t="inlineStr">
        <is>
          <t>https://www.ccisrilanka.org/wp-content/uploads/2021/04/Apartment-Ownership-Law-No-11-of-1973.pdf</t>
        </is>
      </c>
      <c r="I223" s="17" t="inlineStr">
        <is>
          <t>Background</t>
        </is>
      </c>
      <c r="J223" s="17" t="inlineStr">
        <is>
          <t>If the apartment is a condominium parcel in a registered Condominium Property, an interest in it is not acquired unless registered under the Registration of Title Act, which changes the register in which the lease must be entered. The matter file does not say whether this apartment is registered condominium property, so this is context Kanthi must check rather than an established step.
TEMPORAL: Section amended by Apartment Ownership (Amendment) Act No. 39 of 2003; in force at October 2024.</t>
        </is>
      </c>
      <c r="K223" s="17" t="inlineStr">
        <is>
          <t>[verified]</t>
        </is>
      </c>
      <c r="L223" s="21" t="n"/>
      <c r="M223" s="21" t="n"/>
      <c r="N223" s="21" t="n"/>
      <c r="O223" s="21" t="n"/>
      <c r="P223" s="21" t="n"/>
      <c r="Q223" s="17">
        <f>IF(OR(A223="",B223=""),"",IF(AND(L223&lt;&gt;"",P223&lt;&gt;"",IF(L223="Wrong citation",AND(M223&lt;&gt;"",N223&lt;&gt;""),TRUE)),"Complete","Pending"))</f>
        <v/>
      </c>
    </row>
    <row r="224">
      <c r="A224" s="19" t="inlineStr">
        <is>
          <t>M027-Q01</t>
        </is>
      </c>
      <c r="B224" s="19" t="inlineStr">
        <is>
          <t>PROV-M027-033</t>
        </is>
      </c>
      <c r="C224" s="17" t="inlineStr">
        <is>
          <t>Notaries Ordinance No. 1 of 1907</t>
        </is>
      </c>
      <c r="D224" s="17" t="inlineStr">
        <is>
          <t>s.31 rule (13)</t>
        </is>
      </c>
      <c r="E224" s="17" t="inlineStr">
        <is>
          <t>2024-10</t>
        </is>
      </c>
      <c r="F224" s="17" t="inlineStr">
        <is>
          <t>Current on reference date</t>
        </is>
      </c>
      <c r="G224" s="17" t="inlineStr">
        <is>
          <t>(13) He shall not authenticate or attest any deed or instrument to which he is a party.</t>
        </is>
      </c>
      <c r="H224" s="17" t="inlineStr">
        <is>
          <t>https://www.rgd.gov.lk/web/images/ActsPDF/notary/Notaries-English.pdf</t>
        </is>
      </c>
      <c r="I224" s="17" t="inlineStr">
        <is>
          <t>Background</t>
        </is>
      </c>
      <c r="J224" s="17" t="inlineStr">
        <is>
          <t>The only relationship bar in the rules is on attesting a deed to which the notary herself is a party. Kanthi is not a party to the lease, so the fact that the lessor is her brother-in-law does not of itself disqualify her.
TEMPORAL: Unamended 1907 text in the corpus; no amendment event recorded, so in force at October 2024.</t>
        </is>
      </c>
      <c r="K224" s="17" t="inlineStr">
        <is>
          <t>[verified]</t>
        </is>
      </c>
      <c r="L224" s="21" t="n"/>
      <c r="M224" s="21" t="n"/>
      <c r="N224" s="21" t="n"/>
      <c r="O224" s="21" t="n"/>
      <c r="P224" s="21" t="n"/>
      <c r="Q224" s="17">
        <f>IF(OR(A224="",B224=""),"",IF(AND(L224&lt;&gt;"",P224&lt;&gt;"",IF(L224="Wrong citation",AND(M224&lt;&gt;"",N224&lt;&gt;""),TRUE)),"Complete","Pending"))</f>
        <v/>
      </c>
    </row>
    <row r="225">
      <c r="A225" s="19" t="inlineStr">
        <is>
          <t>M027-Q02</t>
        </is>
      </c>
      <c r="B225" s="19" t="inlineStr">
        <is>
          <t>PROV-M027-023</t>
        </is>
      </c>
      <c r="C225" s="17" t="inlineStr">
        <is>
          <t>Notaries Ordinance No. 1 of 1907</t>
        </is>
      </c>
      <c r="D225" s="17" t="inlineStr">
        <is>
          <t>s.27 (2)</t>
        </is>
      </c>
      <c r="E225" s="17" t="inlineStr">
        <is>
          <t>2024-10</t>
        </is>
      </c>
      <c r="F225" s="17" t="inlineStr">
        <is>
          <t>Current on reference date</t>
        </is>
      </c>
      <c r="G225" s="17" t="inlineStr">
        <is>
          <t>(2) All such certificates shall be applied for and granted on or before the first day of April in every year, and shall be in force for one year and no longer:</t>
        </is>
      </c>
      <c r="H225" s="17" t="inlineStr">
        <is>
          <t>https://www.rgd.gov.lk/web/images/ActsPDF/notary/Notaries-English.pdf</t>
        </is>
      </c>
      <c r="I225" s="17" t="inlineStr">
        <is>
          <t>Indispensable</t>
        </is>
      </c>
      <c r="J225" s="17" t="inlineStr">
        <is>
          <t>The yearly certificate from the Registrar of the High Court must be applied for and granted on or before 1 April each year and lasts one year and no longer. Kanthi did not obtain the certificate for the current year, so she held no certificate when she attested the lease.
TEMPORAL: Section 27 was substituted by Act No. 13 of 2013 and again by Act No. 31 of 2022, before the matter date.</t>
        </is>
      </c>
      <c r="K225" s="17" t="inlineStr">
        <is>
          <t>[verified]</t>
        </is>
      </c>
      <c r="L225" s="21" t="n"/>
      <c r="M225" s="21" t="n"/>
      <c r="N225" s="21" t="n"/>
      <c r="O225" s="21" t="n"/>
      <c r="P225" s="21" t="n"/>
      <c r="Q225" s="17">
        <f>IF(OR(A225="",B225=""),"",IF(AND(L225&lt;&gt;"",P225&lt;&gt;"",IF(L225="Wrong citation",AND(M225&lt;&gt;"",N225&lt;&gt;""),TRUE)),"Complete","Pending"))</f>
        <v/>
      </c>
    </row>
    <row r="226">
      <c r="A226" s="19" t="inlineStr">
        <is>
          <t>M027-Q02</t>
        </is>
      </c>
      <c r="B226" s="19" t="inlineStr">
        <is>
          <t>PROV-M027-025</t>
        </is>
      </c>
      <c r="C226" s="17" t="inlineStr">
        <is>
          <t>Notaries Ordinance No. 1 of 1907</t>
        </is>
      </c>
      <c r="D226" s="17" t="inlineStr">
        <is>
          <t>s.30</t>
        </is>
      </c>
      <c r="E226" s="17" t="inlineStr">
        <is>
          <t>2024-10</t>
        </is>
      </c>
      <c r="F226" s="17" t="inlineStr">
        <is>
          <t>Current on reference date</t>
        </is>
      </c>
      <c r="G226" s="17" t="inlineStr">
        <is>
          <t>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t>
        </is>
      </c>
      <c r="H226" s="17" t="inlineStr">
        <is>
          <t>https://www.rgd.gov.lk/web/images/ActsPDF/notary/Notaries-English.pdf</t>
        </is>
      </c>
      <c r="I226" s="17" t="inlineStr">
        <is>
          <t>Indispensable</t>
        </is>
      </c>
      <c r="J226" s="17" t="inlineStr">
        <is>
          <t>Direct penal provision: acting as a notary without having obtained the certificate is an offence in respect of every deed executed or acknowledged before her while uncertificated, punishable by a fine of not less than Rs. 5,000 and not exceeding Rs. 25,000.
TEMPORAL: Fine levels set by the Increase of Fines Act No. 12 of 2005; in force at October 2024.</t>
        </is>
      </c>
      <c r="K226" s="17" t="inlineStr">
        <is>
          <t>[verified]</t>
        </is>
      </c>
      <c r="L226" s="21" t="n"/>
      <c r="M226" s="21" t="n"/>
      <c r="N226" s="21" t="n"/>
      <c r="O226" s="21" t="n"/>
      <c r="P226" s="21" t="n"/>
      <c r="Q226" s="17">
        <f>IF(OR(A226="",B226=""),"",IF(AND(L226&lt;&gt;"",P226&lt;&gt;"",IF(L226="Wrong citation",AND(M226&lt;&gt;"",N226&lt;&gt;""),TRUE)),"Complete","Pending"))</f>
        <v/>
      </c>
    </row>
    <row r="227">
      <c r="A227" s="19" t="inlineStr">
        <is>
          <t>M027-Q02</t>
        </is>
      </c>
      <c r="B227" s="19" t="inlineStr">
        <is>
          <t>PROV-M027-024</t>
        </is>
      </c>
      <c r="C227" s="17" t="inlineStr">
        <is>
          <t>Notaries Ordinance No. 1 of 1907</t>
        </is>
      </c>
      <c r="D227" s="17" t="inlineStr">
        <is>
          <t>s.27 (2), proviso</t>
        </is>
      </c>
      <c r="E227" s="17" t="inlineStr">
        <is>
          <t>2024-10</t>
        </is>
      </c>
      <c r="F227" s="17" t="inlineStr">
        <is>
          <t>Current on reference date</t>
        </is>
      </c>
      <c r="G227" s="17" t="inlineStr">
        <is>
          <t>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t>
        </is>
      </c>
      <c r="H227" s="17" t="inlineStr">
        <is>
          <t>https://www.rgd.gov.lk/web/images/ActsPDF/notary/Notaries-English.pdf</t>
        </is>
      </c>
      <c r="I227" s="17" t="inlineStr">
        <is>
          <t>Supporting</t>
        </is>
      </c>
      <c r="J227" s="17" t="inlineStr">
        <is>
          <t>A late application may still be allowed if the High Court Judge is satisfied that the delay was due to accident, misfortune or other unavoidable cause. It is the remedial step open to Kanthi, though it does not undo an attestation already made without a certificate.
TEMPORAL: Proviso is part of section 27 as substituted by Act No. 31 of 2022, before the matter date.</t>
        </is>
      </c>
      <c r="K227" s="17" t="inlineStr">
        <is>
          <t>[verified]</t>
        </is>
      </c>
      <c r="L227" s="21" t="n"/>
      <c r="M227" s="21" t="n"/>
      <c r="N227" s="21" t="n"/>
      <c r="O227" s="21" t="n"/>
      <c r="P227" s="21" t="n"/>
      <c r="Q227" s="17">
        <f>IF(OR(A227="",B227=""),"",IF(AND(L227&lt;&gt;"",P227&lt;&gt;"",IF(L227="Wrong citation",AND(M227&lt;&gt;"",N227&lt;&gt;""),TRUE)),"Complete","Pending"))</f>
        <v/>
      </c>
    </row>
    <row r="228">
      <c r="A228" s="19" t="inlineStr">
        <is>
          <t>M027-Q02</t>
        </is>
      </c>
      <c r="B228" s="19" t="inlineStr">
        <is>
          <t>PROV-M027-026</t>
        </is>
      </c>
      <c r="C228" s="17" t="inlineStr">
        <is>
          <t>Notaries Ordinance No. 1 of 1907</t>
        </is>
      </c>
      <c r="D228" s="17" t="inlineStr">
        <is>
          <t>s.35 (1)</t>
        </is>
      </c>
      <c r="E228" s="17" t="inlineStr">
        <is>
          <t>2024-10</t>
        </is>
      </c>
      <c r="F228" s="17" t="inlineStr">
        <is>
          <t>Current on reference date</t>
        </is>
      </c>
      <c r="G228" s="17" t="inlineStr">
        <is>
          <t>(1) In any case where the Registrar-General has reasonable grounds for believing that any notary has committed any offence referred to in section 28 (3), section 30, section 34, section 37 or section 41, the Registrar-General may, if he thinks fit, instead of instituting criminal proceedings against such notary, accept from him such sum of money as he may consider proper in composition of the offence;</t>
        </is>
      </c>
      <c r="H228" s="17" t="inlineStr">
        <is>
          <t>https://www.rgd.gov.lk/web/images/ActsPDF/notary/Notaries-English.pdf</t>
        </is>
      </c>
      <c r="I228" s="17" t="inlineStr">
        <is>
          <t>Supporting</t>
        </is>
      </c>
      <c r="J228" s="17" t="inlineStr">
        <is>
          <t>The Registrar-General may compound a section 30 offence by accepting a sum of money instead of prosecuting, so Kanthi's exposure may be resolved administratively.
TEMPORAL: Unamended 1907 text in the corpus; no amendment event recorded, so in force at October 2024.</t>
        </is>
      </c>
      <c r="K228" s="17" t="inlineStr">
        <is>
          <t>[verified]</t>
        </is>
      </c>
      <c r="L228" s="21" t="n"/>
      <c r="M228" s="21" t="n"/>
      <c r="N228" s="21" t="n"/>
      <c r="O228" s="21" t="n"/>
      <c r="P228" s="21" t="n"/>
      <c r="Q228" s="17">
        <f>IF(OR(A228="",B228=""),"",IF(AND(L228&lt;&gt;"",P228&lt;&gt;"",IF(L228="Wrong citation",AND(M228&lt;&gt;"",N228&lt;&gt;""),TRUE)),"Complete","Pending"))</f>
        <v/>
      </c>
    </row>
    <row r="229">
      <c r="A229" s="19" t="inlineStr">
        <is>
          <t>M027-Q02</t>
        </is>
      </c>
      <c r="B229" s="19" t="inlineStr">
        <is>
          <t>PROV-M027-027</t>
        </is>
      </c>
      <c r="C229" s="17" t="inlineStr">
        <is>
          <t>Notaries Ordinance No. 1 of 1907</t>
        </is>
      </c>
      <c r="D229" s="17" t="inlineStr">
        <is>
          <t>s.21 (2)</t>
        </is>
      </c>
      <c r="E229" s="17" t="inlineStr">
        <is>
          <t>2024-10</t>
        </is>
      </c>
      <c r="F229" s="17" t="inlineStr">
        <is>
          <t>Current on reference date</t>
        </is>
      </c>
      <c r="G229" s="17" t="inlineStr">
        <is>
          <t>(2) 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t>
        </is>
      </c>
      <c r="H229" s="17" t="inlineStr">
        <is>
          <t>https://www.rgd.gov.lk/web/images/ActsPDF/notary/Notaries-English.pdf</t>
        </is>
      </c>
      <c r="I229" s="17" t="inlineStr">
        <is>
          <t>Supporting</t>
        </is>
      </c>
      <c r="J229" s="17" t="inlineStr">
        <is>
          <t>On a High Court Judge's report of an offence or misconduct, the Minister may cancel the notary's warrant or suspend her from office. This is the professional, as opposed to criminal, limb of Kanthi's liability.
TEMPORAL: Section 21 substituted in part by Act No. 31 of 2022; fines updated by Act No. 12 of 2005. In force at October 2024.</t>
        </is>
      </c>
      <c r="K229" s="17" t="inlineStr">
        <is>
          <t>[verified]</t>
        </is>
      </c>
      <c r="L229" s="21" t="n"/>
      <c r="M229" s="21" t="n"/>
      <c r="N229" s="21" t="n"/>
      <c r="O229" s="21" t="n"/>
      <c r="P229" s="21" t="n"/>
      <c r="Q229" s="17">
        <f>IF(OR(A229="",B229=""),"",IF(AND(L229&lt;&gt;"",P229&lt;&gt;"",IF(L229="Wrong citation",AND(M229&lt;&gt;"",N229&lt;&gt;""),TRUE)),"Complete","Pending"))</f>
        <v/>
      </c>
    </row>
    <row r="230">
      <c r="A230" s="19" t="inlineStr">
        <is>
          <t>M027-Q02</t>
        </is>
      </c>
      <c r="B230" s="19" t="inlineStr">
        <is>
          <t>PROV-M027-028</t>
        </is>
      </c>
      <c r="C230" s="17" t="inlineStr">
        <is>
          <t>Notaries Ordinance No. 1 of 1907</t>
        </is>
      </c>
      <c r="D230" s="17" t="inlineStr">
        <is>
          <t>s.33</t>
        </is>
      </c>
      <c r="E230" s="17" t="inlineStr">
        <is>
          <t>2024-10</t>
        </is>
      </c>
      <c r="F230" s="17" t="inlineStr">
        <is>
          <t>Current on reference date</t>
        </is>
      </c>
      <c r="G230" s="17" t="inlineStr">
        <is>
          <t>No instrument shall be deemed to be invalid by reason only of the failure of any notary to observe any provision of any rule set out in section 31 in respect of any matter of form:</t>
        </is>
      </c>
      <c r="H230" s="17" t="inlineStr">
        <is>
          <t>https://www.rgd.gov.lk/web/images/ActsPDF/notary/Notaries-English.pdf</t>
        </is>
      </c>
      <c r="I230" s="17" t="inlineStr">
        <is>
          <t>Background</t>
        </is>
      </c>
      <c r="J230" s="17" t="inlineStr">
        <is>
          <t>Saves an instrument from invalidity for a notary's failure to observe a section 31 rule in a matter of form, but expressly does not validate an instrument invalid under any other written law. Background: it does not answer whether a deed attested by an uncertificated notary is good, because section 30 is not a section 31 rule.
TEMPORAL: Unamended 1907 text in the corpus; no amendment event recorded, so in force at October 2024.</t>
        </is>
      </c>
      <c r="K230" s="17" t="inlineStr">
        <is>
          <t>[verified]</t>
        </is>
      </c>
      <c r="L230" s="21" t="n"/>
      <c r="M230" s="21" t="n"/>
      <c r="N230" s="21" t="n"/>
      <c r="O230" s="21" t="n"/>
      <c r="P230" s="21" t="n"/>
      <c r="Q230" s="17">
        <f>IF(OR(A230="",B230=""),"",IF(AND(L230&lt;&gt;"",P230&lt;&gt;"",IF(L230="Wrong citation",AND(M230&lt;&gt;"",N230&lt;&gt;""),TRUE)),"Complete","Pending"))</f>
        <v/>
      </c>
    </row>
    <row r="231">
      <c r="A231" s="19" t="inlineStr">
        <is>
          <t>M032-Q01</t>
        </is>
      </c>
      <c r="B231" s="19" t="inlineStr">
        <is>
          <t>PROV-M032-001</t>
        </is>
      </c>
      <c r="C231" s="17" t="inlineStr">
        <is>
          <t>Notaries Ordinance No. 1 of 1907</t>
        </is>
      </c>
      <c r="D231" s="17" t="inlineStr">
        <is>
          <t>s.31 rule (17)(a)</t>
        </is>
      </c>
      <c r="E231" s="17" t="inlineStr">
        <is>
          <t>2024-04</t>
        </is>
      </c>
      <c r="F231" s="17" t="inlineStr">
        <is>
          <t>Current on reference date</t>
        </is>
      </c>
      <c r="G231"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231" s="17" t="inlineStr">
        <is>
          <t>https://www.rgd.gov.lk/web/images/ActsPDF/notary/Notaries-English.pdf</t>
        </is>
      </c>
      <c r="I231" s="17" t="inlineStr">
        <is>
          <t>Indispensable</t>
        </is>
      </c>
      <c r="J231" s="17" t="inlineStr">
        <is>
          <t>Imposes the notary's core pre-drafting duty on a purchase: search the land registry to establish the state of the vendor's title and prior registered dealings.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1" s="17" t="inlineStr">
        <is>
          <t>[partially_verified] Wording is verbatim, but the corpus body of section 31 does not print the rule number: 'rule (17)(a)' is reconstructed from the section's structure, and the duty is subject to a proviso allowing the parties to dispense with the search in writing, now recorded as PROV-M032-901.</t>
        </is>
      </c>
      <c r="L231" s="21" t="n"/>
      <c r="M231" s="21" t="n"/>
      <c r="N231" s="21" t="n"/>
      <c r="O231" s="21" t="n"/>
      <c r="P231" s="21" t="n"/>
      <c r="Q231" s="17">
        <f>IF(OR(A231="",B231=""),"",IF(AND(L231&lt;&gt;"",P231&lt;&gt;"",IF(L231="Wrong citation",AND(M231&lt;&gt;"",N231&lt;&gt;""),TRUE)),"Complete","Pending"))</f>
        <v/>
      </c>
    </row>
    <row r="232">
      <c r="A232" s="19" t="inlineStr">
        <is>
          <t>M032-Q01</t>
        </is>
      </c>
      <c r="B232" s="19" t="inlineStr">
        <is>
          <t>PROV-M032-002</t>
        </is>
      </c>
      <c r="C232" s="17" t="inlineStr">
        <is>
          <t>Notaries Ordinance No. 1 of 1907</t>
        </is>
      </c>
      <c r="D232" s="17" t="inlineStr">
        <is>
          <t>s.31 rule (17)(b)(i)</t>
        </is>
      </c>
      <c r="E232" s="17" t="inlineStr">
        <is>
          <t>2024-04</t>
        </is>
      </c>
      <c r="F232" s="17" t="inlineStr">
        <is>
          <t>Current on reference date</t>
        </is>
      </c>
      <c r="G232"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232" s="17" t="inlineStr">
        <is>
          <t>https://www.rgd.gov.lk/web/images/ActsPDF/notary/Notaries-English.pdf</t>
        </is>
      </c>
      <c r="I232" s="17" t="inlineStr">
        <is>
          <t>Indispensable</t>
        </is>
      </c>
      <c r="J232" s="17" t="inlineStr">
        <is>
          <t>Specifies the documentary output of the search: a certified folio extract showing ownership and registered encumbrances, which is how the mortgage over the estate would surface.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2" s="17" t="inlineStr">
        <is>
          <t>[partially_verified] Wording is verbatim, but the paragraph label 'rule (17)(b)' is not printed in the corpus body (only the sub-paragraph '(i)' appears), and section 31 carries substitutions by Act No. 6 of 2024 that the corpus dates by year only.</t>
        </is>
      </c>
      <c r="L232" s="21" t="n"/>
      <c r="M232" s="21" t="n"/>
      <c r="N232" s="21" t="n"/>
      <c r="O232" s="21" t="n"/>
      <c r="P232" s="21" t="n"/>
      <c r="Q232" s="17">
        <f>IF(OR(A232="",B232=""),"",IF(AND(L232&lt;&gt;"",P232&lt;&gt;"",IF(L232="Wrong citation",AND(M232&lt;&gt;"",N232&lt;&gt;""),TRUE)),"Complete","Pending"))</f>
        <v/>
      </c>
    </row>
    <row r="233">
      <c r="A233" s="19" t="inlineStr">
        <is>
          <t>M032-Q01</t>
        </is>
      </c>
      <c r="B233" s="19" t="inlineStr">
        <is>
          <t>PROV-M032-003</t>
        </is>
      </c>
      <c r="C233" s="17" t="inlineStr">
        <is>
          <t>Notaries Ordinance No. 1 of 1907</t>
        </is>
      </c>
      <c r="D233" s="17" t="inlineStr">
        <is>
          <t>s.31 rule (16)(a)</t>
        </is>
      </c>
      <c r="E233" s="17" t="inlineStr">
        <is>
          <t>2024-04</t>
        </is>
      </c>
      <c r="F233" s="17" t="inlineStr">
        <is>
          <t>Current on reference date</t>
        </is>
      </c>
      <c r="G233"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t>
        </is>
      </c>
      <c r="H233" s="17" t="inlineStr">
        <is>
          <t>https://www.rgd.gov.lk/web/images/ActsPDF/notary/Notaries-English.pdf</t>
        </is>
      </c>
      <c r="I233" s="17" t="inlineStr">
        <is>
          <t>Indispensable</t>
        </is>
      </c>
      <c r="J233" s="17" t="inlineStr">
        <is>
          <t>Governs the schedule to the conveyance: the thirty-acre estate must be described by boundaries, extent and administrative situation, which is why a survey plan is called for.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3" s="17" t="inlineStr">
        <is>
          <t>[partially_verified] Wording is verbatim and the role is right, but the label 'rule (16)(a)' is reconstructed from the section's structure and why_relevant overstates the rule: it requires boundaries, extent and administrative situation but does not itself require a survey plan.</t>
        </is>
      </c>
      <c r="L233" s="21" t="n"/>
      <c r="M233" s="21" t="n"/>
      <c r="N233" s="21" t="n"/>
      <c r="O233" s="21" t="n"/>
      <c r="P233" s="21" t="n"/>
      <c r="Q233" s="17">
        <f>IF(OR(A233="",B233=""),"",IF(AND(L233&lt;&gt;"",P233&lt;&gt;"",IF(L233="Wrong citation",AND(M233&lt;&gt;"",N233&lt;&gt;""),TRUE)),"Complete","Pending"))</f>
        <v/>
      </c>
    </row>
    <row r="234">
      <c r="A234" s="19" t="inlineStr">
        <is>
          <t>M032-Q01</t>
        </is>
      </c>
      <c r="B234" s="19" t="inlineStr">
        <is>
          <t>PROV-M032-004</t>
        </is>
      </c>
      <c r="C234" s="17" t="inlineStr">
        <is>
          <t>Notaries Ordinance No. 1 of 1907</t>
        </is>
      </c>
      <c r="D234" s="17" t="inlineStr">
        <is>
          <t>s.31 rule (33)</t>
        </is>
      </c>
      <c r="E234" s="17" t="inlineStr">
        <is>
          <t>2024-04</t>
        </is>
      </c>
      <c r="F234" s="17" t="inlineStr">
        <is>
          <t>Current on reference date</t>
        </is>
      </c>
      <c r="G234"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234" s="17" t="inlineStr">
        <is>
          <t>https://www.rgd.gov.lk/web/images/ActsPDF/notary/Notaries-English.pdf</t>
        </is>
      </c>
      <c r="I234" s="17" t="inlineStr">
        <is>
          <t>Indispensable</t>
        </is>
      </c>
      <c r="J234" s="17" t="inlineStr">
        <is>
          <t>Requires the notary to call for and endorse the vendor's title deed on a transfer, which is the statutory anchor for taking the prior deeds into his hands.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4" s="17" t="inlineStr">
        <is>
          <t>[verified]</t>
        </is>
      </c>
      <c r="L234" s="21" t="n"/>
      <c r="M234" s="21" t="n"/>
      <c r="N234" s="21" t="n"/>
      <c r="O234" s="21" t="n"/>
      <c r="P234" s="21" t="n"/>
      <c r="Q234" s="17">
        <f>IF(OR(A234="",B234=""),"",IF(AND(L234&lt;&gt;"",P234&lt;&gt;"",IF(L234="Wrong citation",AND(M234&lt;&gt;"",N234&lt;&gt;""),TRUE)),"Complete","Pending"))</f>
        <v/>
      </c>
    </row>
    <row r="235">
      <c r="A235" s="19" t="inlineStr">
        <is>
          <t>M032-Q01</t>
        </is>
      </c>
      <c r="B235" s="19" t="inlineStr">
        <is>
          <t>PROV-M032-005</t>
        </is>
      </c>
      <c r="C235" s="17" t="inlineStr">
        <is>
          <t>Notaries Ordinance No. 1 of 1907</t>
        </is>
      </c>
      <c r="D235" s="17" t="inlineStr">
        <is>
          <t>s.38 (1)</t>
        </is>
      </c>
      <c r="E235" s="17" t="inlineStr">
        <is>
          <t>2024-04</t>
        </is>
      </c>
      <c r="F235" s="17" t="inlineStr">
        <is>
          <t>Current on reference date</t>
        </is>
      </c>
      <c r="G235" s="17" t="inlineStr">
        <is>
          <t>It shall be the duty of every notary to endeavour to ascertain the true and full consideration for the execution of any deed, and to insert and set forth the same in such deed.</t>
        </is>
      </c>
      <c r="H235" s="17" t="inlineStr">
        <is>
          <t>https://www.rgd.gov.lk/web/images/ActsPDF/notary/Notaries-English.pdf</t>
        </is>
      </c>
      <c r="I235" s="17" t="inlineStr">
        <is>
          <t>Indispensable</t>
        </is>
      </c>
      <c r="J235" s="17" t="inlineStr">
        <is>
          <t>Requires the true purchase price, including any advance already paid, to be ascertained and stated in the deed.
TEMPORAL: In force since 1907; the fine in subsection (2) reflects later increases. Unaffected by the 2024 amendment.</t>
        </is>
      </c>
      <c r="K235" s="17" t="inlineStr">
        <is>
          <t>[verified]</t>
        </is>
      </c>
      <c r="L235" s="21" t="n"/>
      <c r="M235" s="21" t="n"/>
      <c r="N235" s="21" t="n"/>
      <c r="O235" s="21" t="n"/>
      <c r="P235" s="21" t="n"/>
      <c r="Q235" s="17">
        <f>IF(OR(A235="",B235=""),"",IF(AND(L235&lt;&gt;"",P235&lt;&gt;"",IF(L235="Wrong citation",AND(M235&lt;&gt;"",N235&lt;&gt;""),TRUE)),"Complete","Pending"))</f>
        <v/>
      </c>
    </row>
    <row r="236">
      <c r="A236" s="19" t="inlineStr">
        <is>
          <t>M032-Q01</t>
        </is>
      </c>
      <c r="B236" s="19" t="inlineStr">
        <is>
          <t>PROV-M032-006</t>
        </is>
      </c>
      <c r="C236" s="17" t="inlineStr">
        <is>
          <t>Notaries Ordinance No. 1 of 1907</t>
        </is>
      </c>
      <c r="D236" s="17" t="inlineStr">
        <is>
          <t>s.31 rule (6)</t>
        </is>
      </c>
      <c r="E236" s="17" t="inlineStr">
        <is>
          <t>2024-04</t>
        </is>
      </c>
      <c r="F236" s="17" t="inlineStr">
        <is>
          <t>Current on reference date</t>
        </is>
      </c>
      <c r="G236" s="17" t="inlineStr">
        <is>
          <t>He shall not authenticate or attest any deed or instrument unless he has an assurance that the required stamp duty is provided.</t>
        </is>
      </c>
      <c r="H236" s="17" t="inlineStr">
        <is>
          <t>https://www.rgd.gov.lk/web/images/ActsPDF/notary/Notaries-English.pdf</t>
        </is>
      </c>
      <c r="I236" s="17" t="inlineStr">
        <is>
          <t>Indispensable</t>
        </is>
      </c>
      <c r="J236" s="17" t="inlineStr">
        <is>
          <t>Bars attestation until stamp duty on the conveyance is provided for, making stamp duty one of the notary's pre-execution steps.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6" s="17" t="inlineStr">
        <is>
          <t>[verified]</t>
        </is>
      </c>
      <c r="L236" s="21" t="n"/>
      <c r="M236" s="21" t="n"/>
      <c r="N236" s="21" t="n"/>
      <c r="O236" s="21" t="n"/>
      <c r="P236" s="21" t="n"/>
      <c r="Q236" s="17">
        <f>IF(OR(A236="",B236=""),"",IF(AND(L236&lt;&gt;"",P236&lt;&gt;"",IF(L236="Wrong citation",AND(M236&lt;&gt;"",N236&lt;&gt;""),TRUE)),"Complete","Pending"))</f>
        <v/>
      </c>
    </row>
    <row r="237">
      <c r="A237" s="19" t="inlineStr">
        <is>
          <t>M032-Q01</t>
        </is>
      </c>
      <c r="B237" s="19" t="inlineStr">
        <is>
          <t>PROV-M032-008</t>
        </is>
      </c>
      <c r="C237" s="17" t="inlineStr">
        <is>
          <t>Notaries Ordinance No. 1 of 1907</t>
        </is>
      </c>
      <c r="D237" s="17" t="inlineStr">
        <is>
          <t>s.31 rule (9)</t>
        </is>
      </c>
      <c r="E237" s="17" t="inlineStr">
        <is>
          <t>2024-04</t>
        </is>
      </c>
      <c r="F237" s="17" t="inlineStr">
        <is>
          <t>Current on reference date</t>
        </is>
      </c>
      <c r="G237"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237" s="17" t="inlineStr">
        <is>
          <t>https://www.rgd.gov.lk/web/images/ActsPDF/notary/Notaries-English.pdf</t>
        </is>
      </c>
      <c r="I237" s="17" t="inlineStr">
        <is>
          <t>Indispensable</t>
        </is>
      </c>
      <c r="J237" s="17" t="inlineStr">
        <is>
          <t>Requires the notary to establish the identity of the vendor and purchaser and to satisfy himself about the witnesses before attesting.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7" s="17" t="inlineStr">
        <is>
          <t>[verified]</t>
        </is>
      </c>
      <c r="L237" s="21" t="n"/>
      <c r="M237" s="21" t="n"/>
      <c r="N237" s="21" t="n"/>
      <c r="O237" s="21" t="n"/>
      <c r="P237" s="21" t="n"/>
      <c r="Q237" s="17">
        <f>IF(OR(A237="",B237=""),"",IF(AND(L237&lt;&gt;"",P237&lt;&gt;"",IF(L237="Wrong citation",AND(M237&lt;&gt;"",N237&lt;&gt;""),TRUE)),"Complete","Pending"))</f>
        <v/>
      </c>
    </row>
    <row r="238">
      <c r="A238" s="19" t="inlineStr">
        <is>
          <t>M032-Q01</t>
        </is>
      </c>
      <c r="B238" s="19" t="inlineStr">
        <is>
          <t>PROV-M032-009</t>
        </is>
      </c>
      <c r="C238" s="17" t="inlineStr">
        <is>
          <t>Notaries Ordinance No. 1 of 1907</t>
        </is>
      </c>
      <c r="D238" s="17" t="inlineStr">
        <is>
          <t>s.31 rule (20)</t>
        </is>
      </c>
      <c r="E238" s="17" t="inlineStr">
        <is>
          <t>2024-04</t>
        </is>
      </c>
      <c r="F238" s="17" t="inlineStr">
        <is>
          <t>Current on reference date</t>
        </is>
      </c>
      <c r="G238" s="17" t="inlineStr">
        <is>
          <t>He shall without delay duly attest every deed or instrument which shall be executed or acknowledged before him, and shall sign and seal such attestation.</t>
        </is>
      </c>
      <c r="H238" s="17" t="inlineStr">
        <is>
          <t>https://www.rgd.gov.lk/web/images/ActsPDF/notary/Notaries-English.pdf</t>
        </is>
      </c>
      <c r="I238" s="17" t="inlineStr">
        <is>
          <t>Indispensable</t>
        </is>
      </c>
      <c r="J238" s="17" t="inlineStr">
        <is>
          <t>Fixes the attestation step and, in its paragraphs, the matters the attestation must record, including whether consideration was paid in the notary's presence.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8" s="17" t="inlineStr">
        <is>
          <t>[verified]</t>
        </is>
      </c>
      <c r="L238" s="21" t="n"/>
      <c r="M238" s="21" t="n"/>
      <c r="N238" s="21" t="n"/>
      <c r="O238" s="21" t="n"/>
      <c r="P238" s="21" t="n"/>
      <c r="Q238" s="17">
        <f>IF(OR(A238="",B238=""),"",IF(AND(L238&lt;&gt;"",P238&lt;&gt;"",IF(L238="Wrong citation",AND(M238&lt;&gt;"",N238&lt;&gt;""),TRUE)),"Complete","Pending"))</f>
        <v/>
      </c>
    </row>
    <row r="239">
      <c r="A239" s="19" t="inlineStr">
        <is>
          <t>M032-Q01</t>
        </is>
      </c>
      <c r="B239" s="19" t="inlineStr">
        <is>
          <t>PROV-M032-010</t>
        </is>
      </c>
      <c r="C239" s="17" t="inlineStr">
        <is>
          <t>Notaries Ordinance No. 1 of 1907</t>
        </is>
      </c>
      <c r="D239" s="17" t="inlineStr">
        <is>
          <t>s.31 rule (30A)</t>
        </is>
      </c>
      <c r="E239" s="17" t="inlineStr">
        <is>
          <t>2024-04</t>
        </is>
      </c>
      <c r="F239" s="17" t="inlineStr">
        <is>
          <t>Current on reference date</t>
        </is>
      </c>
      <c r="G239" s="17" t="inlineStr">
        <is>
          <t>It shall be the duty of every notary to submit for registration to the Registrar, every deed or instrument attested by him before the expiry of thirty days from the date of attestation thereof</t>
        </is>
      </c>
      <c r="H239" s="17" t="inlineStr">
        <is>
          <t>https://www.rgd.gov.lk/web/images/ActsPDF/notary/Notaries-English.pdf</t>
        </is>
      </c>
      <c r="I239" s="17" t="inlineStr">
        <is>
          <t>Indispensable</t>
        </is>
      </c>
      <c r="J239" s="17" t="inlineStr">
        <is>
          <t>Sets the post-execution step and its deadline: lodging the conveyance for registration within thirty days.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39" s="17" t="inlineStr">
        <is>
          <t>[partially_verified] Wording and thirty-day deadline are verbatim, but the excerpt omits the proviso extending the period to sixty days where the deed must be registered outside the jurisdiction in which the notary practises; on these facts the land and the notary are both in Kurunegala, so thirty days is correct.</t>
        </is>
      </c>
      <c r="L239" s="21" t="n"/>
      <c r="M239" s="21" t="n"/>
      <c r="N239" s="21" t="n"/>
      <c r="O239" s="21" t="n"/>
      <c r="P239" s="21" t="n"/>
      <c r="Q239" s="17">
        <f>IF(OR(A239="",B239=""),"",IF(AND(L239&lt;&gt;"",P239&lt;&gt;"",IF(L239="Wrong citation",AND(M239&lt;&gt;"",N239&lt;&gt;""),TRUE)),"Complete","Pending"))</f>
        <v/>
      </c>
    </row>
    <row r="240">
      <c r="A240" s="19" t="inlineStr">
        <is>
          <t>M032-Q01</t>
        </is>
      </c>
      <c r="B240" s="19" t="inlineStr">
        <is>
          <t>PROV-M032-013</t>
        </is>
      </c>
      <c r="C240" s="17" t="inlineStr">
        <is>
          <t>Prevention of Frauds Ordinance No. 7 of 1840</t>
        </is>
      </c>
      <c r="D240" s="17" t="inlineStr">
        <is>
          <t>s.2 (1)(a)</t>
        </is>
      </c>
      <c r="E240" s="17" t="inlineStr">
        <is>
          <t>2024-04</t>
        </is>
      </c>
      <c r="F240" s="17" t="inlineStr">
        <is>
          <t>Current on reference date</t>
        </is>
      </c>
      <c r="G240"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40" s="17" t="inlineStr">
        <is>
          <t>https://lankalaw.net/wp-content/uploads/2025/03/Prevention-of-Frauds-Consolidated-2024.pdf</t>
        </is>
      </c>
      <c r="I240" s="17" t="inlineStr">
        <is>
          <t>Indispensable</t>
        </is>
      </c>
      <c r="J240" s="17" t="inlineStr">
        <is>
          <t>Explains why a notary is needed at all: a sale of land has no force in law unless it is in writing, signed before and attested by a notary.
TEMPORAL: Section 2 was renumbered and paragraph (a) substituted by Act No. 4 of 2024; the requirement of notarial writing and attestation is unchanged since 1840. The corpus records years only, so the precise April 2024 wording is unverified; the substance relied on predates 2024.</t>
        </is>
      </c>
      <c r="K240" s="17" t="inlineStr">
        <is>
          <t>[partially_verified] Subsection (1)(a) is verbatim and correctly placed, but the map omits section 2(1)(b) (thumb impressions) and section 2(2)(a), which requires the transferee as well as the transferor to sign a transfer deed; that paragraph is added as PROV-M032-905. Section 2 was also touched by Act No. 4 of 2024, whose commencement relative to April 2024 cannot be established from the corpus.</t>
        </is>
      </c>
      <c r="L240" s="21" t="n"/>
      <c r="M240" s="21" t="n"/>
      <c r="N240" s="21" t="n"/>
      <c r="O240" s="21" t="n"/>
      <c r="P240" s="21" t="n"/>
      <c r="Q240" s="17">
        <f>IF(OR(A240="",B240=""),"",IF(AND(L240&lt;&gt;"",P240&lt;&gt;"",IF(L240="Wrong citation",AND(M240&lt;&gt;"",N240&lt;&gt;""),TRUE)),"Complete","Pending"))</f>
        <v/>
      </c>
    </row>
    <row r="241">
      <c r="A241" s="19" t="inlineStr">
        <is>
          <t>M032-Q01</t>
        </is>
      </c>
      <c r="B241" s="19" t="inlineStr">
        <is>
          <t>PROV-M032-014</t>
        </is>
      </c>
      <c r="C241" s="17" t="inlineStr">
        <is>
          <t>Registration of Documents Ordinance No. 23 of 1927</t>
        </is>
      </c>
      <c r="D241" s="17" t="inlineStr">
        <is>
          <t>s.7 (1)</t>
        </is>
      </c>
      <c r="E241" s="17" t="inlineStr">
        <is>
          <t>2024-04</t>
        </is>
      </c>
      <c r="F241" s="17" t="inlineStr">
        <is>
          <t>Current on reference date</t>
        </is>
      </c>
      <c r="G241" s="17" t="inlineStr">
        <is>
          <t>be void as against all parties claiming an adverse interest thereto on valuable consideration by virtue of any subsequent instrument which is duly registered under this Chapter</t>
        </is>
      </c>
      <c r="H241" s="17" t="inlineStr">
        <is>
          <t>https://lankalaw.net/wp-content/uploads/2025/03/Registration-of-Documents-Consolidated-2024.pdf</t>
        </is>
      </c>
      <c r="I241" s="17" t="inlineStr">
        <is>
          <t>Indispensable</t>
        </is>
      </c>
      <c r="J241" s="17" t="inlineStr">
        <is>
          <t>Supplies the reason the search and prompt registration matter: priority between competing instruments turns on registration, not on date of execution.
TEMPORAL: In force since 1927 and unamended in the corpus for the point relied on.</t>
        </is>
      </c>
      <c r="K241" s="17" t="inlineStr">
        <is>
          <t>[verified]</t>
        </is>
      </c>
      <c r="L241" s="21" t="n"/>
      <c r="M241" s="21" t="n"/>
      <c r="N241" s="21" t="n"/>
      <c r="O241" s="21" t="n"/>
      <c r="P241" s="21" t="n"/>
      <c r="Q241" s="17">
        <f>IF(OR(A241="",B241=""),"",IF(AND(L241&lt;&gt;"",P241&lt;&gt;"",IF(L241="Wrong citation",AND(M241&lt;&gt;"",N241&lt;&gt;""),TRUE)),"Complete","Pending"))</f>
        <v/>
      </c>
    </row>
    <row r="242">
      <c r="A242" s="19" t="inlineStr">
        <is>
          <t>M032-Q01</t>
        </is>
      </c>
      <c r="B242" s="19" t="inlineStr">
        <is>
          <t>PROV-M032-902</t>
        </is>
      </c>
      <c r="C242" s="17" t="inlineStr">
        <is>
          <t>Notaries Ordinance No. 1 of 1907</t>
        </is>
      </c>
      <c r="D242" s="17" t="inlineStr">
        <is>
          <t>s.31 rule (8)</t>
        </is>
      </c>
      <c r="E242" s="17" t="inlineStr">
        <is>
          <t>2024-04</t>
        </is>
      </c>
      <c r="F242" s="17" t="inlineStr">
        <is>
          <t>Current on reference date</t>
        </is>
      </c>
      <c r="G242" s="17" t="inlineStr">
        <is>
          <t>He shall not authenticate or attest any deed or instrument to which at least two witnesses have not subscribed their signatures in letters.</t>
        </is>
      </c>
      <c r="H242" s="17" t="inlineStr">
        <is>
          <t>https://www.rgd.gov.lk/web/images/ActsPDF/notary/Notaries-English.pdf</t>
        </is>
      </c>
      <c r="I242" s="17" t="inlineStr">
        <is>
          <t>Indispensable</t>
        </is>
      </c>
      <c r="J242" s="17" t="inlineStr">
        <is>
          <t>Supplies the two-witness requirement that the gold answer's execution step asserts; the map had cited only rule (9), which deals with identity and the repute of witnesses, not with their number.
TEMPORAL: Rule (8) is of long standing in the consolidated section 31 and is not attributed to the 2024 amendment in the corpus.</t>
        </is>
      </c>
      <c r="K242" s="17" t="inlineStr">
        <is>
          <t>[verified] Added by the verifier; excerpt checked verbatim against 1-1907/s31.</t>
        </is>
      </c>
      <c r="L242" s="21" t="n"/>
      <c r="M242" s="21" t="n"/>
      <c r="N242" s="21" t="n"/>
      <c r="O242" s="21" t="n"/>
      <c r="P242" s="21" t="n"/>
      <c r="Q242" s="17">
        <f>IF(OR(A242="",B242=""),"",IF(AND(L242&lt;&gt;"",P242&lt;&gt;"",IF(L242="Wrong citation",AND(M242&lt;&gt;"",N242&lt;&gt;""),TRUE)),"Complete","Pending"))</f>
        <v/>
      </c>
    </row>
    <row r="243">
      <c r="A243" s="19" t="inlineStr">
        <is>
          <t>M032-Q01</t>
        </is>
      </c>
      <c r="B243" s="19" t="inlineStr">
        <is>
          <t>PROV-M032-905</t>
        </is>
      </c>
      <c r="C243" s="17" t="inlineStr">
        <is>
          <t>Prevention of Frauds Ordinance No. 7 of 1840</t>
        </is>
      </c>
      <c r="D243" s="17" t="inlineStr">
        <is>
          <t>s.2 (2)(a)</t>
        </is>
      </c>
      <c r="E243" s="17" t="inlineStr">
        <is>
          <t>2024-04</t>
        </is>
      </c>
      <c r="F243" s="17" t="inlineStr">
        <is>
          <t>Current on reference date</t>
        </is>
      </c>
      <c r="G243" s="17" t="inlineStr">
        <is>
          <t>both the transferor and the transferee shall affix their signatures and thumb impressions as required by subsection (1)</t>
        </is>
      </c>
      <c r="H243" s="17" t="inlineStr">
        <is>
          <t>https://lankalaw.net/wp-content/uploads/2025/03/Prevention-of-Frauds-Consolidated-2024.pdf</t>
        </is>
      </c>
      <c r="I243" s="17" t="inlineStr">
        <is>
          <t>Indispensable</t>
        </is>
      </c>
      <c r="J243" s="17" t="inlineStr">
        <is>
          <t>On a transfer deed the purchaser as well as the vendor must sign and affix a thumb impression. The map recorded only section 2(1)(a), which is framed around the executants generally; this paragraph is what puts the notary's client, the buyer, on the deed.
TEMPORAL: Subsection (2) stands in the consolidated section 2. Section 2 was touched by the Prevention of Frauds (Amendment) Act, No. 4 of 2024, whose commencement relative to April 2024 cannot be established from the corpus.</t>
        </is>
      </c>
      <c r="K243" s="17" t="inlineStr">
        <is>
          <t>[verified] Added by the verifier; excerpt checked verbatim against 7-1840/s2. Its wording may be post-2024, which is the temporal doubt already recorded for PROV-M032-013.</t>
        </is>
      </c>
      <c r="L243" s="21" t="n"/>
      <c r="M243" s="21" t="n"/>
      <c r="N243" s="21" t="n"/>
      <c r="O243" s="21" t="n"/>
      <c r="P243" s="21" t="n"/>
      <c r="Q243" s="17">
        <f>IF(OR(A243="",B243=""),"",IF(AND(L243&lt;&gt;"",P243&lt;&gt;"",IF(L243="Wrong citation",AND(M243&lt;&gt;"",N243&lt;&gt;""),TRUE)),"Complete","Pending"))</f>
        <v/>
      </c>
    </row>
    <row r="244">
      <c r="A244" s="19" t="inlineStr">
        <is>
          <t>M032-Q01</t>
        </is>
      </c>
      <c r="B244" s="19" t="inlineStr">
        <is>
          <t>PROV-M032-007</t>
        </is>
      </c>
      <c r="C244" s="17" t="inlineStr">
        <is>
          <t>Notaries Ordinance No. 1 of 1907</t>
        </is>
      </c>
      <c r="D244" s="17" t="inlineStr">
        <is>
          <t>s.31 rule (7A)(a)</t>
        </is>
      </c>
      <c r="E244" s="17" t="inlineStr">
        <is>
          <t>2024-04</t>
        </is>
      </c>
      <c r="F244" s="17" t="inlineStr">
        <is>
          <t>Current on reference date</t>
        </is>
      </c>
      <c r="G244" s="17" t="inlineStr">
        <is>
          <t>any stamp duty which is required to be paid in respect of every deed or instrument executed under any written law, shall be paid by the notary</t>
        </is>
      </c>
      <c r="H244" s="17" t="inlineStr">
        <is>
          <t>https://www.rgd.gov.lk/web/images/ActsPDF/notary/Notaries-English.pdf</t>
        </is>
      </c>
      <c r="I244" s="17" t="inlineStr">
        <is>
          <t>Supporting</t>
        </is>
      </c>
      <c r="J244" s="17" t="inlineStr">
        <is>
          <t>Places the mechanics of paying and evidencing stamp duty on the notary himself.
TEMPORAL: Rule (7A) was inserted by Act No. 31 of 2022; paragraph (a) was widened by Act No. 6 of 2024 from transfers, gifts and exchanges to every deed. A deed of transfer is caught either way, but the corpus records only amendment years, so the April 2024 wording is unverified.</t>
        </is>
      </c>
      <c r="K244" s="17" t="inlineStr">
        <is>
          <t>[partially_verified] Wording is verbatim, but the label 'rule (7A)(a)' is not printed in the corpus body (the paragraph runs on directly after rule (7)), and the 'every deed or instrument' wording is attributed to Act No. 6 of 2024, whose commencement relative to April 2024 cannot be established from the corpus.</t>
        </is>
      </c>
      <c r="L244" s="21" t="n"/>
      <c r="M244" s="21" t="n"/>
      <c r="N244" s="21" t="n"/>
      <c r="O244" s="21" t="n"/>
      <c r="P244" s="21" t="n"/>
      <c r="Q244" s="17">
        <f>IF(OR(A244="",B244=""),"",IF(AND(L244&lt;&gt;"",P244&lt;&gt;"",IF(L244="Wrong citation",AND(M244&lt;&gt;"",N244&lt;&gt;""),TRUE)),"Complete","Pending"))</f>
        <v/>
      </c>
    </row>
    <row r="245">
      <c r="A245" s="19" t="inlineStr">
        <is>
          <t>M032-Q01</t>
        </is>
      </c>
      <c r="B245" s="19" t="inlineStr">
        <is>
          <t>PROV-M032-011</t>
        </is>
      </c>
      <c r="C245" s="17" t="inlineStr">
        <is>
          <t>Notaries Ordinance No. 1 of 1907</t>
        </is>
      </c>
      <c r="D245" s="17" t="inlineStr">
        <is>
          <t>s.31 rule (22)</t>
        </is>
      </c>
      <c r="E245" s="17" t="inlineStr">
        <is>
          <t>2024-04</t>
        </is>
      </c>
      <c r="F245" s="17" t="inlineStr">
        <is>
          <t>Current on reference date</t>
        </is>
      </c>
      <c r="G245" s="17" t="inlineStr">
        <is>
          <t>He shall not authenticate or attest any deed or instrument in any area other than that in which he is authorized to practice, nor in any language other than that in which he is authorized to practice</t>
        </is>
      </c>
      <c r="H245" s="17" t="inlineStr">
        <is>
          <t>https://www.rgd.gov.lk/web/images/ActsPDF/notary/Notaries-English.pdf</t>
        </is>
      </c>
      <c r="I245" s="17" t="inlineStr">
        <is>
          <t>Supporting</t>
        </is>
      </c>
      <c r="J245" s="17" t="inlineStr">
        <is>
          <t>Limits which notary may attest the deed; the notary must confirm the transaction falls inside his authorised area and language before accepting the retainer.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45" s="17" t="inlineStr">
        <is>
          <t>[verified]</t>
        </is>
      </c>
      <c r="L245" s="21" t="n"/>
      <c r="M245" s="21" t="n"/>
      <c r="N245" s="21" t="n"/>
      <c r="O245" s="21" t="n"/>
      <c r="P245" s="21" t="n"/>
      <c r="Q245" s="17">
        <f>IF(OR(A245="",B245=""),"",IF(AND(L245&lt;&gt;"",P245&lt;&gt;"",IF(L245="Wrong citation",AND(M245&lt;&gt;"",N245&lt;&gt;""),TRUE)),"Complete","Pending"))</f>
        <v/>
      </c>
    </row>
    <row r="246">
      <c r="A246" s="19" t="inlineStr">
        <is>
          <t>M032-Q01</t>
        </is>
      </c>
      <c r="B246" s="19" t="inlineStr">
        <is>
          <t>PROV-M032-015</t>
        </is>
      </c>
      <c r="C246" s="17" t="inlineStr">
        <is>
          <t>Registration of Documents Ordinance No. 23 of 1927</t>
        </is>
      </c>
      <c r="D246" s="17" t="inlineStr">
        <is>
          <t>s.42</t>
        </is>
      </c>
      <c r="E246" s="17" t="inlineStr">
        <is>
          <t>2024-04</t>
        </is>
      </c>
      <c r="F246" s="17" t="inlineStr">
        <is>
          <t>Current on reference date</t>
        </is>
      </c>
      <c r="G246"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246" s="17" t="inlineStr">
        <is>
          <t>https://lankalaw.net/wp-content/uploads/2025/03/Registration-of-Documents-Consolidated-2024.pdf</t>
        </is>
      </c>
      <c r="I246" s="17" t="inlineStr">
        <is>
          <t>Supporting</t>
        </is>
      </c>
      <c r="J246" s="17" t="inlineStr">
        <is>
          <t>Gives the notary, as the purchaser's agent, the right of access to the registry books and to the certified extracts that rule (17) obliges him to obtain.
TEMPORAL: In force since 1927; no amendment recorded in the corpus.</t>
        </is>
      </c>
      <c r="K246" s="17" t="inlineStr">
        <is>
          <t>[verified]</t>
        </is>
      </c>
      <c r="L246" s="21" t="n"/>
      <c r="M246" s="21" t="n"/>
      <c r="N246" s="21" t="n"/>
      <c r="O246" s="21" t="n"/>
      <c r="P246" s="21" t="n"/>
      <c r="Q246" s="17">
        <f>IF(OR(A246="",B246=""),"",IF(AND(L246&lt;&gt;"",P246&lt;&gt;"",IF(L246="Wrong citation",AND(M246&lt;&gt;"",N246&lt;&gt;""),TRUE)),"Complete","Pending"))</f>
        <v/>
      </c>
    </row>
    <row r="247">
      <c r="A247" s="19" t="inlineStr">
        <is>
          <t>M032-Q01</t>
        </is>
      </c>
      <c r="B247" s="19" t="inlineStr">
        <is>
          <t>PROV-M032-016</t>
        </is>
      </c>
      <c r="C247" s="17" t="inlineStr">
        <is>
          <t>Registration of Documents Ordinance No. 23 of 1927</t>
        </is>
      </c>
      <c r="D247" s="17" t="inlineStr">
        <is>
          <t>s.30 (5)</t>
        </is>
      </c>
      <c r="E247" s="17" t="inlineStr">
        <is>
          <t>2024-04</t>
        </is>
      </c>
      <c r="F247" s="17" t="inlineStr">
        <is>
          <t>Current on reference date</t>
        </is>
      </c>
      <c r="G247" s="17" t="inlineStr">
        <is>
          <t>A priority notice shall remain in force for six weeks from the date of registration of the notice</t>
        </is>
      </c>
      <c r="H247" s="17" t="inlineStr">
        <is>
          <t>https://lankalaw.net/wp-content/uploads/2025/03/Registration-of-Documents-Consolidated-2024.pdf</t>
        </is>
      </c>
      <c r="I247" s="17" t="inlineStr">
        <is>
          <t>Supporting</t>
        </is>
      </c>
      <c r="J247" s="17" t="inlineStr">
        <is>
          <t>Supports the protective step of lodging a priority notice between the search and execution, so that an instrument later registered relates back to the notice.
TEMPORAL: In force since 1927; no amendment recorded in the corpus.</t>
        </is>
      </c>
      <c r="K247" s="17" t="inlineStr">
        <is>
          <t>[partially_verified] Subsection (5) is verbatim but supplies only the six-week currency of the notice; the relation-back the answer relies on is in section 30(2), added as PROV-M032-904.</t>
        </is>
      </c>
      <c r="L247" s="21" t="n"/>
      <c r="M247" s="21" t="n"/>
      <c r="N247" s="21" t="n"/>
      <c r="O247" s="21" t="n"/>
      <c r="P247" s="21" t="n"/>
      <c r="Q247" s="17">
        <f>IF(OR(A247="",B247=""),"",IF(AND(L247&lt;&gt;"",P247&lt;&gt;"",IF(L247="Wrong citation",AND(M247&lt;&gt;"",N247&lt;&gt;""),TRUE)),"Complete","Pending"))</f>
        <v/>
      </c>
    </row>
    <row r="248">
      <c r="A248" s="19" t="inlineStr">
        <is>
          <t>M032-Q01</t>
        </is>
      </c>
      <c r="B248" s="19" t="inlineStr">
        <is>
          <t>PROV-M032-017</t>
        </is>
      </c>
      <c r="C248" s="17" t="inlineStr">
        <is>
          <t>Land Reform Law No. 1 of 1972</t>
        </is>
      </c>
      <c r="D248" s="17" t="inlineStr">
        <is>
          <t>s.3 (1)(b)</t>
        </is>
      </c>
      <c r="E248" s="17" t="inlineStr">
        <is>
          <t>2024-04</t>
        </is>
      </c>
      <c r="F248" s="17" t="inlineStr">
        <is>
          <t>Current on reference date</t>
        </is>
      </c>
      <c r="G248" s="17" t="inlineStr">
        <is>
          <t>if such land does not consist exclusively of paddy land, be fifty acres, so however that the total extent of any paddy land, if any, comprised in such fifty acres shall not exceed the ceiling on paddy land specified in paragraph (a)</t>
        </is>
      </c>
      <c r="H248" s="17" t="inlineStr">
        <is>
          <t>https://lankalaw.net/wp-content/uploads/2024/03/Legislative-Enactments-Vol-3.pdf</t>
        </is>
      </c>
      <c r="I248" s="17" t="inlineStr">
        <is>
          <t>Supporting</t>
        </is>
      </c>
      <c r="J248" s="17" t="inlineStr">
        <is>
          <t>Sets the ceiling the notary must test the purchase against, because a purchase pushing the buyer's agricultural holding over the ceiling would vest the excess in the Commission.
TEMPORAL: In force since 1972, last amended in 1981; well before the matter date.</t>
        </is>
      </c>
      <c r="K248" s="17" t="inlineStr">
        <is>
          <t>[partially_verified] The fifty-acre ceiling in subsection (1)(b) is verbatim, but subsection (2) vests only land held in excess at the 1972 commencement; for a purchaser who exceeds the ceiling after commencement the vesting provision is section 5(1), added as PROV-M032-906.</t>
        </is>
      </c>
      <c r="L248" s="21" t="n"/>
      <c r="M248" s="21" t="n"/>
      <c r="N248" s="21" t="n"/>
      <c r="O248" s="21" t="n"/>
      <c r="P248" s="21" t="n"/>
      <c r="Q248" s="17">
        <f>IF(OR(A248="",B248=""),"",IF(AND(L248&lt;&gt;"",P248&lt;&gt;"",IF(L248="Wrong citation",AND(M248&lt;&gt;"",N248&lt;&gt;""),TRUE)),"Complete","Pending"))</f>
        <v/>
      </c>
    </row>
    <row r="249">
      <c r="A249" s="19" t="inlineStr">
        <is>
          <t>M032-Q01</t>
        </is>
      </c>
      <c r="B249" s="19" t="inlineStr">
        <is>
          <t>PROV-M032-018</t>
        </is>
      </c>
      <c r="C249" s="17" t="inlineStr">
        <is>
          <t>Land Development Ordinance No. 19 of 1935</t>
        </is>
      </c>
      <c r="D249" s="17" t="inlineStr">
        <is>
          <t>s.19 (6)</t>
        </is>
      </c>
      <c r="E249" s="17" t="inlineStr">
        <is>
          <t>2024-04</t>
        </is>
      </c>
      <c r="F249" s="17" t="inlineStr">
        <is>
          <t>Current on reference date</t>
        </is>
      </c>
      <c r="G249" s="17" t="inlineStr">
        <is>
          <t>Every grant issued under subsection (4) shall contain the conditions that the owner of the holding shall not (a) dispose of a divided portion, or an undivided share of the holding which is less in extent than the unit of the sub-division or the minimum fraction specified in the grant; and (b) dispose of such holding except with the prior approval of the Government Agent.</t>
        </is>
      </c>
      <c r="H249" s="17" t="inlineStr">
        <is>
          <t>https://lankalaw.net/wp-content/uploads/2025/03/Land-Development-Consolidated-2024.pdf</t>
        </is>
      </c>
      <c r="I249" s="17" t="inlineStr">
        <is>
          <t>Supporting</t>
        </is>
      </c>
      <c r="J249" s="17" t="inlineStr">
        <is>
          <t>Identifies the statutory restriction the notary must exclude: if the estate were held on a state grant, the vendor could not convey without prior approval.
TEMPORAL: In force since 1935 in the consolidated edition used; the restriction on disposition predates the matter date.</t>
        </is>
      </c>
      <c r="K249" s="17" t="inlineStr">
        <is>
          <t>[verified]</t>
        </is>
      </c>
      <c r="L249" s="21" t="n"/>
      <c r="M249" s="21" t="n"/>
      <c r="N249" s="21" t="n"/>
      <c r="O249" s="21" t="n"/>
      <c r="P249" s="21" t="n"/>
      <c r="Q249" s="17">
        <f>IF(OR(A249="",B249=""),"",IF(AND(L249&lt;&gt;"",P249&lt;&gt;"",IF(L249="Wrong citation",AND(M249&lt;&gt;"",N249&lt;&gt;""),TRUE)),"Complete","Pending"))</f>
        <v/>
      </c>
    </row>
    <row r="250">
      <c r="A250" s="19" t="inlineStr">
        <is>
          <t>M032-Q01</t>
        </is>
      </c>
      <c r="B250" s="19" t="inlineStr">
        <is>
          <t>PROV-M032-020</t>
        </is>
      </c>
      <c r="C250" s="17" t="inlineStr">
        <is>
          <t>Notaries Ordinance No. 1 of 1907</t>
        </is>
      </c>
      <c r="D250" s="17" t="inlineStr">
        <is>
          <t>s.38A (1)</t>
        </is>
      </c>
      <c r="E250" s="17" t="inlineStr">
        <is>
          <t>2024-04</t>
        </is>
      </c>
      <c r="F250" s="17" t="inlineStr">
        <is>
          <t>Unclear</t>
        </is>
      </c>
      <c r="G250" s="17" t="inlineStr">
        <is>
          <t>to endeavour to ascertain the true legal nature of the transaction between the parties and execute the deed or instrument for the true transaction</t>
        </is>
      </c>
      <c r="H250" s="17" t="inlineStr">
        <is>
          <t>https://www.rgd.gov.lk/web/images/ActsPDF/notary/Notaries-English.pdf</t>
        </is>
      </c>
      <c r="I250" s="17" t="inlineStr">
        <is>
          <t>Supporting</t>
        </is>
      </c>
      <c r="J250" s="17" t="inlineStr">
        <is>
          <t>Requires the notary to satisfy himself that an outright purchase is what the parties really intend, and to explain the deed to them before signature.
TEMPORAL: Section 38A was inserted by the Notaries (Amendment) Act, No. 6 of 2024. The corpus records the year only, so it cannot be confirmed that it was in force in April 2024. Treated as supporting and not relied on as indispensable.</t>
        </is>
      </c>
      <c r="K250" s="17" t="inlineStr">
        <is>
          <t>[unresolved] Section 38A was inserted by the Notaries (Amendment) Act, No. 6 of 2024 and the corpus records in_force_from_year 2024 with no commencement date, so whether it bound a notary in April 2024 cannot be settled from the corpus; it is supporting only, so no indispensable step depends on it.</t>
        </is>
      </c>
      <c r="L250" s="21" t="n"/>
      <c r="M250" s="21" t="n"/>
      <c r="N250" s="21" t="n"/>
      <c r="O250" s="21" t="n"/>
      <c r="P250" s="21" t="n"/>
      <c r="Q250" s="17">
        <f>IF(OR(A250="",B250=""),"",IF(AND(L250&lt;&gt;"",P250&lt;&gt;"",IF(L250="Wrong citation",AND(M250&lt;&gt;"",N250&lt;&gt;""),TRUE)),"Complete","Pending"))</f>
        <v/>
      </c>
    </row>
    <row r="251">
      <c r="A251" s="19" t="inlineStr">
        <is>
          <t>M032-Q01</t>
        </is>
      </c>
      <c r="B251" s="19" t="inlineStr">
        <is>
          <t>PROV-M032-901</t>
        </is>
      </c>
      <c r="C251" s="17" t="inlineStr">
        <is>
          <t>Notaries Ordinance No. 1 of 1907</t>
        </is>
      </c>
      <c r="D251" s="17" t="inlineStr">
        <is>
          <t>s.31 rule (17) proviso</t>
        </is>
      </c>
      <c r="E251" s="17" t="inlineStr">
        <is>
          <t>2024-04</t>
        </is>
      </c>
      <c r="F251" s="17" t="inlineStr">
        <is>
          <t>Current on reference date</t>
        </is>
      </c>
      <c r="G251"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251" s="17" t="inlineStr">
        <is>
          <t>https://www.rgd.gov.lk/web/images/ActsPDF/notary/Notaries-English.pdf</t>
        </is>
      </c>
      <c r="I251" s="17" t="inlineStr">
        <is>
          <t>Supporting</t>
        </is>
      </c>
      <c r="J251" s="17" t="inlineStr">
        <is>
          <t>The exception to the pre-drafting search duty the map relied on: the search is not compulsory if the parties authorise the notary in writing to dispense with it, in which case he must instead write the reference to the previous registration at the head of the deed. Added by the verifier because an indispensable duty was stated without its proviso.
TEMPORAL: Part of the consolidated section 31; the proviso is of long standing and is not attributed to the 2024 amendment in the corpus.</t>
        </is>
      </c>
      <c r="K251" s="17" t="inlineStr">
        <is>
          <t>[verified] Added by the verifier; excerpt checked verbatim against 1-1907/s31.</t>
        </is>
      </c>
      <c r="L251" s="21" t="n"/>
      <c r="M251" s="21" t="n"/>
      <c r="N251" s="21" t="n"/>
      <c r="O251" s="21" t="n"/>
      <c r="P251" s="21" t="n"/>
      <c r="Q251" s="17">
        <f>IF(OR(A251="",B251=""),"",IF(AND(L251&lt;&gt;"",P251&lt;&gt;"",IF(L251="Wrong citation",AND(M251&lt;&gt;"",N251&lt;&gt;""),TRUE)),"Complete","Pending"))</f>
        <v/>
      </c>
    </row>
    <row r="252">
      <c r="A252" s="19" t="inlineStr">
        <is>
          <t>M032-Q01</t>
        </is>
      </c>
      <c r="B252" s="19" t="inlineStr">
        <is>
          <t>PROV-M032-903</t>
        </is>
      </c>
      <c r="C252" s="17" t="inlineStr">
        <is>
          <t>Notaries Ordinance No. 1 of 1907</t>
        </is>
      </c>
      <c r="D252" s="17" t="inlineStr">
        <is>
          <t>s.31 rule (11)</t>
        </is>
      </c>
      <c r="E252" s="17" t="inlineStr">
        <is>
          <t>2024-04</t>
        </is>
      </c>
      <c r="F252" s="17" t="inlineStr">
        <is>
          <t>Current on reference date</t>
        </is>
      </c>
      <c r="G252" s="17" t="inlineStr">
        <is>
          <t>unless and until he shall have read over and explained the same, or caused the same to be explained, in the presence and hearing of such person and, except in the case of wills and codicils, in the presence of the attesting witnesses.</t>
        </is>
      </c>
      <c r="H252" s="17" t="inlineStr">
        <is>
          <t>https://www.rgd.gov.lk/web/images/ActsPDF/notary/Notaries-English.pdf</t>
        </is>
      </c>
      <c r="I252" s="17" t="inlineStr">
        <is>
          <t>Supporting</t>
        </is>
      </c>
      <c r="J252" s="17" t="inlineStr">
        <is>
          <t>Supplies the reading-over step the gold answer asserts. The duty is conditional: it bites where the executant is or professes to be unable to read the deed or requires the notary to read it over. Rule (20)(d) separately requires the attestation to state whether the deed was read over.
TEMPORAL: Rule (11) is of long standing in the consolidated section 31 and is not attributed to the 2024 amendment in the corpus.</t>
        </is>
      </c>
      <c r="K252" s="17" t="inlineStr">
        <is>
          <t>[verified] Added by the verifier; excerpt checked verbatim against 1-1907/s31. Note the duty is conditional, so the gold answer's flat 'read over and explain the deed' is wider than the rule.</t>
        </is>
      </c>
      <c r="L252" s="21" t="n"/>
      <c r="M252" s="21" t="n"/>
      <c r="N252" s="21" t="n"/>
      <c r="O252" s="21" t="n"/>
      <c r="P252" s="21" t="n"/>
      <c r="Q252" s="17">
        <f>IF(OR(A252="",B252=""),"",IF(AND(L252&lt;&gt;"",P252&lt;&gt;"",IF(L252="Wrong citation",AND(M252&lt;&gt;"",N252&lt;&gt;""),TRUE)),"Complete","Pending"))</f>
        <v/>
      </c>
    </row>
    <row r="253">
      <c r="A253" s="19" t="inlineStr">
        <is>
          <t>M032-Q01</t>
        </is>
      </c>
      <c r="B253" s="19" t="inlineStr">
        <is>
          <t>PROV-M032-904</t>
        </is>
      </c>
      <c r="C253" s="17" t="inlineStr">
        <is>
          <t>Registration of Documents Ordinance No. 23 of 1927</t>
        </is>
      </c>
      <c r="D253" s="17" t="inlineStr">
        <is>
          <t>s.30 (2)</t>
        </is>
      </c>
      <c r="E253" s="17" t="inlineStr">
        <is>
          <t>2024-04</t>
        </is>
      </c>
      <c r="F253" s="17" t="inlineStr">
        <is>
          <t>Current on reference date</t>
        </is>
      </c>
      <c r="G253" s="17" t="inlineStr">
        <is>
          <t>such instrument shall, for the purposes of this Ordinance, be deemed to have been registered at the time of registration of the priority notice.</t>
        </is>
      </c>
      <c r="H253" s="17" t="inlineStr">
        <is>
          <t>https://lankalaw.net/wp-content/uploads/2025/03/Registration-of-Documents-Consolidated-2024.pdf</t>
        </is>
      </c>
      <c r="I253" s="17" t="inlineStr">
        <is>
          <t>Supporting</t>
        </is>
      </c>
      <c r="J253" s="17" t="inlineStr">
        <is>
          <t>Supplies the relation-back effect of a priority notice that the answer relies on; PROV-M032-016 (subsection (5)) gives only the six-week currency of the notice.
TEMPORAL: In force since 1927; no amendment recorded in the corpus.</t>
        </is>
      </c>
      <c r="K253" s="17" t="inlineStr">
        <is>
          <t>[verified] Added by the verifier; excerpt checked verbatim against 23-1927/s30.</t>
        </is>
      </c>
      <c r="L253" s="21" t="n"/>
      <c r="M253" s="21" t="n"/>
      <c r="N253" s="21" t="n"/>
      <c r="O253" s="21" t="n"/>
      <c r="P253" s="21" t="n"/>
      <c r="Q253" s="17">
        <f>IF(OR(A253="",B253=""),"",IF(AND(L253&lt;&gt;"",P253&lt;&gt;"",IF(L253="Wrong citation",AND(M253&lt;&gt;"",N253&lt;&gt;""),TRUE)),"Complete","Pending"))</f>
        <v/>
      </c>
    </row>
    <row r="254">
      <c r="A254" s="19" t="inlineStr">
        <is>
          <t>M032-Q01</t>
        </is>
      </c>
      <c r="B254" s="19" t="inlineStr">
        <is>
          <t>PROV-M032-906</t>
        </is>
      </c>
      <c r="C254" s="17" t="inlineStr">
        <is>
          <t>Land Reform Law No. 1 of 1972</t>
        </is>
      </c>
      <c r="D254" s="17" t="inlineStr">
        <is>
          <t>s.5 (1)</t>
        </is>
      </c>
      <c r="E254" s="17" t="inlineStr">
        <is>
          <t>2024-04</t>
        </is>
      </c>
      <c r="F254" s="17" t="inlineStr">
        <is>
          <t>Current on reference date</t>
        </is>
      </c>
      <c r="G254"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254" s="17" t="inlineStr">
        <is>
          <t>https://lankalaw.net/wp-content/uploads/2024/03/Legislative-Enactments-Vol-3.pdf</t>
        </is>
      </c>
      <c r="I254" s="17" t="inlineStr">
        <is>
          <t>Supporting</t>
        </is>
      </c>
      <c r="J254" s="17" t="inlineStr">
        <is>
          <t>This, not section 3(2), is the vesting consequence for a buyer who exceeds the ceiling by a purchase made after 1972; it is what makes the notary's ceiling check worth doing on this transaction.
TEMPORAL: In force since 1972, last amended in 1986; well before the matter date.</t>
        </is>
      </c>
      <c r="K254" s="17" t="inlineStr">
        <is>
          <t>[verified] Added by the verifier; excerpt checked verbatim against 1-1972/s5.</t>
        </is>
      </c>
      <c r="L254" s="21" t="n"/>
      <c r="M254" s="21" t="n"/>
      <c r="N254" s="21" t="n"/>
      <c r="O254" s="21" t="n"/>
      <c r="P254" s="21" t="n"/>
      <c r="Q254" s="17">
        <f>IF(OR(A254="",B254=""),"",IF(AND(L254&lt;&gt;"",P254&lt;&gt;"",IF(L254="Wrong citation",AND(M254&lt;&gt;"",N254&lt;&gt;""),TRUE)),"Complete","Pending"))</f>
        <v/>
      </c>
    </row>
    <row r="255">
      <c r="A255" s="19" t="inlineStr">
        <is>
          <t>M032-Q01</t>
        </is>
      </c>
      <c r="B255" s="19" t="inlineStr">
        <is>
          <t>PROV-M032-012</t>
        </is>
      </c>
      <c r="C255" s="17" t="inlineStr">
        <is>
          <t>Notaries Ordinance No. 1 of 1907</t>
        </is>
      </c>
      <c r="D255" s="17" t="inlineStr">
        <is>
          <t>s.31 rule (29)</t>
        </is>
      </c>
      <c r="E255" s="17" t="inlineStr">
        <is>
          <t>2024-04</t>
        </is>
      </c>
      <c r="F255" s="17" t="inlineStr">
        <is>
          <t>Current on reference date</t>
        </is>
      </c>
      <c r="G255" s="17" t="inlineStr">
        <is>
          <t>deliver or transmit to the Registrar of Lands of the district in which such land shall be situated a copy thereof certified by him as correct</t>
        </is>
      </c>
      <c r="H255" s="17" t="inlineStr">
        <is>
          <t>https://www.rgd.gov.lk/web/images/ActsPDF/notary/Notaries-English.pdf</t>
        </is>
      </c>
      <c r="I255" s="17" t="inlineStr">
        <is>
          <t>Background</t>
        </is>
      </c>
      <c r="J255" s="17" t="inlineStr">
        <is>
          <t>Background: had the notary resided outside the district in which the estate lies, he would additionally have to transmit a certified copy to the Kurunegala land registry. On the enriched facts he practises in that district, so the rule is not engaged.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255" s="17" t="inlineStr">
        <is>
          <t>[verified]</t>
        </is>
      </c>
      <c r="L255" s="21" t="n"/>
      <c r="M255" s="21" t="n"/>
      <c r="N255" s="21" t="n"/>
      <c r="O255" s="21" t="n"/>
      <c r="P255" s="21" t="n"/>
      <c r="Q255" s="17">
        <f>IF(OR(A255="",B255=""),"",IF(AND(L255&lt;&gt;"",P255&lt;&gt;"",IF(L255="Wrong citation",AND(M255&lt;&gt;"",N255&lt;&gt;""),TRUE)),"Complete","Pending"))</f>
        <v/>
      </c>
    </row>
    <row r="256">
      <c r="A256" s="19" t="inlineStr">
        <is>
          <t>M032-Q01</t>
        </is>
      </c>
      <c r="B256" s="19" t="inlineStr">
        <is>
          <t>PROV-M032-019</t>
        </is>
      </c>
      <c r="C256" s="17" t="inlineStr">
        <is>
          <t>Stamp Duty (Special Provisions) Act No. 12 of 2006</t>
        </is>
      </c>
      <c r="D256" s="17" t="inlineStr">
        <is>
          <t>s.3 (1)</t>
        </is>
      </c>
      <c r="E256" s="17" t="inlineStr">
        <is>
          <t>2024-04</t>
        </is>
      </c>
      <c r="F256" s="17" t="inlineStr">
        <is>
          <t>Current on reference date</t>
        </is>
      </c>
      <c r="G256" s="17" t="inlineStr">
        <is>
          <t>there shall be charged a duty (hereinafter to be called "stamp duty") at such rate as the Minister may determine by Order published in the Gazette on every "specified instrument"- (a) executed, drawn or presented in Sri Lanka</t>
        </is>
      </c>
      <c r="H256" s="17" t="inlineStr">
        <is>
          <t>https://www.ird.gov.lk/en/Type%20of%20Taxes/Stamp%20Duty_Acts/SDActNo.12%5BE%5D2006ConsolFinal.pdf</t>
        </is>
      </c>
      <c r="I256" s="17" t="inlineStr">
        <is>
          <t>Background</t>
        </is>
      </c>
      <c r="J256" s="17" t="inlineStr">
        <is>
          <t>Background: the charging provision behind the notary's stamping duties. The rate itself is fixed by Ministerial Order, which is not in the corpus.
TEMPORAL: In force since 2006; no amendment recorded in the corpus.</t>
        </is>
      </c>
      <c r="K256" s="17" t="inlineStr">
        <is>
          <t>[verified]</t>
        </is>
      </c>
      <c r="L256" s="21" t="n"/>
      <c r="M256" s="21" t="n"/>
      <c r="N256" s="21" t="n"/>
      <c r="O256" s="21" t="n"/>
      <c r="P256" s="21" t="n"/>
      <c r="Q256" s="17">
        <f>IF(OR(A256="",B256=""),"",IF(AND(L256&lt;&gt;"",P256&lt;&gt;"",IF(L256="Wrong citation",AND(M256&lt;&gt;"",N256&lt;&gt;""),TRUE)),"Complete","Pending"))</f>
        <v/>
      </c>
    </row>
    <row r="257">
      <c r="A257" s="19" t="inlineStr">
        <is>
          <t>M032-Q01</t>
        </is>
      </c>
      <c r="B257" s="19" t="inlineStr">
        <is>
          <t>PROV-M032-021</t>
        </is>
      </c>
      <c r="C257" s="17" t="inlineStr">
        <is>
          <t>Tea and Rubber Estates (Control of Fragmentation) Act No. 2 of 1958</t>
        </is>
      </c>
      <c r="D257" s="17" t="inlineStr">
        <is>
          <t>s.3 (1)</t>
        </is>
      </c>
      <c r="E257" s="17" t="inlineStr">
        <is>
          <t>2024-04</t>
        </is>
      </c>
      <c r="F257" s="17" t="inlineStr">
        <is>
          <t>Current on reference date</t>
        </is>
      </c>
      <c r="G257"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t>
        </is>
      </c>
      <c r="H257" s="17" t="inlineStr">
        <is>
          <t>https://plantation.gov.lk/images/content_image/downloads/pdf/act/1958_act_no_02_en.pdf</t>
        </is>
      </c>
      <c r="I257" s="17" t="inlineStr">
        <is>
          <t>Background</t>
        </is>
      </c>
      <c r="J257" s="17" t="inlineStr">
        <is>
          <t>Background: the consent regime for a plantation transfer is confined to tea and rubber, so a coconut estate needs no Board certificate. Recorded so the verifier can see the point was checked, not missed.
TEMPORAL: In force since 1958; no amendment recorded in the corpus.</t>
        </is>
      </c>
      <c r="K257" s="17" t="inlineStr">
        <is>
          <t>[verified]</t>
        </is>
      </c>
      <c r="L257" s="21" t="n"/>
      <c r="M257" s="21" t="n"/>
      <c r="N257" s="21" t="n"/>
      <c r="O257" s="21" t="n"/>
      <c r="P257" s="21" t="n"/>
      <c r="Q257" s="17">
        <f>IF(OR(A257="",B257=""),"",IF(AND(L257&lt;&gt;"",P257&lt;&gt;"",IF(L257="Wrong citation",AND(M257&lt;&gt;"",N257&lt;&gt;""),TRUE)),"Complete","Pending"))</f>
        <v/>
      </c>
    </row>
    <row r="258">
      <c r="A258" s="19" t="inlineStr">
        <is>
          <t>M036-Q01</t>
        </is>
      </c>
      <c r="B258" s="19" t="inlineStr">
        <is>
          <t>PROV-M036-001</t>
        </is>
      </c>
      <c r="C258" s="17" t="inlineStr">
        <is>
          <t>Tea and Rubber Estates (Control of Fragmentation) Act No. 2 of 1958</t>
        </is>
      </c>
      <c r="D258" s="17" t="inlineStr">
        <is>
          <t>s.25 definition of 'rubber estate'</t>
        </is>
      </c>
      <c r="E258" s="17" t="inlineStr">
        <is>
          <t>2023-10</t>
        </is>
      </c>
      <c r="F258" s="17" t="inlineStr">
        <is>
          <t>Current on reference date</t>
        </is>
      </c>
      <c r="G258" s="17" t="inlineStr">
        <is>
          <t>means a rubber estate of not less than one hundred acres in extent which, under the Rubber Control Act is or is deemed to be an estate registered under that Act</t>
        </is>
      </c>
      <c r="H258" s="17" t="inlineStr">
        <is>
          <t>https://plantation.gov.lk/images/content_image/downloads/pdf/act/1958_act_no_02_en.pdf</t>
        </is>
      </c>
      <c r="I258" s="17" t="inlineStr">
        <is>
          <t>Indispensable</t>
        </is>
      </c>
      <c r="J258" s="17" t="inlineStr">
        <is>
          <t>The consent machinery of the Act bites only on a 'rubber estate' as defined. The definition has two limbs, an extent threshold and registration under the rubber control legislation, so the first step in a rubber estate purchase is to test the subject land against both limbs.
TEMPORAL: Corpus edition is as_enacted (1958). Act No. 20 of 2005 s.10(b) substituted 'twenty hectares' for 'forty hectares' in this definition, and the corpus records that substitution as not applied to the body text. A 41-acre (about 16.6 hectare) estate is below the threshold on either version, so the classification of the subject land is unaffected at the matter date.</t>
        </is>
      </c>
      <c r="K258" s="17" t="inlineStr">
        <is>
          <t>[partially_verified] Wording is verbatim, but the corpus body is the as-enacted 1958 text ('one hundred acres'); the text in force at October 2023 reads 'twenty hectares', substituted by Act No. 20 of 2005 s.10(b) for 'forty hectares', and the 16.6-hectare estate falls below either threshold so the classification is unchanged.</t>
        </is>
      </c>
      <c r="L258" s="21" t="n"/>
      <c r="M258" s="21" t="n"/>
      <c r="N258" s="21" t="n"/>
      <c r="O258" s="21" t="n"/>
      <c r="P258" s="21" t="n"/>
      <c r="Q258" s="17">
        <f>IF(OR(A258="",B258=""),"",IF(AND(L258&lt;&gt;"",P258&lt;&gt;"",IF(L258="Wrong citation",AND(M258&lt;&gt;"",N258&lt;&gt;""),TRUE)),"Complete","Pending"))</f>
        <v/>
      </c>
    </row>
    <row r="259">
      <c r="A259" s="19" t="inlineStr">
        <is>
          <t>M036-Q01</t>
        </is>
      </c>
      <c r="B259" s="19" t="inlineStr">
        <is>
          <t>PROV-M036-002</t>
        </is>
      </c>
      <c r="C259" s="17" t="inlineStr">
        <is>
          <t>Tea and Rubber Estates (Control of Fragmentation) Act No. 2 of 1958</t>
        </is>
      </c>
      <c r="D259" s="17" t="inlineStr">
        <is>
          <t>s.3 (1)</t>
        </is>
      </c>
      <c r="E259" s="17" t="inlineStr">
        <is>
          <t>2023-10</t>
        </is>
      </c>
      <c r="F259" s="17" t="inlineStr">
        <is>
          <t>Current on reference date</t>
        </is>
      </c>
      <c r="G259"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t>
        </is>
      </c>
      <c r="H259" s="17" t="inlineStr">
        <is>
          <t>https://plantation.gov.lk/images/content_image/downloads/pdf/act/1958_act_no_02_en.pdf</t>
        </is>
      </c>
      <c r="I259" s="17" t="inlineStr">
        <is>
          <t>Indispensable</t>
        </is>
      </c>
      <c r="J259" s="17" t="inlineStr">
        <is>
          <t>If the land answers the statutory description of a rubber estate, a transfer without the Board's prior certificate of consent is null and void, so the certificate must be obtained by the transferor before the deed is drawn.
TEMPORAL: In force from 1958; no amendment recorded against s.3 in the corpus.</t>
        </is>
      </c>
      <c r="K259" s="17" t="inlineStr">
        <is>
          <t>[verified]</t>
        </is>
      </c>
      <c r="L259" s="21" t="n"/>
      <c r="M259" s="21" t="n"/>
      <c r="N259" s="21" t="n"/>
      <c r="O259" s="21" t="n"/>
      <c r="P259" s="21" t="n"/>
      <c r="Q259" s="17">
        <f>IF(OR(A259="",B259=""),"",IF(AND(L259&lt;&gt;"",P259&lt;&gt;"",IF(L259="Wrong citation",AND(M259&lt;&gt;"",N259&lt;&gt;""),TRUE)),"Complete","Pending"))</f>
        <v/>
      </c>
    </row>
    <row r="260">
      <c r="A260" s="19" t="inlineStr">
        <is>
          <t>M036-Q01</t>
        </is>
      </c>
      <c r="B260" s="19" t="inlineStr">
        <is>
          <t>PROV-M036-003</t>
        </is>
      </c>
      <c r="C260" s="17" t="inlineStr">
        <is>
          <t>Land Reform Law No. 1 of 1972</t>
        </is>
      </c>
      <c r="D260" s="17" t="inlineStr">
        <is>
          <t>s.3 (1)(b)</t>
        </is>
      </c>
      <c r="E260" s="17" t="inlineStr">
        <is>
          <t>2023-10</t>
        </is>
      </c>
      <c r="F260" s="17" t="inlineStr">
        <is>
          <t>Current on reference date</t>
        </is>
      </c>
      <c r="G260" s="17" t="inlineStr">
        <is>
          <t>if such land does not consist exclusively of paddy land, be fifty acres, so however that the total extent of any paddy land, if any, comprised in such fifty acres shall not exceed the ceiling on paddy land specified in paragraph (a)</t>
        </is>
      </c>
      <c r="H260" s="17" t="inlineStr">
        <is>
          <t>https://lankalaw.net/wp-content/uploads/2024/03/Legislative-Enactments-Vol-3.pdf</t>
        </is>
      </c>
      <c r="I260" s="17" t="inlineStr">
        <is>
          <t>Indispensable</t>
        </is>
      </c>
      <c r="J260" s="17" t="inlineStr">
        <is>
          <t>Fixes the ceiling of fifty acres of non-paddy agricultural land per person, against which any proposed acquisition of a rubber estate has to be measured.
TEMPORAL: Corpus edition is consolidated; the only amendment event recorded against s.3 is Act No. 39 of 1981 s.2 (1981), long before the matter date.</t>
        </is>
      </c>
      <c r="K260" s="17" t="inlineStr">
        <is>
          <t>[verified]</t>
        </is>
      </c>
      <c r="L260" s="21" t="n"/>
      <c r="M260" s="21" t="n"/>
      <c r="N260" s="21" t="n"/>
      <c r="O260" s="21" t="n"/>
      <c r="P260" s="21" t="n"/>
      <c r="Q260" s="17">
        <f>IF(OR(A260="",B260=""),"",IF(AND(L260&lt;&gt;"",P260&lt;&gt;"",IF(L260="Wrong citation",AND(M260&lt;&gt;"",N260&lt;&gt;""),TRUE)),"Complete","Pending"))</f>
        <v/>
      </c>
    </row>
    <row r="261">
      <c r="A261" s="19" t="inlineStr">
        <is>
          <t>M036-Q01</t>
        </is>
      </c>
      <c r="B261" s="19" t="inlineStr">
        <is>
          <t>PROV-M036-004</t>
        </is>
      </c>
      <c r="C261" s="17" t="inlineStr">
        <is>
          <t>Land Reform Law No. 1 of 1972</t>
        </is>
      </c>
      <c r="D261" s="17" t="inlineStr">
        <is>
          <t>s.8</t>
        </is>
      </c>
      <c r="E261" s="17" t="inlineStr">
        <is>
          <t>2023-10</t>
        </is>
      </c>
      <c r="F261" s="17" t="inlineStr">
        <is>
          <t>Current on reference date</t>
        </is>
      </c>
      <c r="G261" s="17" t="inlineStr">
        <is>
          <t>where any agricultural land is owned by a private company or co-operative society, the shareholders of such company, or society, as the case may be, shall be deemed to own such land for the purposes of section 3, in proportion to the shares held by each shareholder</t>
        </is>
      </c>
      <c r="H261" s="17" t="inlineStr">
        <is>
          <t>https://lankalaw.net/wp-content/uploads/2024/03/Legislative-Enactments-Vol-3.pdf</t>
        </is>
      </c>
      <c r="I261" s="17" t="inlineStr">
        <is>
          <t>Indispensable</t>
        </is>
      </c>
      <c r="J261" s="17" t="inlineStr">
        <is>
          <t>A private company cannot be used to escape the ceiling. Agricultural land bought by a private company is attributed to its shareholders in proportion to their shareholdings, so the ceiling has to be checked shareholder by shareholder, not against the company.
TEMPORAL: In force from 1972; no amendment event recorded against s.8 in the corpus.</t>
        </is>
      </c>
      <c r="K261" s="17" t="inlineStr">
        <is>
          <t>[verified]</t>
        </is>
      </c>
      <c r="L261" s="21" t="n"/>
      <c r="M261" s="21" t="n"/>
      <c r="N261" s="21" t="n"/>
      <c r="O261" s="21" t="n"/>
      <c r="P261" s="21" t="n"/>
      <c r="Q261" s="17">
        <f>IF(OR(A261="",B261=""),"",IF(AND(L261&lt;&gt;"",P261&lt;&gt;"",IF(L261="Wrong citation",AND(M261&lt;&gt;"",N261&lt;&gt;""),TRUE)),"Complete","Pending"))</f>
        <v/>
      </c>
    </row>
    <row r="262">
      <c r="A262" s="19" t="inlineStr">
        <is>
          <t>M036-Q01</t>
        </is>
      </c>
      <c r="B262" s="19" t="inlineStr">
        <is>
          <t>PROV-M036-005</t>
        </is>
      </c>
      <c r="C262" s="17" t="inlineStr">
        <is>
          <t>Land Reform Law No. 1 of 1972</t>
        </is>
      </c>
      <c r="D262" s="17" t="inlineStr">
        <is>
          <t>s.5 (1)</t>
        </is>
      </c>
      <c r="E262" s="17" t="inlineStr">
        <is>
          <t>2023-10</t>
        </is>
      </c>
      <c r="F262" s="17" t="inlineStr">
        <is>
          <t>Current on reference date</t>
        </is>
      </c>
      <c r="G262"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262" s="17" t="inlineStr">
        <is>
          <t>https://lankalaw.net/wp-content/uploads/2024/03/Legislative-Enactments-Vol-3.pdf</t>
        </is>
      </c>
      <c r="I262" s="17" t="inlineStr">
        <is>
          <t>Indispensable</t>
        </is>
      </c>
      <c r="J262" s="17" t="inlineStr">
        <is>
          <t>This is the sanction that makes the ceiling check a real pre-purchase step: any excess created by the purchase vests in the Commission automatically, so the company would pay for land it could not keep.
TEMPORAL: Amendment events recorded against s.5 are Act No. 39 of 1981 s.3 and Act No. 14 of 1986 s.2, both long before the matter date.</t>
        </is>
      </c>
      <c r="K262" s="17" t="inlineStr">
        <is>
          <t>[verified]</t>
        </is>
      </c>
      <c r="L262" s="21" t="n"/>
      <c r="M262" s="21" t="n"/>
      <c r="N262" s="21" t="n"/>
      <c r="O262" s="21" t="n"/>
      <c r="P262" s="21" t="n"/>
      <c r="Q262" s="17">
        <f>IF(OR(A262="",B262=""),"",IF(AND(L262&lt;&gt;"",P262&lt;&gt;"",IF(L262="Wrong citation",AND(M262&lt;&gt;"",N262&lt;&gt;""),TRUE)),"Complete","Pending"))</f>
        <v/>
      </c>
    </row>
    <row r="263">
      <c r="A263" s="19" t="inlineStr">
        <is>
          <t>M036-Q01</t>
        </is>
      </c>
      <c r="B263" s="19" t="inlineStr">
        <is>
          <t>PROV-M036-007</t>
        </is>
      </c>
      <c r="C263" s="17" t="inlineStr">
        <is>
          <t>Land (Restrictions on Alienation) Act No. 38 of 2014</t>
        </is>
      </c>
      <c r="D263" s="17" t="inlineStr">
        <is>
          <t>s.2 (1)</t>
        </is>
      </c>
      <c r="E263" s="17" t="inlineStr">
        <is>
          <t>2023-10</t>
        </is>
      </c>
      <c r="F263" s="17" t="inlineStr">
        <is>
          <t>Current on reference date</t>
        </is>
      </c>
      <c r="G263"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263" s="17" t="inlineStr">
        <is>
          <t>https://www.rgd.gov.lk/web/images/ActsPDF/notary/2014-38E.pdf</t>
        </is>
      </c>
      <c r="I263" s="17" t="inlineStr">
        <is>
          <t>Indispensable</t>
        </is>
      </c>
      <c r="J263" s="17" t="inlineStr">
        <is>
          <t>Because the purchaser is a company, the shareholding of the purchaser must be examined before the deed is drawn: at fifty per cent or more foreign shareholding, direct or indirect, the transfer is prohibited outright.
TEMPORAL: Corpus edition is consolidated (includes Act No. 3 of 2017 and Act No. 21 of 2018). No amendment event is recorded against s.2 after 2014.</t>
        </is>
      </c>
      <c r="K263" s="17" t="inlineStr">
        <is>
          <t>[verified]</t>
        </is>
      </c>
      <c r="L263" s="21" t="n"/>
      <c r="M263" s="21" t="n"/>
      <c r="N263" s="21" t="n"/>
      <c r="O263" s="21" t="n"/>
      <c r="P263" s="21" t="n"/>
      <c r="Q263" s="17">
        <f>IF(OR(A263="",B263=""),"",IF(AND(L263&lt;&gt;"",P263&lt;&gt;"",IF(L263="Wrong citation",AND(M263&lt;&gt;"",N263&lt;&gt;""),TRUE)),"Complete","Pending"))</f>
        <v/>
      </c>
    </row>
    <row r="264">
      <c r="A264" s="19" t="inlineStr">
        <is>
          <t>M036-Q01</t>
        </is>
      </c>
      <c r="B264" s="19" t="inlineStr">
        <is>
          <t>PROV-M036-010</t>
        </is>
      </c>
      <c r="C264" s="17" t="inlineStr">
        <is>
          <t>Companies Act No. 7 of 2007</t>
        </is>
      </c>
      <c r="D264" s="17" t="inlineStr">
        <is>
          <t>s.185 (1)</t>
        </is>
      </c>
      <c r="E264" s="17" t="inlineStr">
        <is>
          <t>2023-10</t>
        </is>
      </c>
      <c r="F264" s="17" t="inlineStr">
        <is>
          <t>Current on reference date</t>
        </is>
      </c>
      <c r="G264" s="17" t="inlineStr">
        <is>
          <t>A company shall not enter into any major transaction, unless such transaction is- (a) approved by special resolution; (b) contingent on approval by special resolution; (c) consented to in writing by all the shareholders of the company; or (d) a transaction which the company is expressly authorised to enter into by a provision in its articles, which was included in it at the time the company was incorporated.</t>
        </is>
      </c>
      <c r="H264" s="17" t="inlineStr">
        <is>
          <t>https://www.drc.gov.lk/en/wp-content/uploads/2018/04/Act-7-of-2007-English.pdf</t>
        </is>
      </c>
      <c r="I264" s="17" t="inlineStr">
        <is>
          <t>Indispensable</t>
        </is>
      </c>
      <c r="J264" s="17" t="inlineStr">
        <is>
          <t>Where the purchase amounts to a major transaction, shareholder approval by special resolution (or unanimous written consent, or express authority in the original articles) must be secured before the company binds itself.
TEMPORAL: In force from 2007; Companies (Amendment) Act No. 13 of 2019 records no change to s.185 in the corpus.</t>
        </is>
      </c>
      <c r="K264" s="17" t="inlineStr">
        <is>
          <t>[verified]</t>
        </is>
      </c>
      <c r="L264" s="21" t="n"/>
      <c r="M264" s="21" t="n"/>
      <c r="N264" s="21" t="n"/>
      <c r="O264" s="21" t="n"/>
      <c r="P264" s="21" t="n"/>
      <c r="Q264" s="17">
        <f>IF(OR(A264="",B264=""),"",IF(AND(L264&lt;&gt;"",P264&lt;&gt;"",IF(L264="Wrong citation",AND(M264&lt;&gt;"",N264&lt;&gt;""),TRUE)),"Complete","Pending"))</f>
        <v/>
      </c>
    </row>
    <row r="265">
      <c r="A265" s="19" t="inlineStr">
        <is>
          <t>M036-Q01</t>
        </is>
      </c>
      <c r="B265" s="19" t="inlineStr">
        <is>
          <t>PROV-M036-011</t>
        </is>
      </c>
      <c r="C265" s="17" t="inlineStr">
        <is>
          <t>Companies Act No. 7 of 2007</t>
        </is>
      </c>
      <c r="D265" s="17" t="inlineStr">
        <is>
          <t>s.185 (2)</t>
        </is>
      </c>
      <c r="E265" s="17" t="inlineStr">
        <is>
          <t>2023-10</t>
        </is>
      </c>
      <c r="F265" s="17" t="inlineStr">
        <is>
          <t>Current on reference date</t>
        </is>
      </c>
      <c r="G265" s="17" t="inlineStr">
        <is>
          <t>(a) the acquisition of or an agreement to acquire whether contingent or not, assets of a value which is greater than half the value of the assets of the company before the acquisition</t>
        </is>
      </c>
      <c r="H265" s="17" t="inlineStr">
        <is>
          <t>https://www.drc.gov.lk/en/wp-content/uploads/2018/04/Act-7-of-2007-English.pdf</t>
        </is>
      </c>
      <c r="I265" s="17" t="inlineStr">
        <is>
          <t>Indispensable</t>
        </is>
      </c>
      <c r="J265" s="17" t="inlineStr">
        <is>
          <t>Gives the arithmetical test for a major transaction, so the value of the estate has to be compared with the company's asset base before advising on the resolution required.
TEMPORAL: In force from 2007; no amendment event recorded in the corpus.</t>
        </is>
      </c>
      <c r="K265" s="17" t="inlineStr">
        <is>
          <t>[verified]</t>
        </is>
      </c>
      <c r="L265" s="21" t="n"/>
      <c r="M265" s="21" t="n"/>
      <c r="N265" s="21" t="n"/>
      <c r="O265" s="21" t="n"/>
      <c r="P265" s="21" t="n"/>
      <c r="Q265" s="17">
        <f>IF(OR(A265="",B265=""),"",IF(AND(L265&lt;&gt;"",P265&lt;&gt;"",IF(L265="Wrong citation",AND(M265&lt;&gt;"",N265&lt;&gt;""),TRUE)),"Complete","Pending"))</f>
        <v/>
      </c>
    </row>
    <row r="266">
      <c r="A266" s="19" t="inlineStr">
        <is>
          <t>M036-Q01</t>
        </is>
      </c>
      <c r="B266" s="19" t="inlineStr">
        <is>
          <t>PROV-M036-013</t>
        </is>
      </c>
      <c r="C266" s="17" t="inlineStr">
        <is>
          <t>Prevention of Frauds Ordinance No. 7 of 1840</t>
        </is>
      </c>
      <c r="D266" s="17" t="inlineStr">
        <is>
          <t>s.2 (1) opening words</t>
        </is>
      </c>
      <c r="E266" s="17" t="inlineStr">
        <is>
          <t>2023-10</t>
        </is>
      </c>
      <c r="F266" s="17" t="inlineStr">
        <is>
          <t>Current on reference date</t>
        </is>
      </c>
      <c r="G266"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266" s="17" t="inlineStr">
        <is>
          <t>https://lankalaw.net/wp-content/uploads/2025/03/Prevention-of-Frauds-Consolidated-2024.pdf</t>
        </is>
      </c>
      <c r="I266" s="17" t="inlineStr">
        <is>
          <t>Indispensable</t>
        </is>
      </c>
      <c r="J266" s="17" t="inlineStr">
        <is>
          <t>Fixes the form requirement that governs both the agreement to sell and the transfer itself, and is the reason every link in the vendor's chain has to be a notarially executed instrument.
TEMPORAL: The corpus body is consolidated to 2024. The words quoted here are the opening words of the section and were not touched by Act No. 30 of 2022 or Act No. 4 of 2024. The operative conditions in force at October 2023 are those substituted by Act No. 30 of 2022 s.2, cited separately as PROV-M036-014; subsection (2), which requires the transferee also to sign, was added by Act No. 4 of 2024 and was not in force at the matter date.</t>
        </is>
      </c>
      <c r="K266" s="17" t="inlineStr">
        <is>
          <t>[verified]</t>
        </is>
      </c>
      <c r="L266" s="21" t="n"/>
      <c r="M266" s="21" t="n"/>
      <c r="N266" s="21" t="n"/>
      <c r="O266" s="21" t="n"/>
      <c r="P266" s="21" t="n"/>
      <c r="Q266" s="17">
        <f>IF(OR(A266="",B266=""),"",IF(AND(L266&lt;&gt;"",P266&lt;&gt;"",IF(L266="Wrong citation",AND(M266&lt;&gt;"",N266&lt;&gt;""),TRUE)),"Complete","Pending"))</f>
        <v/>
      </c>
    </row>
    <row r="267">
      <c r="A267" s="19" t="inlineStr">
        <is>
          <t>M036-Q01</t>
        </is>
      </c>
      <c r="B267" s="19" t="inlineStr">
        <is>
          <t>PROV-M036-014</t>
        </is>
      </c>
      <c r="C267" s="17" t="inlineStr">
        <is>
          <t>Prevention of Frauds (Amendment) Act No. 30 of 2022</t>
        </is>
      </c>
      <c r="D267" s="17" t="inlineStr">
        <is>
          <t>s.2</t>
        </is>
      </c>
      <c r="E267" s="17" t="inlineStr">
        <is>
          <t>2023-10</t>
        </is>
      </c>
      <c r="F267" s="17" t="inlineStr">
        <is>
          <t>Current on reference date</t>
        </is>
      </c>
      <c r="G267" s="17" t="inlineStr">
        <is>
          <t>shall be in force or avail in law unless – (a) the relevant deed or instrument shall be in writing, signed by every executant and attested by a notary public before two witnesses present at the same time</t>
        </is>
      </c>
      <c r="H267" s="17" t="inlineStr">
        <is>
          <t>data/legal-sources/library/finalized/7-1840-prevention-of-frauds-ordinance/30-2022-prevention-of-frauds-ordinance-amendment.json</t>
        </is>
      </c>
      <c r="I267" s="17" t="inlineStr">
        <is>
          <t>Indispensable</t>
        </is>
      </c>
      <c r="J267" s="17" t="inlineStr">
        <is>
          <t>This is the text of the execution requirement that was in force in October 2023: writing, signature by every executant, attestation by a notary before two witnesses present at the same time, and thumb impressions on original, duplicate and protocol.
TEMPORAL: Enacted and in force in 2022, and still the operative text at the matter date. It was itself superseded by Act No. 4 of 2024, after the matter date.</t>
        </is>
      </c>
      <c r="K267" s="17" t="inlineStr">
        <is>
          <t>[verified]</t>
        </is>
      </c>
      <c r="L267" s="21" t="n"/>
      <c r="M267" s="21" t="n"/>
      <c r="N267" s="21" t="n"/>
      <c r="O267" s="21" t="n"/>
      <c r="P267" s="21" t="n"/>
      <c r="Q267" s="17">
        <f>IF(OR(A267="",B267=""),"",IF(AND(L267&lt;&gt;"",P267&lt;&gt;"",IF(L267="Wrong citation",AND(M267&lt;&gt;"",N267&lt;&gt;""),TRUE)),"Complete","Pending"))</f>
        <v/>
      </c>
    </row>
    <row r="268">
      <c r="A268" s="19" t="inlineStr">
        <is>
          <t>M036-Q01</t>
        </is>
      </c>
      <c r="B268" s="19" t="inlineStr">
        <is>
          <t>PROV-M036-015</t>
        </is>
      </c>
      <c r="C268" s="17" t="inlineStr">
        <is>
          <t>Notaries Ordinance No. 1 of 1907</t>
        </is>
      </c>
      <c r="D268" s="17" t="inlineStr">
        <is>
          <t>s.31 rule (17)(a)</t>
        </is>
      </c>
      <c r="E268" s="17" t="inlineStr">
        <is>
          <t>2023-10</t>
        </is>
      </c>
      <c r="F268" s="17" t="inlineStr">
        <is>
          <t>Current on reference date</t>
        </is>
      </c>
      <c r="G268"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268" s="17" t="inlineStr">
        <is>
          <t>https://www.rgd.gov.lk/web/images/ActsPDF/notary/Notaries-English.pdf</t>
        </is>
      </c>
      <c r="I268" s="17" t="inlineStr">
        <is>
          <t>Indispensable</t>
        </is>
      </c>
      <c r="J268" s="17" t="inlineStr">
        <is>
          <t>The statutory duty to search the land registry before the deed is drawn. It is the source of the title investigation step and of the requirement to call for the registry material.
TEMPORAL: This paragraph is original text; neither Act No. 31 of 2022 s.16(10) nor Act No. 6 of 2024 s.3(6) altered rule (17)(a). In force at the matter date.</t>
        </is>
      </c>
      <c r="K268" s="17" t="inlineStr">
        <is>
          <t>[partially_verified] Rule (17)(a) is correctly quoted, but it is subject to the proviso at the end of rule (17) permitting the parties to authorise the notary in writing to dispense with the search; that proviso is added as PROV-M036-902 and should be stated alongside the search duty.</t>
        </is>
      </c>
      <c r="L268" s="21" t="n"/>
      <c r="M268" s="21" t="n"/>
      <c r="N268" s="21" t="n"/>
      <c r="O268" s="21" t="n"/>
      <c r="P268" s="21" t="n"/>
      <c r="Q268" s="17">
        <f>IF(OR(A268="",B268=""),"",IF(AND(L268&lt;&gt;"",P268&lt;&gt;"",IF(L268="Wrong citation",AND(M268&lt;&gt;"",N268&lt;&gt;""),TRUE)),"Complete","Pending"))</f>
        <v/>
      </c>
    </row>
    <row r="269">
      <c r="A269" s="19" t="inlineStr">
        <is>
          <t>M036-Q01</t>
        </is>
      </c>
      <c r="B269" s="19" t="inlineStr">
        <is>
          <t>PROV-M036-022</t>
        </is>
      </c>
      <c r="C269" s="17" t="inlineStr">
        <is>
          <t>Registration of Documents Ordinance No. 23 of 1927</t>
        </is>
      </c>
      <c r="D269" s="17" t="inlineStr">
        <is>
          <t>s.7 (1)</t>
        </is>
      </c>
      <c r="E269" s="17" t="inlineStr">
        <is>
          <t>2023-10</t>
        </is>
      </c>
      <c r="F269" s="17" t="inlineStr">
        <is>
          <t>Current on reference date</t>
        </is>
      </c>
      <c r="G269" s="17" t="inlineStr">
        <is>
          <t>be void as against all parties claiming an adverse interest thereto on valuable consideration by virtue of any subsequent instrument which is duly registered under this Chapter</t>
        </is>
      </c>
      <c r="H269" s="17" t="inlineStr">
        <is>
          <t>https://lankalaw.net/wp-content/uploads/2025/03/Registration-of-Documents-Consolidated-2024.pdf</t>
        </is>
      </c>
      <c r="I269" s="17" t="inlineStr">
        <is>
          <t>Indispensable</t>
        </is>
      </c>
      <c r="J269" s="17" t="inlineStr">
        <is>
          <t>The priority rule of the deeds registration system. It is why the registry folio has to be searched, why registered encumbrances bind a later purchaser, and why the company's own deed must be registered promptly.
TEMPORAL: Corpus edition is consolidated to 1990; no amendment event is recorded against s.7. In force at the matter date.</t>
        </is>
      </c>
      <c r="K269" s="17" t="inlineStr">
        <is>
          <t>[verified]</t>
        </is>
      </c>
      <c r="L269" s="21" t="n"/>
      <c r="M269" s="21" t="n"/>
      <c r="N269" s="21" t="n"/>
      <c r="O269" s="21" t="n"/>
      <c r="P269" s="21" t="n"/>
      <c r="Q269" s="17">
        <f>IF(OR(A269="",B269=""),"",IF(AND(L269&lt;&gt;"",P269&lt;&gt;"",IF(L269="Wrong citation",AND(M269&lt;&gt;"",N269&lt;&gt;""),TRUE)),"Complete","Pending"))</f>
        <v/>
      </c>
    </row>
    <row r="270">
      <c r="A270" s="19" t="inlineStr">
        <is>
          <t>M036-Q01</t>
        </is>
      </c>
      <c r="B270" s="19" t="inlineStr">
        <is>
          <t>PROV-M036-006</t>
        </is>
      </c>
      <c r="C270" s="17" t="inlineStr">
        <is>
          <t>Land Reform Law No. 1 of 1972</t>
        </is>
      </c>
      <c r="D270" s="17" t="inlineStr">
        <is>
          <t>s.66 definition of 'agricultural land'</t>
        </is>
      </c>
      <c r="E270" s="17" t="inlineStr">
        <is>
          <t>2023-10</t>
        </is>
      </c>
      <c r="F270" s="17" t="inlineStr">
        <is>
          <t>Current on reference date</t>
        </is>
      </c>
      <c r="G270" s="17" t="inlineStr">
        <is>
          <t>means land used or capable of being used for agriculture within the meaning given in this Law and shall include private lands</t>
        </is>
      </c>
      <c r="H270" s="17" t="inlineStr">
        <is>
          <t>https://lankalaw.net/wp-content/uploads/2024/03/Legislative-Enactments-Vol-3.pdf</t>
        </is>
      </c>
      <c r="I270" s="17" t="inlineStr">
        <is>
          <t>Supporting</t>
        </is>
      </c>
      <c r="J270" s="17" t="inlineStr">
        <is>
          <t>Establishes that a privately owned rubber-planted estate is agricultural land, which is what brings the ceiling provisions into play at all.
TEMPORAL: Amendment event recorded is Act No. 39 of 1981 s.15 (1981), before the matter date.</t>
        </is>
      </c>
      <c r="K270" s="17" t="inlineStr">
        <is>
          <t>[verified]</t>
        </is>
      </c>
      <c r="L270" s="21" t="n"/>
      <c r="M270" s="21" t="n"/>
      <c r="N270" s="21" t="n"/>
      <c r="O270" s="21" t="n"/>
      <c r="P270" s="21" t="n"/>
      <c r="Q270" s="17">
        <f>IF(OR(A270="",B270=""),"",IF(AND(L270&lt;&gt;"",P270&lt;&gt;"",IF(L270="Wrong citation",AND(M270&lt;&gt;"",N270&lt;&gt;""),TRUE)),"Complete","Pending"))</f>
        <v/>
      </c>
    </row>
    <row r="271">
      <c r="A271" s="19" t="inlineStr">
        <is>
          <t>M036-Q01</t>
        </is>
      </c>
      <c r="B271" s="19" t="inlineStr">
        <is>
          <t>PROV-M036-008</t>
        </is>
      </c>
      <c r="C271" s="17" t="inlineStr">
        <is>
          <t>Land (Restrictions on Alienation) Act No. 38 of 2014</t>
        </is>
      </c>
      <c r="D271" s="17" t="inlineStr">
        <is>
          <t>s.4 (3)</t>
        </is>
      </c>
      <c r="E271" s="17" t="inlineStr">
        <is>
          <t>2023-10</t>
        </is>
      </c>
      <c r="F271" s="17" t="inlineStr">
        <is>
          <t>Current on reference date</t>
        </is>
      </c>
      <c r="G271"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t>
        </is>
      </c>
      <c r="H271" s="17" t="inlineStr">
        <is>
          <t>https://www.rgd.gov.lk/web/images/ActsPDF/notary/2014-38E.pdf</t>
        </is>
      </c>
      <c r="I271" s="17" t="inlineStr">
        <is>
          <t>Supporting</t>
        </is>
      </c>
      <c r="J271" s="17" t="inlineStr">
        <is>
          <t>Converts the shareholding question into a registration requirement: the company secretary must be in a position to give the Registrar of Lands documentary proof, and there is a continuing six-monthly reporting duty after registration.
TEMPORAL: In force from 2014; no later amendment event recorded against s.4.</t>
        </is>
      </c>
      <c r="K271" s="17" t="inlineStr">
        <is>
          <t>[verified]</t>
        </is>
      </c>
      <c r="L271" s="21" t="n"/>
      <c r="M271" s="21" t="n"/>
      <c r="N271" s="21" t="n"/>
      <c r="O271" s="21" t="n"/>
      <c r="P271" s="21" t="n"/>
      <c r="Q271" s="17">
        <f>IF(OR(A271="",B271=""),"",IF(AND(L271&lt;&gt;"",P271&lt;&gt;"",IF(L271="Wrong citation",AND(M271&lt;&gt;"",N271&lt;&gt;""),TRUE)),"Complete","Pending"))</f>
        <v/>
      </c>
    </row>
    <row r="272">
      <c r="A272" s="19" t="inlineStr">
        <is>
          <t>M036-Q01</t>
        </is>
      </c>
      <c r="B272" s="19" t="inlineStr">
        <is>
          <t>PROV-M036-009</t>
        </is>
      </c>
      <c r="C272" s="17" t="inlineStr">
        <is>
          <t>Land (Restrictions on Alienation) Act No. 38 of 2014</t>
        </is>
      </c>
      <c r="D272" s="17" t="inlineStr">
        <is>
          <t>s.18</t>
        </is>
      </c>
      <c r="E272" s="17" t="inlineStr">
        <is>
          <t>2023-10</t>
        </is>
      </c>
      <c r="F272" s="17" t="inlineStr">
        <is>
          <t>Current on reference date</t>
        </is>
      </c>
      <c r="G272" s="17" t="inlineStr">
        <is>
          <t>Any alienation of land effected in contravention of the provisions of this Act, shall be void and shall have no effect in law.</t>
        </is>
      </c>
      <c r="H272" s="17" t="inlineStr">
        <is>
          <t>https://www.rgd.gov.lk/web/images/ActsPDF/notary/2014-38E.pdf</t>
        </is>
      </c>
      <c r="I272" s="17" t="inlineStr">
        <is>
          <t>Supporting</t>
        </is>
      </c>
      <c r="J272" s="17" t="inlineStr">
        <is>
          <t>Supplies the consequence of getting the shareholding check wrong, which is why it is a pre-contract step rather than a post-completion formality.
TEMPORAL: In force from 2014; no later amendment event recorded.</t>
        </is>
      </c>
      <c r="K272" s="17" t="inlineStr">
        <is>
          <t>[verified]</t>
        </is>
      </c>
      <c r="L272" s="21" t="n"/>
      <c r="M272" s="21" t="n"/>
      <c r="N272" s="21" t="n"/>
      <c r="O272" s="21" t="n"/>
      <c r="P272" s="21" t="n"/>
      <c r="Q272" s="17">
        <f>IF(OR(A272="",B272=""),"",IF(AND(L272&lt;&gt;"",P272&lt;&gt;"",IF(L272="Wrong citation",AND(M272&lt;&gt;"",N272&lt;&gt;""),TRUE)),"Complete","Pending"))</f>
        <v/>
      </c>
    </row>
    <row r="273">
      <c r="A273" s="19" t="inlineStr">
        <is>
          <t>M036-Q01</t>
        </is>
      </c>
      <c r="B273" s="19" t="inlineStr">
        <is>
          <t>PROV-M036-012</t>
        </is>
      </c>
      <c r="C273" s="17" t="inlineStr">
        <is>
          <t>Companies Act No. 7 of 2007</t>
        </is>
      </c>
      <c r="D273" s="17" t="inlineStr">
        <is>
          <t>s.19 (1)(a)</t>
        </is>
      </c>
      <c r="E273" s="17" t="inlineStr">
        <is>
          <t>2023-10</t>
        </is>
      </c>
      <c r="F273" s="17" t="inlineStr">
        <is>
          <t>Current on reference date</t>
        </is>
      </c>
      <c r="G273" s="17" t="inlineStr">
        <is>
          <t>an obligation which, if entered into by a natural person is required by law to be in writing signed by that person and be notarially attested, may be entered into on behalf of the company in writing signed under the name of the company by - (i) two directors of the company</t>
        </is>
      </c>
      <c r="H273" s="17" t="inlineStr">
        <is>
          <t>https://www.drc.gov.lk/en/wp-content/uploads/2018/04/Act-7-of-2007-English.pdf</t>
        </is>
      </c>
      <c r="I273" s="17" t="inlineStr">
        <is>
          <t>Supporting</t>
        </is>
      </c>
      <c r="J273" s="17" t="inlineStr">
        <is>
          <t>Prescribes how the company itself signs a notarially attested obligation such as an agreement to sell, and therefore who must be produced before the notary on the company's side.
TEMPORAL: In force from 2007; no amendment event recorded in the corpus.</t>
        </is>
      </c>
      <c r="K273" s="17" t="inlineStr">
        <is>
          <t>[partially_verified] Section 19(1)(a) offers four alternative modes of execution (two directors; a sole director; any other person or class of persons if the articles so provide; or one or more attorneys appointed by the company), so the statement that the company signs 'by two directors' is only one permitted route and should be stated as such.</t>
        </is>
      </c>
      <c r="L273" s="21" t="n"/>
      <c r="M273" s="21" t="n"/>
      <c r="N273" s="21" t="n"/>
      <c r="O273" s="21" t="n"/>
      <c r="P273" s="21" t="n"/>
      <c r="Q273" s="17">
        <f>IF(OR(A273="",B273=""),"",IF(AND(L273&lt;&gt;"",P273&lt;&gt;"",IF(L273="Wrong citation",AND(M273&lt;&gt;"",N273&lt;&gt;""),TRUE)),"Complete","Pending"))</f>
        <v/>
      </c>
    </row>
    <row r="274">
      <c r="A274" s="19" t="inlineStr">
        <is>
          <t>M036-Q01</t>
        </is>
      </c>
      <c r="B274" s="19" t="inlineStr">
        <is>
          <t>PROV-M036-016</t>
        </is>
      </c>
      <c r="C274" s="17" t="inlineStr">
        <is>
          <t>Notaries Ordinance No. 1 of 1907</t>
        </is>
      </c>
      <c r="D274" s="17" t="inlineStr">
        <is>
          <t>s.31 rule (17)(b)(i)</t>
        </is>
      </c>
      <c r="E274" s="17" t="inlineStr">
        <is>
          <t>2023-10</t>
        </is>
      </c>
      <c r="F274" s="17" t="inlineStr">
        <is>
          <t>Current on reference date</t>
        </is>
      </c>
      <c r="G274"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274" s="17" t="inlineStr">
        <is>
          <t>https://www.rgd.gov.lk/web/images/ActsPDF/notary/Notaries-English.pdf</t>
        </is>
      </c>
      <c r="I274" s="17" t="inlineStr">
        <is>
          <t>Supporting</t>
        </is>
      </c>
      <c r="J274" s="17" t="inlineStr">
        <is>
          <t>Names the specific document that must be obtained from the Land Registry: the certified folio extract showing ownership and registered encumbrances. It is the first document to call for on any examination of title.
TEMPORAL: Substituted by Notaries (Amendment) Act No. 31 of 2022 s.16(10)(a), in force from 2022 and unchanged by Act No. 6 of 2024, which altered only sub-paragraph (iii) of the same rule. In force at the matter date.</t>
        </is>
      </c>
      <c r="K274" s="17" t="inlineStr">
        <is>
          <t>[verified]</t>
        </is>
      </c>
      <c r="L274" s="21" t="n"/>
      <c r="M274" s="21" t="n"/>
      <c r="N274" s="21" t="n"/>
      <c r="O274" s="21" t="n"/>
      <c r="P274" s="21" t="n"/>
      <c r="Q274" s="17">
        <f>IF(OR(A274="",B274=""),"",IF(AND(L274&lt;&gt;"",P274&lt;&gt;"",IF(L274="Wrong citation",AND(M274&lt;&gt;"",N274&lt;&gt;""),TRUE)),"Complete","Pending"))</f>
        <v/>
      </c>
    </row>
    <row r="275">
      <c r="A275" s="19" t="inlineStr">
        <is>
          <t>M036-Q01</t>
        </is>
      </c>
      <c r="B275" s="19" t="inlineStr">
        <is>
          <t>PROV-M036-017</t>
        </is>
      </c>
      <c r="C275" s="17" t="inlineStr">
        <is>
          <t>Notaries Ordinance No. 1 of 1907</t>
        </is>
      </c>
      <c r="D275" s="17" t="inlineStr">
        <is>
          <t>s.31 rule (17)(d)</t>
        </is>
      </c>
      <c r="E275" s="17" t="inlineStr">
        <is>
          <t>2023-10</t>
        </is>
      </c>
      <c r="F275" s="17" t="inlineStr">
        <is>
          <t>Current on reference date</t>
        </is>
      </c>
      <c r="G275" s="17" t="inlineStr">
        <is>
          <t>if a party to any deed or instrument is a corporate body he shall retain a certified copy of the certificate of incorporation or other instrument establishing such corporate entity and details of board of directors</t>
        </is>
      </c>
      <c r="H275" s="17" t="inlineStr">
        <is>
          <t>https://www.rgd.gov.lk/web/images/ActsPDF/notary/Notaries-English.pdf</t>
        </is>
      </c>
      <c r="I275" s="17" t="inlineStr">
        <is>
          <t>Supporting</t>
        </is>
      </c>
      <c r="J275" s="17" t="inlineStr">
        <is>
          <t>Because a company is a party, the certificate of incorporation and the details of the board must be produced to the notary. This is a document to be called for on both a purchase and a title examination where a company appears in the chain.
TEMPORAL: Added by Notaries (Amendment) Act No. 31 of 2022 s.16(10)(b), in force from 2022 and not altered by Act No. 6 of 2024. In force at the matter date.</t>
        </is>
      </c>
      <c r="K275" s="17" t="inlineStr">
        <is>
          <t>[verified]</t>
        </is>
      </c>
      <c r="L275" s="21" t="n"/>
      <c r="M275" s="21" t="n"/>
      <c r="N275" s="21" t="n"/>
      <c r="O275" s="21" t="n"/>
      <c r="P275" s="21" t="n"/>
      <c r="Q275" s="17">
        <f>IF(OR(A275="",B275=""),"",IF(AND(L275&lt;&gt;"",P275&lt;&gt;"",IF(L275="Wrong citation",AND(M275&lt;&gt;"",N275&lt;&gt;""),TRUE)),"Complete","Pending"))</f>
        <v/>
      </c>
    </row>
    <row r="276">
      <c r="A276" s="19" t="inlineStr">
        <is>
          <t>M036-Q01</t>
        </is>
      </c>
      <c r="B276" s="19" t="inlineStr">
        <is>
          <t>PROV-M036-018</t>
        </is>
      </c>
      <c r="C276" s="17" t="inlineStr">
        <is>
          <t>Notaries Ordinance No. 1 of 1907</t>
        </is>
      </c>
      <c r="D276" s="17" t="inlineStr">
        <is>
          <t>s.31 rule (14)</t>
        </is>
      </c>
      <c r="E276" s="17" t="inlineStr">
        <is>
          <t>2023-10</t>
        </is>
      </c>
      <c r="F276" s="17" t="inlineStr">
        <is>
          <t>Current on reference date</t>
        </is>
      </c>
      <c r="G276" s="17" t="inlineStr">
        <is>
          <t>if an executant to any deed or instrument is a corporate body, cause to be affixed the seal of the corporate body and obtain the signatures of the board of directors or any person authorized by the board by resolution to sign such deed or instrument</t>
        </is>
      </c>
      <c r="H276" s="17" t="inlineStr">
        <is>
          <t>https://www.rgd.gov.lk/web/images/ActsPDF/notary/Notaries-English.pdf</t>
        </is>
      </c>
      <c r="I276" s="17" t="inlineStr">
        <is>
          <t>Supporting</t>
        </is>
      </c>
      <c r="J276" s="17" t="inlineStr">
        <is>
          <t>Where a corporate body executes, the seal and the signatures of the board or of a person authorised by board resolution are required, and a copy of the resolution goes on the protocol. This governs the mechanics of execution wherever a company is an executant in the chain.
TEMPORAL: Substituted by Notaries (Amendment) Act No. 31 of 2022 s.16(7), in force from 2022 and not altered by Act No. 6 of 2024. In force at the matter date.</t>
        </is>
      </c>
      <c r="K276" s="17" t="inlineStr">
        <is>
          <t>[verified]</t>
        </is>
      </c>
      <c r="L276" s="21" t="n"/>
      <c r="M276" s="21" t="n"/>
      <c r="N276" s="21" t="n"/>
      <c r="O276" s="21" t="n"/>
      <c r="P276" s="21" t="n"/>
      <c r="Q276" s="17">
        <f>IF(OR(A276="",B276=""),"",IF(AND(L276&lt;&gt;"",P276&lt;&gt;"",IF(L276="Wrong citation",AND(M276&lt;&gt;"",N276&lt;&gt;""),TRUE)),"Complete","Pending"))</f>
        <v/>
      </c>
    </row>
    <row r="277">
      <c r="A277" s="19" t="inlineStr">
        <is>
          <t>M036-Q01</t>
        </is>
      </c>
      <c r="B277" s="19" t="inlineStr">
        <is>
          <t>PROV-M036-019</t>
        </is>
      </c>
      <c r="C277" s="17" t="inlineStr">
        <is>
          <t>Notaries Ordinance No. 1 of 1907</t>
        </is>
      </c>
      <c r="D277" s="17" t="inlineStr">
        <is>
          <t>s.31 rule (16)(a)</t>
        </is>
      </c>
      <c r="E277" s="17" t="inlineStr">
        <is>
          <t>2023-10</t>
        </is>
      </c>
      <c r="F277" s="17" t="inlineStr">
        <is>
          <t>Current on reference date</t>
        </is>
      </c>
      <c r="G277" s="17" t="inlineStr">
        <is>
          <t>an accurate and clear description of the said land or other property affected thereby, showing its boundaries, extent, situation specifying the district, pattu, korale, Divisional Secretary's Division, local authority division and the Grama Niladari Division</t>
        </is>
      </c>
      <c r="H277" s="17" t="inlineStr">
        <is>
          <t>https://www.rgd.gov.lk/web/images/ActsPDF/notary/Notaries-English.pdf</t>
        </is>
      </c>
      <c r="I277" s="17" t="inlineStr">
        <is>
          <t>Supporting</t>
        </is>
      </c>
      <c r="J277" s="17" t="inlineStr">
        <is>
          <t>The deed cannot be drawn without an accurate description showing boundaries, extent and situation, which is why a survey plan or figure of survey and the schedule of the vendor's deed must be called for.
TEMPORAL: Amended by Notaries (Amendment) Act No. 31 of 2022 s.16(9)(a) (condominium wording), in force from 2022; the words quoted here are unchanged by that amendment and by Act No. 6 of 2024. In force at the matter date.</t>
        </is>
      </c>
      <c r="K277" s="17" t="inlineStr">
        <is>
          <t>[verified]</t>
        </is>
      </c>
      <c r="L277" s="21" t="n"/>
      <c r="M277" s="21" t="n"/>
      <c r="N277" s="21" t="n"/>
      <c r="O277" s="21" t="n"/>
      <c r="P277" s="21" t="n"/>
      <c r="Q277" s="17">
        <f>IF(OR(A277="",B277=""),"",IF(AND(L277&lt;&gt;"",P277&lt;&gt;"",IF(L277="Wrong citation",AND(M277&lt;&gt;"",N277&lt;&gt;""),TRUE)),"Complete","Pending"))</f>
        <v/>
      </c>
    </row>
    <row r="278">
      <c r="A278" s="19" t="inlineStr">
        <is>
          <t>M036-Q01</t>
        </is>
      </c>
      <c r="B278" s="19" t="inlineStr">
        <is>
          <t>PROV-M036-020</t>
        </is>
      </c>
      <c r="C278" s="17" t="inlineStr">
        <is>
          <t>Notaries Ordinance No. 1 of 1907</t>
        </is>
      </c>
      <c r="D278" s="17" t="inlineStr">
        <is>
          <t>s.31 rule (6)</t>
        </is>
      </c>
      <c r="E278" s="17" t="inlineStr">
        <is>
          <t>2023-10</t>
        </is>
      </c>
      <c r="F278" s="17" t="inlineStr">
        <is>
          <t>Current on reference date</t>
        </is>
      </c>
      <c r="G278" s="17" t="inlineStr">
        <is>
          <t>He shall not authenticate or attest any deed or instrument unless he has an assurance that the required stamp duty is provided.</t>
        </is>
      </c>
      <c r="H278" s="17" t="inlineStr">
        <is>
          <t>https://www.rgd.gov.lk/web/images/ActsPDF/notary/Notaries-English.pdf</t>
        </is>
      </c>
      <c r="I278" s="17" t="inlineStr">
        <is>
          <t>Supporting</t>
        </is>
      </c>
      <c r="J278" s="17" t="inlineStr">
        <is>
          <t>Makes provision for stamp duty a precondition of attestation, so funds for duty must be arranged as part of the pre-completion steps.
TEMPORAL: Substituted by Notaries (Amendment) Act No. 31 of 2022 s.16(4), in force from 2022 and not altered by Act No. 6 of 2024. In force at the matter date.</t>
        </is>
      </c>
      <c r="K278" s="17" t="inlineStr">
        <is>
          <t>[verified]</t>
        </is>
      </c>
      <c r="L278" s="21" t="n"/>
      <c r="M278" s="21" t="n"/>
      <c r="N278" s="21" t="n"/>
      <c r="O278" s="21" t="n"/>
      <c r="P278" s="21" t="n"/>
      <c r="Q278" s="17">
        <f>IF(OR(A278="",B278=""),"",IF(AND(L278&lt;&gt;"",P278&lt;&gt;"",IF(L278="Wrong citation",AND(M278&lt;&gt;"",N278&lt;&gt;""),TRUE)),"Complete","Pending"))</f>
        <v/>
      </c>
    </row>
    <row r="279">
      <c r="A279" s="19" t="inlineStr">
        <is>
          <t>M036-Q01</t>
        </is>
      </c>
      <c r="B279" s="19" t="inlineStr">
        <is>
          <t>PROV-M036-021</t>
        </is>
      </c>
      <c r="C279" s="17" t="inlineStr">
        <is>
          <t>Notaries Ordinance No. 1 of 1907</t>
        </is>
      </c>
      <c r="D279" s="17" t="inlineStr">
        <is>
          <t>s.31 rule (30A)</t>
        </is>
      </c>
      <c r="E279" s="17" t="inlineStr">
        <is>
          <t>2023-10</t>
        </is>
      </c>
      <c r="F279" s="17" t="inlineStr">
        <is>
          <t>Current on reference date</t>
        </is>
      </c>
      <c r="G279" s="17" t="inlineStr">
        <is>
          <t>It shall be the duty of every notary to submit for registration to the Registrar, every deed or instrument attested by him before the expiry of thirty days from the date of attestation thereof</t>
        </is>
      </c>
      <c r="H279" s="17" t="inlineStr">
        <is>
          <t>https://www.rgd.gov.lk/web/images/ActsPDF/notary/Notaries-English.pdf</t>
        </is>
      </c>
      <c r="I279" s="17" t="inlineStr">
        <is>
          <t>Supporting</t>
        </is>
      </c>
      <c r="J279" s="17" t="inlineStr">
        <is>
          <t>Fixes the outer limit for lodging the transfer for registration, which is the step that secures the company's priority once the deed is executed.
TEMPORAL: Inserted by Notaries (Amendment) Act No. 31 of 2022 s.16(14), in force from 2022 and not altered by Act No. 6 of 2024. In force at the matter date.</t>
        </is>
      </c>
      <c r="K279" s="17" t="inlineStr">
        <is>
          <t>[verified]</t>
        </is>
      </c>
      <c r="L279" s="21" t="n"/>
      <c r="M279" s="21" t="n"/>
      <c r="N279" s="21" t="n"/>
      <c r="O279" s="21" t="n"/>
      <c r="P279" s="21" t="n"/>
      <c r="Q279" s="17">
        <f>IF(OR(A279="",B279=""),"",IF(AND(L279&lt;&gt;"",P279&lt;&gt;"",IF(L279="Wrong citation",AND(M279&lt;&gt;"",N279&lt;&gt;""),TRUE)),"Complete","Pending"))</f>
        <v/>
      </c>
    </row>
    <row r="280">
      <c r="A280" s="19" t="inlineStr">
        <is>
          <t>M036-Q01</t>
        </is>
      </c>
      <c r="B280" s="19" t="inlineStr">
        <is>
          <t>PROV-M036-901</t>
        </is>
      </c>
      <c r="C280" s="17" t="inlineStr">
        <is>
          <t>Land (Restrictions on Alienation) Act No. 38 of 2014</t>
        </is>
      </c>
      <c r="D280" s="17" t="inlineStr">
        <is>
          <t>s.2 (2)(a) and (b)</t>
        </is>
      </c>
      <c r="E280" s="17" t="inlineStr">
        <is>
          <t>2023-10</t>
        </is>
      </c>
      <c r="F280" s="17" t="inlineStr">
        <is>
          <t>Current on reference date</t>
        </is>
      </c>
      <c r="G280" s="17" t="inlineStr">
        <is>
          <t>For the purpose of maintaining the legal validity of a transfer of land to a company incorporated in Sri Lanka under the Companies Act, with less than fifty per cent of foreign shareholding, the foreign shareholding of such company shall remain less than fifty per cent, for a minimum period of consecutive twenty (20) years from the date of such transfer.</t>
        </is>
      </c>
      <c r="H280" s="17" t="inlineStr">
        <is>
          <t>https://www.rgd.gov.lk/web/images/ActsPDF/notary/2014-38E.pdf</t>
        </is>
      </c>
      <c r="I280" s="17" t="inlineStr">
        <is>
          <t>Supporting</t>
        </is>
      </c>
      <c r="J280" s="17" t="inlineStr">
        <is>
          <t>The shareholding test is not spent on completion. A Sri Lankan company that takes a transfer on the footing of less than fifty per cent foreign shareholding must keep it below fifty per cent for twenty consecutive years; if it reaches or exceeds fifty per cent the transfer of land becomes void with effect from the date of the increase, subject to a six or twelve month window to restore the position. Advising the company of that continuing condition is a step the research map omitted.
TEMPORAL: Part of section 2 of the consolidated corpus edition of the 2014 Act (which includes Act No. 3 of 2017 and Act No. 21 of 2018). In force at the matter date.</t>
        </is>
      </c>
      <c r="K280" s="17" t="inlineStr">
        <is>
          <t>[verified] Added by the verifier; excerpt checked verbatim against 38-2014/s2.</t>
        </is>
      </c>
      <c r="L280" s="21" t="n"/>
      <c r="M280" s="21" t="n"/>
      <c r="N280" s="21" t="n"/>
      <c r="O280" s="21" t="n"/>
      <c r="P280" s="21" t="n"/>
      <c r="Q280" s="17">
        <f>IF(OR(A280="",B280=""),"",IF(AND(L280&lt;&gt;"",P280&lt;&gt;"",IF(L280="Wrong citation",AND(M280&lt;&gt;"",N280&lt;&gt;""),TRUE)),"Complete","Pending"))</f>
        <v/>
      </c>
    </row>
    <row r="281">
      <c r="A281" s="19" t="inlineStr">
        <is>
          <t>M036-Q01</t>
        </is>
      </c>
      <c r="B281" s="19" t="inlineStr">
        <is>
          <t>PROV-M036-902</t>
        </is>
      </c>
      <c r="C281" s="17" t="inlineStr">
        <is>
          <t>Notaries Ordinance No. 1 of 1907</t>
        </is>
      </c>
      <c r="D281" s="17" t="inlineStr">
        <is>
          <t>s.31(proviso to rule (17))</t>
        </is>
      </c>
      <c r="E281" s="17" t="inlineStr">
        <is>
          <t>2023-10</t>
        </is>
      </c>
      <c r="F281" s="17" t="inlineStr">
        <is>
          <t>Current on reference date</t>
        </is>
      </c>
      <c r="G281"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281" s="17" t="inlineStr">
        <is>
          <t>https://www.rgd.gov.lk/web/images/ActsPDF/notary/Notaries-English.pdf</t>
        </is>
      </c>
      <c r="I281" s="17" t="inlineStr">
        <is>
          <t>Supporting</t>
        </is>
      </c>
      <c r="J281" s="17" t="inlineStr">
        <is>
          <t>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TEMPORAL: The proviso stands at the end of rule (17) in the corpus body of section 31 and is not touched by Notaries (Amendment) Act No. 31 of 2022 s.16(10) or Notaries (Amendment) Act No. 6 of 2024 s.3(6). In force at the matter date.</t>
        </is>
      </c>
      <c r="K281" s="17" t="inlineStr">
        <is>
          <t>[verified] Added by the verifier as the missing exception to PROV-M036-015; excerpt checked verbatim against 1-1907/s31.</t>
        </is>
      </c>
      <c r="L281" s="21" t="n"/>
      <c r="M281" s="21" t="n"/>
      <c r="N281" s="21" t="n"/>
      <c r="O281" s="21" t="n"/>
      <c r="P281" s="21" t="n"/>
      <c r="Q281" s="17">
        <f>IF(OR(A281="",B281=""),"",IF(AND(L281&lt;&gt;"",P281&lt;&gt;"",IF(L281="Wrong citation",AND(M281&lt;&gt;"",N281&lt;&gt;""),TRUE)),"Complete","Pending"))</f>
        <v/>
      </c>
    </row>
    <row r="282">
      <c r="A282" s="19" t="inlineStr">
        <is>
          <t>M036-Q01</t>
        </is>
      </c>
      <c r="B282" s="19" t="inlineStr">
        <is>
          <t>PROV-M036-903</t>
        </is>
      </c>
      <c r="C282" s="17" t="inlineStr">
        <is>
          <t>Notaries Ordinance No. 1 of 1907</t>
        </is>
      </c>
      <c r="D282" s="17" t="inlineStr">
        <is>
          <t>s.31 rule (33)</t>
        </is>
      </c>
      <c r="E282" s="17" t="inlineStr">
        <is>
          <t>2023-10</t>
        </is>
      </c>
      <c r="F282" s="17" t="inlineStr">
        <is>
          <t>Current on reference date</t>
        </is>
      </c>
      <c r="G282"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282" s="17" t="inlineStr">
        <is>
          <t>https://www.rgd.gov.lk/web/images/ActsPDF/notary/Notaries-English.pdf</t>
        </is>
      </c>
      <c r="I282" s="17" t="inlineStr">
        <is>
          <t>Supporting</t>
        </is>
      </c>
      <c r="J282" s="17" t="inlineStr">
        <is>
          <t>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TEMPORAL: Rule (33) stands in the corpus body of section 31; no amendment event in the corpus is attributed to it by Act No. 31 of 2022 or Act No. 6 of 2024. In force at the matter date.</t>
        </is>
      </c>
      <c r="K282" s="17" t="inlineStr">
        <is>
          <t>[verified] Added by the verifier as a missing document-production duty for M036-Q02; excerpt checked verbatim against 1-1907/s31.</t>
        </is>
      </c>
      <c r="L282" s="21" t="n"/>
      <c r="M282" s="21" t="n"/>
      <c r="N282" s="21" t="n"/>
      <c r="O282" s="21" t="n"/>
      <c r="P282" s="21" t="n"/>
      <c r="Q282" s="17">
        <f>IF(OR(A282="",B282=""),"",IF(AND(L282&lt;&gt;"",P282&lt;&gt;"",IF(L282="Wrong citation",AND(M282&lt;&gt;"",N282&lt;&gt;""),TRUE)),"Complete","Pending"))</f>
        <v/>
      </c>
    </row>
    <row r="283">
      <c r="A283" s="19" t="inlineStr">
        <is>
          <t>M036-Q01</t>
        </is>
      </c>
      <c r="B283" s="19" t="inlineStr">
        <is>
          <t>PROV-M036-023</t>
        </is>
      </c>
      <c r="C283" s="17" t="inlineStr">
        <is>
          <t>Registration of Documents Ordinance No. 23 of 1927</t>
        </is>
      </c>
      <c r="D283" s="17" t="inlineStr">
        <is>
          <t>s.42</t>
        </is>
      </c>
      <c r="E283" s="17" t="inlineStr">
        <is>
          <t>2023-10</t>
        </is>
      </c>
      <c r="F283" s="17" t="inlineStr">
        <is>
          <t>Current on reference date</t>
        </is>
      </c>
      <c r="G283"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283" s="17" t="inlineStr">
        <is>
          <t>https://lankalaw.net/wp-content/uploads/2025/03/Registration-of-Documents-Consolidated-2024.pdf</t>
        </is>
      </c>
      <c r="I283" s="17" t="inlineStr">
        <is>
          <t>Background</t>
        </is>
      </c>
      <c r="J283" s="17" t="inlineStr">
        <is>
          <t>Gives the attorney-at-law acting for an intending purchaser the statutory right to search the registry books and to take certified copies and extracts, which is the mechanism by which the documents called for are actually obtained.
TEMPORAL: No amendment event recorded against s.42; in force at the matter date.</t>
        </is>
      </c>
      <c r="K283" s="17" t="inlineStr">
        <is>
          <t>[verified]</t>
        </is>
      </c>
      <c r="L283" s="21" t="n"/>
      <c r="M283" s="21" t="n"/>
      <c r="N283" s="21" t="n"/>
      <c r="O283" s="21" t="n"/>
      <c r="P283" s="21" t="n"/>
      <c r="Q283" s="17">
        <f>IF(OR(A283="",B283=""),"",IF(AND(L283&lt;&gt;"",P283&lt;&gt;"",IF(L283="Wrong citation",AND(M283&lt;&gt;"",N283&lt;&gt;""),TRUE)),"Complete","Pending"))</f>
        <v/>
      </c>
    </row>
    <row r="284">
      <c r="A284" s="19" t="inlineStr">
        <is>
          <t>M036-Q02</t>
        </is>
      </c>
      <c r="B284" s="19" t="inlineStr">
        <is>
          <t>PROV-M036-013</t>
        </is>
      </c>
      <c r="C284" s="17" t="inlineStr">
        <is>
          <t>Prevention of Frauds Ordinance No. 7 of 1840</t>
        </is>
      </c>
      <c r="D284" s="17" t="inlineStr">
        <is>
          <t>s.2 (1) opening words</t>
        </is>
      </c>
      <c r="E284" s="17" t="inlineStr">
        <is>
          <t>2023-10</t>
        </is>
      </c>
      <c r="F284" s="17" t="inlineStr">
        <is>
          <t>Current on reference date</t>
        </is>
      </c>
      <c r="G284"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284" s="17" t="inlineStr">
        <is>
          <t>https://lankalaw.net/wp-content/uploads/2025/03/Prevention-of-Frauds-Consolidated-2024.pdf</t>
        </is>
      </c>
      <c r="I284" s="17" t="inlineStr">
        <is>
          <t>Indispensable</t>
        </is>
      </c>
      <c r="J284" s="17" t="inlineStr">
        <is>
          <t>Fixes the form requirement that governs both the agreement to sell and the transfer itself, and is the reason every link in the vendor's chain has to be a notarially executed instrument.
TEMPORAL: The corpus body is consolidated to 2024. The words quoted here are the opening words of the section and were not touched by Act No. 30 of 2022 or Act No. 4 of 2024. The operative conditions in force at October 2023 are those substituted by Act No. 30 of 2022 s.2, cited separately as PROV-M036-014; subsection (2), which requires the transferee also to sign, was added by Act No. 4 of 2024 and was not in force at the matter date.</t>
        </is>
      </c>
      <c r="K284" s="17" t="inlineStr">
        <is>
          <t>[verified]</t>
        </is>
      </c>
      <c r="L284" s="21" t="n"/>
      <c r="M284" s="21" t="n"/>
      <c r="N284" s="21" t="n"/>
      <c r="O284" s="21" t="n"/>
      <c r="P284" s="21" t="n"/>
      <c r="Q284" s="17">
        <f>IF(OR(A284="",B284=""),"",IF(AND(L284&lt;&gt;"",P284&lt;&gt;"",IF(L284="Wrong citation",AND(M284&lt;&gt;"",N284&lt;&gt;""),TRUE)),"Complete","Pending"))</f>
        <v/>
      </c>
    </row>
    <row r="285">
      <c r="A285" s="19" t="inlineStr">
        <is>
          <t>M036-Q02</t>
        </is>
      </c>
      <c r="B285" s="19" t="inlineStr">
        <is>
          <t>PROV-M036-015</t>
        </is>
      </c>
      <c r="C285" s="17" t="inlineStr">
        <is>
          <t>Notaries Ordinance No. 1 of 1907</t>
        </is>
      </c>
      <c r="D285" s="17" t="inlineStr">
        <is>
          <t>s.31 rule (17)(a)</t>
        </is>
      </c>
      <c r="E285" s="17" t="inlineStr">
        <is>
          <t>2023-10</t>
        </is>
      </c>
      <c r="F285" s="17" t="inlineStr">
        <is>
          <t>Current on reference date</t>
        </is>
      </c>
      <c r="G285"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285" s="17" t="inlineStr">
        <is>
          <t>https://www.rgd.gov.lk/web/images/ActsPDF/notary/Notaries-English.pdf</t>
        </is>
      </c>
      <c r="I285" s="17" t="inlineStr">
        <is>
          <t>Indispensable</t>
        </is>
      </c>
      <c r="J285" s="17" t="inlineStr">
        <is>
          <t>The statutory duty to search the land registry before the deed is drawn. It is the source of the title investigation step and of the requirement to call for the registry material.
TEMPORAL: This paragraph is original text; neither Act No. 31 of 2022 s.16(10) nor Act No. 6 of 2024 s.3(6) altered rule (17)(a). In force at the matter date.</t>
        </is>
      </c>
      <c r="K285" s="17" t="inlineStr">
        <is>
          <t>[partially_verified] Rule (17)(a) is correctly quoted, but it is subject to the proviso at the end of rule (17) permitting the parties to authorise the notary in writing to dispense with the search; that proviso is added as PROV-M036-902 and should be stated alongside the search duty.</t>
        </is>
      </c>
      <c r="L285" s="21" t="n"/>
      <c r="M285" s="21" t="n"/>
      <c r="N285" s="21" t="n"/>
      <c r="O285" s="21" t="n"/>
      <c r="P285" s="21" t="n"/>
      <c r="Q285" s="17">
        <f>IF(OR(A285="",B285=""),"",IF(AND(L285&lt;&gt;"",P285&lt;&gt;"",IF(L285="Wrong citation",AND(M285&lt;&gt;"",N285&lt;&gt;""),TRUE)),"Complete","Pending"))</f>
        <v/>
      </c>
    </row>
    <row r="286">
      <c r="A286" s="19" t="inlineStr">
        <is>
          <t>M036-Q02</t>
        </is>
      </c>
      <c r="B286" s="19" t="inlineStr">
        <is>
          <t>PROV-M036-016</t>
        </is>
      </c>
      <c r="C286" s="17" t="inlineStr">
        <is>
          <t>Notaries Ordinance No. 1 of 1907</t>
        </is>
      </c>
      <c r="D286" s="17" t="inlineStr">
        <is>
          <t>s.31 rule (17)(b)(i)</t>
        </is>
      </c>
      <c r="E286" s="17" t="inlineStr">
        <is>
          <t>2023-10</t>
        </is>
      </c>
      <c r="F286" s="17" t="inlineStr">
        <is>
          <t>Current on reference date</t>
        </is>
      </c>
      <c r="G286"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286" s="17" t="inlineStr">
        <is>
          <t>https://www.rgd.gov.lk/web/images/ActsPDF/notary/Notaries-English.pdf</t>
        </is>
      </c>
      <c r="I286" s="17" t="inlineStr">
        <is>
          <t>Indispensable</t>
        </is>
      </c>
      <c r="J286" s="17" t="inlineStr">
        <is>
          <t>Names the specific document that must be obtained from the Land Registry: the certified folio extract showing ownership and registered encumbrances. It is the first document to call for on any examination of title.
TEMPORAL: Substituted by Notaries (Amendment) Act No. 31 of 2022 s.16(10)(a), in force from 2022 and unchanged by Act No. 6 of 2024, which altered only sub-paragraph (iii) of the same rule. In force at the matter date.</t>
        </is>
      </c>
      <c r="K286" s="17" t="inlineStr">
        <is>
          <t>[verified]</t>
        </is>
      </c>
      <c r="L286" s="21" t="n"/>
      <c r="M286" s="21" t="n"/>
      <c r="N286" s="21" t="n"/>
      <c r="O286" s="21" t="n"/>
      <c r="P286" s="21" t="n"/>
      <c r="Q286" s="17">
        <f>IF(OR(A286="",B286=""),"",IF(AND(L286&lt;&gt;"",P286&lt;&gt;"",IF(L286="Wrong citation",AND(M286&lt;&gt;"",N286&lt;&gt;""),TRUE)),"Complete","Pending"))</f>
        <v/>
      </c>
    </row>
    <row r="287">
      <c r="A287" s="19" t="inlineStr">
        <is>
          <t>M036-Q02</t>
        </is>
      </c>
      <c r="B287" s="19" t="inlineStr">
        <is>
          <t>PROV-M036-022</t>
        </is>
      </c>
      <c r="C287" s="17" t="inlineStr">
        <is>
          <t>Registration of Documents Ordinance No. 23 of 1927</t>
        </is>
      </c>
      <c r="D287" s="17" t="inlineStr">
        <is>
          <t>s.7 (1)</t>
        </is>
      </c>
      <c r="E287" s="17" t="inlineStr">
        <is>
          <t>2023-10</t>
        </is>
      </c>
      <c r="F287" s="17" t="inlineStr">
        <is>
          <t>Current on reference date</t>
        </is>
      </c>
      <c r="G287" s="17" t="inlineStr">
        <is>
          <t>be void as against all parties claiming an adverse interest thereto on valuable consideration by virtue of any subsequent instrument which is duly registered under this Chapter</t>
        </is>
      </c>
      <c r="H287" s="17" t="inlineStr">
        <is>
          <t>https://lankalaw.net/wp-content/uploads/2025/03/Registration-of-Documents-Consolidated-2024.pdf</t>
        </is>
      </c>
      <c r="I287" s="17" t="inlineStr">
        <is>
          <t>Indispensable</t>
        </is>
      </c>
      <c r="J287" s="17" t="inlineStr">
        <is>
          <t>The priority rule of the deeds registration system. It is why the registry folio has to be searched, why registered encumbrances bind a later purchaser, and why the company's own deed must be registered promptly.
TEMPORAL: Corpus edition is consolidated to 1990; no amendment event is recorded against s.7. In force at the matter date.</t>
        </is>
      </c>
      <c r="K287" s="17" t="inlineStr">
        <is>
          <t>[verified]</t>
        </is>
      </c>
      <c r="L287" s="21" t="n"/>
      <c r="M287" s="21" t="n"/>
      <c r="N287" s="21" t="n"/>
      <c r="O287" s="21" t="n"/>
      <c r="P287" s="21" t="n"/>
      <c r="Q287" s="17">
        <f>IF(OR(A287="",B287=""),"",IF(AND(L287&lt;&gt;"",P287&lt;&gt;"",IF(L287="Wrong citation",AND(M287&lt;&gt;"",N287&lt;&gt;""),TRUE)),"Complete","Pending"))</f>
        <v/>
      </c>
    </row>
    <row r="288">
      <c r="A288" s="19" t="inlineStr">
        <is>
          <t>M036-Q02</t>
        </is>
      </c>
      <c r="B288" s="19" t="inlineStr">
        <is>
          <t>PROV-M036-026</t>
        </is>
      </c>
      <c r="C288" s="17" t="inlineStr">
        <is>
          <t>Prescription Ordinance No. 22 of 1871</t>
        </is>
      </c>
      <c r="D288" s="17" t="inlineStr">
        <is>
          <t>s.3</t>
        </is>
      </c>
      <c r="E288" s="17" t="inlineStr">
        <is>
          <t>2023-10</t>
        </is>
      </c>
      <c r="F288" s="17" t="inlineStr">
        <is>
          <t>Current on reference date</t>
        </is>
      </c>
      <c r="G288" s="17" t="inlineStr">
        <is>
          <t>Proof of the undisturbed and uninterrupted possession by a defendant in any action, or by those under whom he claims, of lands or immovable property, by a title adverse to or independent of that of the claimant or plaintiff in such action</t>
        </is>
      </c>
      <c r="H288" s="17" t="inlineStr">
        <is>
          <t>https://lankalaw.net/wp-content/uploads/2024/03/Legislative-Enactments-Vol-4.pdf</t>
        </is>
      </c>
      <c r="I288" s="17" t="inlineStr">
        <is>
          <t>Indispensable</t>
        </is>
      </c>
      <c r="J288" s="17" t="inlineStr">
        <is>
          <t>Ten years of adverse possession can defeat a paper title, so an examination of title cannot stop at the deeds: possession has to be traced, and documents evidencing the vendor's possession must be called for.
TEMPORAL: Corpus edition is consolidated; Prescription (Amendment) Act No. 26 of 2014 records no change to s.3 in the corpus. In force at the matter date.</t>
        </is>
      </c>
      <c r="K288" s="17" t="inlineStr">
        <is>
          <t>[verified]</t>
        </is>
      </c>
      <c r="L288" s="21" t="n"/>
      <c r="M288" s="21" t="n"/>
      <c r="N288" s="21" t="n"/>
      <c r="O288" s="21" t="n"/>
      <c r="P288" s="21" t="n"/>
      <c r="Q288" s="17">
        <f>IF(OR(A288="",B288=""),"",IF(AND(L288&lt;&gt;"",P288&lt;&gt;"",IF(L288="Wrong citation",AND(M288&lt;&gt;"",N288&lt;&gt;""),TRUE)),"Complete","Pending"))</f>
        <v/>
      </c>
    </row>
    <row r="289">
      <c r="A289" s="19" t="inlineStr">
        <is>
          <t>M036-Q02</t>
        </is>
      </c>
      <c r="B289" s="19" t="inlineStr">
        <is>
          <t>PROV-M036-014</t>
        </is>
      </c>
      <c r="C289" s="17" t="inlineStr">
        <is>
          <t>Prevention of Frauds (Amendment) Act No. 30 of 2022</t>
        </is>
      </c>
      <c r="D289" s="17" t="inlineStr">
        <is>
          <t>s.2</t>
        </is>
      </c>
      <c r="E289" s="17" t="inlineStr">
        <is>
          <t>2023-10</t>
        </is>
      </c>
      <c r="F289" s="17" t="inlineStr">
        <is>
          <t>Current on reference date</t>
        </is>
      </c>
      <c r="G289" s="17" t="inlineStr">
        <is>
          <t>shall be in force or avail in law unless – (a) the relevant deed or instrument shall be in writing, signed by every executant and attested by a notary public before two witnesses present at the same time</t>
        </is>
      </c>
      <c r="H289" s="17" t="inlineStr">
        <is>
          <t>data/legal-sources/library/finalized/7-1840-prevention-of-frauds-ordinance/30-2022-prevention-of-frauds-ordinance-amendment.json</t>
        </is>
      </c>
      <c r="I289" s="17" t="inlineStr">
        <is>
          <t>Supporting</t>
        </is>
      </c>
      <c r="J289" s="17" t="inlineStr">
        <is>
          <t>This is the text of the execution requirement that was in force in October 2023: writing, signature by every executant, attestation by a notary before two witnesses present at the same time, and thumb impressions on original, duplicate and protocol.
TEMPORAL: Enacted and in force in 2022, and still the operative text at the matter date. It was itself superseded by Act No. 4 of 2024, after the matter date.</t>
        </is>
      </c>
      <c r="K289" s="17" t="inlineStr">
        <is>
          <t>[verified]</t>
        </is>
      </c>
      <c r="L289" s="21" t="n"/>
      <c r="M289" s="21" t="n"/>
      <c r="N289" s="21" t="n"/>
      <c r="O289" s="21" t="n"/>
      <c r="P289" s="21" t="n"/>
      <c r="Q289" s="17">
        <f>IF(OR(A289="",B289=""),"",IF(AND(L289&lt;&gt;"",P289&lt;&gt;"",IF(L289="Wrong citation",AND(M289&lt;&gt;"",N289&lt;&gt;""),TRUE)),"Complete","Pending"))</f>
        <v/>
      </c>
    </row>
    <row r="290">
      <c r="A290" s="19" t="inlineStr">
        <is>
          <t>M036-Q02</t>
        </is>
      </c>
      <c r="B290" s="19" t="inlineStr">
        <is>
          <t>PROV-M036-017</t>
        </is>
      </c>
      <c r="C290" s="17" t="inlineStr">
        <is>
          <t>Notaries Ordinance No. 1 of 1907</t>
        </is>
      </c>
      <c r="D290" s="17" t="inlineStr">
        <is>
          <t>s.31 rule (17)(d)</t>
        </is>
      </c>
      <c r="E290" s="17" t="inlineStr">
        <is>
          <t>2023-10</t>
        </is>
      </c>
      <c r="F290" s="17" t="inlineStr">
        <is>
          <t>Current on reference date</t>
        </is>
      </c>
      <c r="G290" s="17" t="inlineStr">
        <is>
          <t>if a party to any deed or instrument is a corporate body he shall retain a certified copy of the certificate of incorporation or other instrument establishing such corporate entity and details of board of directors</t>
        </is>
      </c>
      <c r="H290" s="17" t="inlineStr">
        <is>
          <t>https://www.rgd.gov.lk/web/images/ActsPDF/notary/Notaries-English.pdf</t>
        </is>
      </c>
      <c r="I290" s="17" t="inlineStr">
        <is>
          <t>Supporting</t>
        </is>
      </c>
      <c r="J290" s="17" t="inlineStr">
        <is>
          <t>Because a company is a party, the certificate of incorporation and the details of the board must be produced to the notary. This is a document to be called for on both a purchase and a title examination where a company appears in the chain.
TEMPORAL: Added by Notaries (Amendment) Act No. 31 of 2022 s.16(10)(b), in force from 2022 and not altered by Act No. 6 of 2024. In force at the matter date.</t>
        </is>
      </c>
      <c r="K290" s="17" t="inlineStr">
        <is>
          <t>[verified]</t>
        </is>
      </c>
      <c r="L290" s="21" t="n"/>
      <c r="M290" s="21" t="n"/>
      <c r="N290" s="21" t="n"/>
      <c r="O290" s="21" t="n"/>
      <c r="P290" s="21" t="n"/>
      <c r="Q290" s="17">
        <f>IF(OR(A290="",B290=""),"",IF(AND(L290&lt;&gt;"",P290&lt;&gt;"",IF(L290="Wrong citation",AND(M290&lt;&gt;"",N290&lt;&gt;""),TRUE)),"Complete","Pending"))</f>
        <v/>
      </c>
    </row>
    <row r="291">
      <c r="A291" s="19" t="inlineStr">
        <is>
          <t>M036-Q02</t>
        </is>
      </c>
      <c r="B291" s="19" t="inlineStr">
        <is>
          <t>PROV-M036-019</t>
        </is>
      </c>
      <c r="C291" s="17" t="inlineStr">
        <is>
          <t>Notaries Ordinance No. 1 of 1907</t>
        </is>
      </c>
      <c r="D291" s="17" t="inlineStr">
        <is>
          <t>s.31 rule (16)(a)</t>
        </is>
      </c>
      <c r="E291" s="17" t="inlineStr">
        <is>
          <t>2023-10</t>
        </is>
      </c>
      <c r="F291" s="17" t="inlineStr">
        <is>
          <t>Current on reference date</t>
        </is>
      </c>
      <c r="G291" s="17" t="inlineStr">
        <is>
          <t>an accurate and clear description of the said land or other property affected thereby, showing its boundaries, extent, situation specifying the district, pattu, korale, Divisional Secretary's Division, local authority division and the Grama Niladari Division</t>
        </is>
      </c>
      <c r="H291" s="17" t="inlineStr">
        <is>
          <t>https://www.rgd.gov.lk/web/images/ActsPDF/notary/Notaries-English.pdf</t>
        </is>
      </c>
      <c r="I291" s="17" t="inlineStr">
        <is>
          <t>Supporting</t>
        </is>
      </c>
      <c r="J291" s="17" t="inlineStr">
        <is>
          <t>The deed cannot be drawn without an accurate description showing boundaries, extent and situation, which is why a survey plan or figure of survey and the schedule of the vendor's deed must be called for.
TEMPORAL: Amended by Notaries (Amendment) Act No. 31 of 2022 s.16(9)(a) (condominium wording), in force from 2022; the words quoted here are unchanged by that amendment and by Act No. 6 of 2024. In force at the matter date.</t>
        </is>
      </c>
      <c r="K291" s="17" t="inlineStr">
        <is>
          <t>[verified]</t>
        </is>
      </c>
      <c r="L291" s="21" t="n"/>
      <c r="M291" s="21" t="n"/>
      <c r="N291" s="21" t="n"/>
      <c r="O291" s="21" t="n"/>
      <c r="P291" s="21" t="n"/>
      <c r="Q291" s="17">
        <f>IF(OR(A291="",B291=""),"",IF(AND(L291&lt;&gt;"",P291&lt;&gt;"",IF(L291="Wrong citation",AND(M291&lt;&gt;"",N291&lt;&gt;""),TRUE)),"Complete","Pending"))</f>
        <v/>
      </c>
    </row>
    <row r="292">
      <c r="A292" s="19" t="inlineStr">
        <is>
          <t>M036-Q02</t>
        </is>
      </c>
      <c r="B292" s="19" t="inlineStr">
        <is>
          <t>PROV-M036-023</t>
        </is>
      </c>
      <c r="C292" s="17" t="inlineStr">
        <is>
          <t>Registration of Documents Ordinance No. 23 of 1927</t>
        </is>
      </c>
      <c r="D292" s="17" t="inlineStr">
        <is>
          <t>s.42</t>
        </is>
      </c>
      <c r="E292" s="17" t="inlineStr">
        <is>
          <t>2023-10</t>
        </is>
      </c>
      <c r="F292" s="17" t="inlineStr">
        <is>
          <t>Current on reference date</t>
        </is>
      </c>
      <c r="G292"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292" s="17" t="inlineStr">
        <is>
          <t>https://lankalaw.net/wp-content/uploads/2025/03/Registration-of-Documents-Consolidated-2024.pdf</t>
        </is>
      </c>
      <c r="I292" s="17" t="inlineStr">
        <is>
          <t>Supporting</t>
        </is>
      </c>
      <c r="J292" s="17" t="inlineStr">
        <is>
          <t>Gives the attorney-at-law acting for an intending purchaser the statutory right to search the registry books and to take certified copies and extracts, which is the mechanism by which the documents called for are actually obtained.
TEMPORAL: No amendment event recorded against s.42; in force at the matter date.</t>
        </is>
      </c>
      <c r="K292" s="17" t="inlineStr">
        <is>
          <t>[verified]</t>
        </is>
      </c>
      <c r="L292" s="21" t="n"/>
      <c r="M292" s="21" t="n"/>
      <c r="N292" s="21" t="n"/>
      <c r="O292" s="21" t="n"/>
      <c r="P292" s="21" t="n"/>
      <c r="Q292" s="17">
        <f>IF(OR(A292="",B292=""),"",IF(AND(L292&lt;&gt;"",P292&lt;&gt;"",IF(L292="Wrong citation",AND(M292&lt;&gt;"",N292&lt;&gt;""),TRUE)),"Complete","Pending"))</f>
        <v/>
      </c>
    </row>
    <row r="293">
      <c r="A293" s="19" t="inlineStr">
        <is>
          <t>M036-Q02</t>
        </is>
      </c>
      <c r="B293" s="19" t="inlineStr">
        <is>
          <t>PROV-M036-024</t>
        </is>
      </c>
      <c r="C293" s="17" t="inlineStr">
        <is>
          <t>Registration of Documents Ordinance No. 23 of 1927</t>
        </is>
      </c>
      <c r="D293" s="17" t="inlineStr">
        <is>
          <t>s.11 (1)</t>
        </is>
      </c>
      <c r="E293" s="17" t="inlineStr">
        <is>
          <t>2023-10</t>
        </is>
      </c>
      <c r="F293" s="17" t="inlineStr">
        <is>
          <t>Current on reference date</t>
        </is>
      </c>
      <c r="G293" s="17" t="inlineStr">
        <is>
          <t>No Us pendens affecting or relating to land instituted on or after the 9th day of November, 1917, shall bind a purchaser, unless and until the lis pendens is duly registered under this Chapter.</t>
        </is>
      </c>
      <c r="H293" s="17" t="inlineStr">
        <is>
          <t>https://lankalaw.net/wp-content/uploads/2025/03/Registration-of-Documents-Consolidated-2024.pdf</t>
        </is>
      </c>
      <c r="I293" s="17" t="inlineStr">
        <is>
          <t>Supporting</t>
        </is>
      </c>
      <c r="J293" s="17" t="inlineStr">
        <is>
          <t>A registered lis pendens binds a purchaser, so the folio extract must be read for pending actions as well as for deeds, and any lis pendens disclosed must be investigated before the purchase proceeds.
TEMPORAL: No amendment event recorded against s.11; in force at the matter date. The corpus text reproduces the source transcription, which renders 'lis pendens' as 'Us pendens' in places.</t>
        </is>
      </c>
      <c r="K293" s="17" t="inlineStr">
        <is>
          <t>[verified]</t>
        </is>
      </c>
      <c r="L293" s="21" t="n"/>
      <c r="M293" s="21" t="n"/>
      <c r="N293" s="21" t="n"/>
      <c r="O293" s="21" t="n"/>
      <c r="P293" s="21" t="n"/>
      <c r="Q293" s="17">
        <f>IF(OR(A293="",B293=""),"",IF(AND(L293&lt;&gt;"",P293&lt;&gt;"",IF(L293="Wrong citation",AND(M293&lt;&gt;"",N293&lt;&gt;""),TRUE)),"Complete","Pending"))</f>
        <v/>
      </c>
    </row>
    <row r="294">
      <c r="A294" s="19" t="inlineStr">
        <is>
          <t>M036-Q02</t>
        </is>
      </c>
      <c r="B294" s="19" t="inlineStr">
        <is>
          <t>PROV-M036-025</t>
        </is>
      </c>
      <c r="C294" s="17" t="inlineStr">
        <is>
          <t>Registration of Documents Ordinance No. 23 of 1927</t>
        </is>
      </c>
      <c r="D294" s="17" t="inlineStr">
        <is>
          <t>s.32 (1)</t>
        </is>
      </c>
      <c r="E294" s="17" t="inlineStr">
        <is>
          <t>2023-10</t>
        </is>
      </c>
      <c r="F294" s="17" t="inlineStr">
        <is>
          <t>Current on reference date</t>
        </is>
      </c>
      <c r="G294" s="17" t="inlineStr">
        <is>
          <t>Any person (in this Ordinance called a "caveator") may present for registration a caveat in the prescribed form requiring to be served with notice of the presentation for registration of any instrument affecting the land described in the caveat.</t>
        </is>
      </c>
      <c r="H294" s="17" t="inlineStr">
        <is>
          <t>https://lankalaw.net/wp-content/uploads/2025/03/Registration-of-Documents-Consolidated-2024.pdf</t>
        </is>
      </c>
      <c r="I294" s="17" t="inlineStr">
        <is>
          <t>Supporting</t>
        </is>
      </c>
      <c r="J294" s="17" t="inlineStr">
        <is>
          <t>A registered caveat is a warning on the folio that a third party asserts rights and will be noticed on any dealing; it is one of the entries the title examiner is looking for in the registry extract.
TEMPORAL: No amendment event recorded against s.32; in force at the matter date.</t>
        </is>
      </c>
      <c r="K294" s="17" t="inlineStr">
        <is>
          <t>[partially_verified] The excerpt is verbatim of the corpus body, but that body is the pre-2022 text: section 32(1) was repealed and substituted by the Registration of Documents (Amendment) Act, No. 32 of 2022 s.2(1), in force at the matter date, so the operative caveat text at October 2023 is PROV-M036-904; the substance relied on (a registered caveat entitles the caveator to notice of any instrument presented for registration) survives the substitution.</t>
        </is>
      </c>
      <c r="L294" s="21" t="n"/>
      <c r="M294" s="21" t="n"/>
      <c r="N294" s="21" t="n"/>
      <c r="O294" s="21" t="n"/>
      <c r="P294" s="21" t="n"/>
      <c r="Q294" s="17">
        <f>IF(OR(A294="",B294=""),"",IF(AND(L294&lt;&gt;"",P294&lt;&gt;"",IF(L294="Wrong citation",AND(M294&lt;&gt;"",N294&lt;&gt;""),TRUE)),"Complete","Pending"))</f>
        <v/>
      </c>
    </row>
    <row r="295">
      <c r="A295" s="19" t="inlineStr">
        <is>
          <t>M036-Q02</t>
        </is>
      </c>
      <c r="B295" s="19" t="inlineStr">
        <is>
          <t>PROV-M036-027</t>
        </is>
      </c>
      <c r="C295" s="17" t="inlineStr">
        <is>
          <t>Registration of Title Act No. 21 of 1998</t>
        </is>
      </c>
      <c r="D295" s="17" t="inlineStr">
        <is>
          <t>s.37</t>
        </is>
      </c>
      <c r="E295" s="17" t="inlineStr">
        <is>
          <t>2023-10</t>
        </is>
      </c>
      <c r="F295" s="17" t="inlineStr">
        <is>
          <t>Current on reference date</t>
        </is>
      </c>
      <c r="G295" s="17" t="inlineStr">
        <is>
          <t>Any person, having a Title of Ownership or other interest in a land parcel registered under this Act, may on payment of the prescribed fee, obtain a Certificate of Title in respect of such Ownership or interest, from the appropriate Registrar of Title.</t>
        </is>
      </c>
      <c r="H295" s="17" t="inlineStr">
        <is>
          <t>https://www.rgd.gov.lk/web/images/ActsPDF/title/TR-Act-english-1998-no-21.pdf</t>
        </is>
      </c>
      <c r="I295" s="17" t="inlineStr">
        <is>
          <t>Supporting</t>
        </is>
      </c>
      <c r="J295" s="17" t="inlineStr">
        <is>
          <t>Where the land parcel has been brought under title registration, the document to call for is the Certificate of Title, which is conclusive evidence of the interest, rather than a chain of deeds. The examiner must first establish which registration system applies to the parcel.
TEMPORAL: In force from 1998; no amendment event recorded against s.37. Whether a particular parcel is registered under the Act depends on declarations made for the area, which are not in the corpus.</t>
        </is>
      </c>
      <c r="K295" s="17" t="inlineStr">
        <is>
          <t>[verified]</t>
        </is>
      </c>
      <c r="L295" s="21" t="n"/>
      <c r="M295" s="21" t="n"/>
      <c r="N295" s="21" t="n"/>
      <c r="O295" s="21" t="n"/>
      <c r="P295" s="21" t="n"/>
      <c r="Q295" s="17">
        <f>IF(OR(A295="",B295=""),"",IF(AND(L295&lt;&gt;"",P295&lt;&gt;"",IF(L295="Wrong citation",AND(M295&lt;&gt;"",N295&lt;&gt;""),TRUE)),"Complete","Pending"))</f>
        <v/>
      </c>
    </row>
    <row r="296">
      <c r="A296" s="19" t="inlineStr">
        <is>
          <t>M036-Q02</t>
        </is>
      </c>
      <c r="B296" s="19" t="inlineStr">
        <is>
          <t>PROV-M036-902</t>
        </is>
      </c>
      <c r="C296" s="17" t="inlineStr">
        <is>
          <t>Notaries Ordinance No. 1 of 1907</t>
        </is>
      </c>
      <c r="D296" s="17" t="inlineStr">
        <is>
          <t>s.31(proviso to rule (17))</t>
        </is>
      </c>
      <c r="E296" s="17" t="inlineStr">
        <is>
          <t>2023-10</t>
        </is>
      </c>
      <c r="F296" s="17" t="inlineStr">
        <is>
          <t>Current on reference date</t>
        </is>
      </c>
      <c r="G296"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296" s="17" t="inlineStr">
        <is>
          <t>https://www.rgd.gov.lk/web/images/ActsPDF/notary/Notaries-English.pdf</t>
        </is>
      </c>
      <c r="I296" s="17" t="inlineStr">
        <is>
          <t>Supporting</t>
        </is>
      </c>
      <c r="J296" s="17" t="inlineStr">
        <is>
          <t>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TEMPORAL: The proviso stands at the end of rule (17) in the corpus body of section 31 and is not touched by Notaries (Amendment) Act No. 31 of 2022 s.16(10) or Notaries (Amendment) Act No. 6 of 2024 s.3(6). In force at the matter date.</t>
        </is>
      </c>
      <c r="K296" s="17" t="inlineStr">
        <is>
          <t>[verified] Added by the verifier as the missing exception to PROV-M036-015; excerpt checked verbatim against 1-1907/s31.</t>
        </is>
      </c>
      <c r="L296" s="21" t="n"/>
      <c r="M296" s="21" t="n"/>
      <c r="N296" s="21" t="n"/>
      <c r="O296" s="21" t="n"/>
      <c r="P296" s="21" t="n"/>
      <c r="Q296" s="17">
        <f>IF(OR(A296="",B296=""),"",IF(AND(L296&lt;&gt;"",P296&lt;&gt;"",IF(L296="Wrong citation",AND(M296&lt;&gt;"",N296&lt;&gt;""),TRUE)),"Complete","Pending"))</f>
        <v/>
      </c>
    </row>
    <row r="297">
      <c r="A297" s="19" t="inlineStr">
        <is>
          <t>M036-Q02</t>
        </is>
      </c>
      <c r="B297" s="19" t="inlineStr">
        <is>
          <t>PROV-M036-903</t>
        </is>
      </c>
      <c r="C297" s="17" t="inlineStr">
        <is>
          <t>Notaries Ordinance No. 1 of 1907</t>
        </is>
      </c>
      <c r="D297" s="17" t="inlineStr">
        <is>
          <t>s.31 rule (33)</t>
        </is>
      </c>
      <c r="E297" s="17" t="inlineStr">
        <is>
          <t>2023-10</t>
        </is>
      </c>
      <c r="F297" s="17" t="inlineStr">
        <is>
          <t>Current on reference date</t>
        </is>
      </c>
      <c r="G297"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297" s="17" t="inlineStr">
        <is>
          <t>https://www.rgd.gov.lk/web/images/ActsPDF/notary/Notaries-English.pdf</t>
        </is>
      </c>
      <c r="I297" s="17" t="inlineStr">
        <is>
          <t>Supporting</t>
        </is>
      </c>
      <c r="J297" s="17" t="inlineStr">
        <is>
          <t>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TEMPORAL: Rule (33) stands in the corpus body of section 31; no amendment event in the corpus is attributed to it by Act No. 31 of 2022 or Act No. 6 of 2024. In force at the matter date.</t>
        </is>
      </c>
      <c r="K297" s="17" t="inlineStr">
        <is>
          <t>[verified] Added by the verifier as a missing document-production duty for M036-Q02; excerpt checked verbatim against 1-1907/s31.</t>
        </is>
      </c>
      <c r="L297" s="21" t="n"/>
      <c r="M297" s="21" t="n"/>
      <c r="N297" s="21" t="n"/>
      <c r="O297" s="21" t="n"/>
      <c r="P297" s="21" t="n"/>
      <c r="Q297" s="17">
        <f>IF(OR(A297="",B297=""),"",IF(AND(L297&lt;&gt;"",P297&lt;&gt;"",IF(L297="Wrong citation",AND(M297&lt;&gt;"",N297&lt;&gt;""),TRUE)),"Complete","Pending"))</f>
        <v/>
      </c>
    </row>
    <row r="298">
      <c r="A298" s="19" t="inlineStr">
        <is>
          <t>M036-Q02</t>
        </is>
      </c>
      <c r="B298" s="19" t="inlineStr">
        <is>
          <t>PROV-M036-904</t>
        </is>
      </c>
      <c r="C298" s="17" t="inlineStr">
        <is>
          <t>Registration of Documents (Amendment) Act No. 32 of 2022</t>
        </is>
      </c>
      <c r="D298" s="17" t="inlineStr">
        <is>
          <t>s.2 (1)</t>
        </is>
      </c>
      <c r="E298" s="17" t="inlineStr">
        <is>
          <t>2023-10</t>
        </is>
      </c>
      <c r="F298" s="17" t="inlineStr">
        <is>
          <t>Current on reference date</t>
        </is>
      </c>
      <c r="G298" s="17" t="inlineStr">
        <is>
          <t>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t>
        </is>
      </c>
      <c r="H298" s="17" t="inlineStr">
        <is>
          <t>data/legal-sources/library/finalized/23-1927-registration-of-documents-ordinance/32-2022-registration-of-documents-ordinance-amendment.json</t>
        </is>
      </c>
      <c r="I298" s="17" t="inlineStr">
        <is>
          <t>Supporting</t>
        </is>
      </c>
      <c r="J298" s="17" t="inlineStr">
        <is>
          <t>This is the caveat text in force at October 2023. It replaced section 32(1) of the Registration of Documents Ordinance, narrows the class of caveators to persons who have or claim a right, title or interest, prescribes Form VIII with a supporting affidavit and an attorney-at-law certificate, and (by section 2(3)) limits a caveat to a maximum of two years. A title examiner reading a caveat on the folio must apply this text, not the 1927 text carried in the corpus body of 23-1927/s32.
TEMPORAL: Enacted in 2022 with no separate date-of-operation clause; in force at the matter date and not superseded before October 2023. The corpus edition of the Registration of Documents Ordinance is consolidated to 1990 and does not carry this substitution.</t>
        </is>
      </c>
      <c r="K298" s="17" t="inlineStr">
        <is>
          <t>[verified] Added by the verifier to supply the in-force text behind PROV-M036-025; excerpt checked verbatim against 32-2022/s2.</t>
        </is>
      </c>
      <c r="L298" s="21" t="n"/>
      <c r="M298" s="21" t="n"/>
      <c r="N298" s="21" t="n"/>
      <c r="O298" s="21" t="n"/>
      <c r="P298" s="21" t="n"/>
      <c r="Q298" s="17">
        <f>IF(OR(A298="",B298=""),"",IF(AND(L298&lt;&gt;"",P298&lt;&gt;"",IF(L298="Wrong citation",AND(M298&lt;&gt;"",N298&lt;&gt;""),TRUE)),"Complete","Pending"))</f>
        <v/>
      </c>
    </row>
    <row r="299">
      <c r="A299" s="19" t="inlineStr">
        <is>
          <t>M036-Q02</t>
        </is>
      </c>
      <c r="B299" s="19" t="inlineStr">
        <is>
          <t>PROV-M036-021</t>
        </is>
      </c>
      <c r="C299" s="17" t="inlineStr">
        <is>
          <t>Notaries Ordinance No. 1 of 1907</t>
        </is>
      </c>
      <c r="D299" s="17" t="inlineStr">
        <is>
          <t>s.31 rule (30A)</t>
        </is>
      </c>
      <c r="E299" s="17" t="inlineStr">
        <is>
          <t>2023-10</t>
        </is>
      </c>
      <c r="F299" s="17" t="inlineStr">
        <is>
          <t>Current on reference date</t>
        </is>
      </c>
      <c r="G299" s="17" t="inlineStr">
        <is>
          <t>It shall be the duty of every notary to submit for registration to the Registrar, every deed or instrument attested by him before the expiry of thirty days from the date of attestation thereof</t>
        </is>
      </c>
      <c r="H299" s="17" t="inlineStr">
        <is>
          <t>https://www.rgd.gov.lk/web/images/ActsPDF/notary/Notaries-English.pdf</t>
        </is>
      </c>
      <c r="I299" s="17" t="inlineStr">
        <is>
          <t>Background</t>
        </is>
      </c>
      <c r="J299" s="17" t="inlineStr">
        <is>
          <t>Fixes the outer limit for lodging the transfer for registration, which is the step that secures the company's priority once the deed is executed.
TEMPORAL: Inserted by Notaries (Amendment) Act No. 31 of 2022 s.16(14), in force from 2022 and not altered by Act No. 6 of 2024. In force at the matter date.</t>
        </is>
      </c>
      <c r="K299" s="17" t="inlineStr">
        <is>
          <t>[verified]</t>
        </is>
      </c>
      <c r="L299" s="21" t="n"/>
      <c r="M299" s="21" t="n"/>
      <c r="N299" s="21" t="n"/>
      <c r="O299" s="21" t="n"/>
      <c r="P299" s="21" t="n"/>
      <c r="Q299" s="17">
        <f>IF(OR(A299="",B299=""),"",IF(AND(L299&lt;&gt;"",P299&lt;&gt;"",IF(L299="Wrong citation",AND(M299&lt;&gt;"",N299&lt;&gt;""),TRUE)),"Complete","Pending"))</f>
        <v/>
      </c>
    </row>
    <row r="300">
      <c r="A300" s="19" t="inlineStr">
        <is>
          <t>M039-Q01</t>
        </is>
      </c>
      <c r="B300" s="19" t="inlineStr">
        <is>
          <t>PROV-M039-001</t>
        </is>
      </c>
      <c r="C300" s="17" t="inlineStr">
        <is>
          <t>Revocation of Irrevocable Deeds of Gift on the Ground of Gross Ingratitude Act No. 5 of 2017</t>
        </is>
      </c>
      <c r="D300" s="17" t="inlineStr">
        <is>
          <t>s.2</t>
        </is>
      </c>
      <c r="E300" s="17" t="inlineStr">
        <is>
          <t>2023-10</t>
        </is>
      </c>
      <c r="F300" s="17" t="inlineStr">
        <is>
          <t>Current on reference date</t>
        </is>
      </c>
      <c r="G300" s="17" t="inlineStr">
        <is>
          <t>An irrevocable deed of gift may be revoked on the ground of gross ingratitude, only on an Order made by a competent court, in an action filed by the donor of such deed against the donee to have the said deed revoked.</t>
        </is>
      </c>
      <c r="H300" s="17" t="inlineStr">
        <is>
          <t>https://documents.gov.lk/view/act/2017/4/05-2017_E.pdf</t>
        </is>
      </c>
      <c r="I300" s="17" t="inlineStr">
        <is>
          <t>Indispensable</t>
        </is>
      </c>
      <c r="J300" s="17" t="inlineStr">
        <is>
          <t>Directly answers the question. It establishes that a deed of gift expressed to be irrevocable is nevertheless capable of revocation, and fixes the only ground (gross ingratitude), the only mode (an order of a competent court) and the only parties (donor as plaintiff, donee as defendant). The word "only" also excludes unilateral revocation by the donor's own act or deed.
TEMPORAL: In force from 2017 per the corpus (in_force_from_year 2017); no amendment events recorded. In force at 2023-10.</t>
        </is>
      </c>
      <c r="K300" s="17" t="inlineStr">
        <is>
          <t>[verified]</t>
        </is>
      </c>
      <c r="L300" s="21" t="n"/>
      <c r="M300" s="21" t="n"/>
      <c r="N300" s="21" t="n"/>
      <c r="O300" s="21" t="n"/>
      <c r="P300" s="21" t="n"/>
      <c r="Q300" s="17">
        <f>IF(OR(A300="",B300=""),"",IF(AND(L300&lt;&gt;"",P300&lt;&gt;"",IF(L300="Wrong citation",AND(M300&lt;&gt;"",N300&lt;&gt;""),TRUE)),"Complete","Pending"))</f>
        <v/>
      </c>
    </row>
    <row r="301">
      <c r="A301" s="19" t="inlineStr">
        <is>
          <t>M039-Q01</t>
        </is>
      </c>
      <c r="B301" s="19" t="inlineStr">
        <is>
          <t>PROV-M039-002</t>
        </is>
      </c>
      <c r="C301" s="17" t="inlineStr">
        <is>
          <t>Revocation of Irrevocable Deeds of Gift on the Ground of Gross Ingratitude Act No. 5 of 2017</t>
        </is>
      </c>
      <c r="D301" s="17" t="inlineStr">
        <is>
          <t>s.3</t>
        </is>
      </c>
      <c r="E301" s="17" t="inlineStr">
        <is>
          <t>2023-10</t>
        </is>
      </c>
      <c r="F301" s="17" t="inlineStr">
        <is>
          <t>Current on reference date</t>
        </is>
      </c>
      <c r="G301" s="17" t="inlineStr">
        <is>
          <t>Court shall not entertain an action referred to in section 2, unless it is filed within a period of ten years from the date of the execution of such deed of gift and within two years from the date on which the cause of action arose.</t>
        </is>
      </c>
      <c r="H301" s="17" t="inlineStr">
        <is>
          <t>https://documents.gov.lk/view/act/2017/4/05-2017_E.pdf</t>
        </is>
      </c>
      <c r="I301" s="17" t="inlineStr">
        <is>
          <t>Indispensable</t>
        </is>
      </c>
      <c r="J301" s="17" t="inlineStr">
        <is>
          <t>A necessary statutory condition on the section 2 remedy. Even where the ground exists, the court cannot entertain the action outside the two cumulative time limits, so whether the deed could be revoked on the facts turns on the date of execution of the deed and the date the cause of action arose.
TEMPORAL: In force from 2017 per the corpus; no amendment events recorded. In force at 2023-10.</t>
        </is>
      </c>
      <c r="K301" s="17" t="inlineStr">
        <is>
          <t>[verified]</t>
        </is>
      </c>
      <c r="L301" s="21" t="n"/>
      <c r="M301" s="21" t="n"/>
      <c r="N301" s="21" t="n"/>
      <c r="O301" s="21" t="n"/>
      <c r="P301" s="21" t="n"/>
      <c r="Q301" s="17">
        <f>IF(OR(A301="",B301=""),"",IF(AND(L301&lt;&gt;"",P301&lt;&gt;"",IF(L301="Wrong citation",AND(M301&lt;&gt;"",N301&lt;&gt;""),TRUE)),"Complete","Pending"))</f>
        <v/>
      </c>
    </row>
    <row r="302">
      <c r="A302" s="19" t="inlineStr">
        <is>
          <t>M039-Q01</t>
        </is>
      </c>
      <c r="B302" s="19" t="inlineStr">
        <is>
          <t>PROV-M039-003</t>
        </is>
      </c>
      <c r="C302" s="17" t="inlineStr">
        <is>
          <t>Revocation of Irrevocable Deeds of Gift on the Ground of Gross Ingratitude Act No. 5 of 2017</t>
        </is>
      </c>
      <c r="D302" s="17" t="inlineStr">
        <is>
          <t>s.4 (1)</t>
        </is>
      </c>
      <c r="E302" s="17" t="inlineStr">
        <is>
          <t>2023-10</t>
        </is>
      </c>
      <c r="F302" s="17" t="inlineStr">
        <is>
          <t>Current on reference date</t>
        </is>
      </c>
      <c r="G302" s="17" t="inlineStr">
        <is>
          <t>The plaintiff in an action instituted under the provisions of this Act shall file or cause to be filed in court with the plaint, an application for registration of lis pendens</t>
        </is>
      </c>
      <c r="H302" s="17" t="inlineStr">
        <is>
          <t>https://documents.gov.lk/view/act/2017/4/05-2017_E.pdf</t>
        </is>
      </c>
      <c r="I302" s="17" t="inlineStr">
        <is>
          <t>Supporting</t>
        </is>
      </c>
      <c r="J302" s="17" t="inlineStr">
        <is>
          <t>Explains what the donor must do when instituting the action. It is a filing requirement rather than a condition of the right, so it supports the practical answer without changing whether revocation is available.
TEMPORAL: In force from 2017 per the corpus; no amendment events recorded. In force at 2023-10.</t>
        </is>
      </c>
      <c r="K302" s="17" t="inlineStr">
        <is>
          <t>[partially_verified] Wording confirmed verbatim and the supporting role is right, but the excerpt stops at "an application for registration of lis pendens" and omits paragraphs (a) and (b) of section 4(1), which are the words the answer actually relies on for addressing the application to the Registrar of Lands of the district in which the deed is registered (or, if unregistered, in which the land lies); the full section text supports the claim.</t>
        </is>
      </c>
      <c r="L302" s="21" t="n"/>
      <c r="M302" s="21" t="n"/>
      <c r="N302" s="21" t="n"/>
      <c r="O302" s="21" t="n"/>
      <c r="P302" s="21" t="n"/>
      <c r="Q302" s="17">
        <f>IF(OR(A302="",B302=""),"",IF(AND(L302&lt;&gt;"",P302&lt;&gt;"",IF(L302="Wrong citation",AND(M302&lt;&gt;"",N302&lt;&gt;""),TRUE)),"Complete","Pending"))</f>
        <v/>
      </c>
    </row>
    <row r="303">
      <c r="A303" s="19" t="inlineStr">
        <is>
          <t>M039-Q01</t>
        </is>
      </c>
      <c r="B303" s="19" t="inlineStr">
        <is>
          <t>PROV-M039-004</t>
        </is>
      </c>
      <c r="C303" s="17" t="inlineStr">
        <is>
          <t>Revocation of Irrevocable Deeds of Gift on the Ground of Gross Ingratitude Act No. 5 of 2017</t>
        </is>
      </c>
      <c r="D303" s="17" t="inlineStr">
        <is>
          <t>s.5</t>
        </is>
      </c>
      <c r="E303" s="17" t="inlineStr">
        <is>
          <t>2023-10</t>
        </is>
      </c>
      <c r="F303" s="17" t="inlineStr">
        <is>
          <t>Current on reference date</t>
        </is>
      </c>
      <c r="G303" s="17" t="inlineStr">
        <is>
          <t>Every action filed under the provisions of this Act shall be proceeded with and regulated by the procedure provided for in the Civil Procedure Code (Chapter 101).</t>
        </is>
      </c>
      <c r="H303" s="17" t="inlineStr">
        <is>
          <t>https://documents.gov.lk/view/act/2017/4/05-2017_E.pdf</t>
        </is>
      </c>
      <c r="I303" s="17" t="inlineStr">
        <is>
          <t>Supporting</t>
        </is>
      </c>
      <c r="J303" s="17" t="inlineStr">
        <is>
          <t>Identifies the procedure the revocation action follows. Supporting context for the mode of revocation; it does not affect whether the deed can be revoked.
TEMPORAL: In force from 2017 per the corpus; no amendment events recorded. In force at 2023-10.</t>
        </is>
      </c>
      <c r="K303" s="17" t="inlineStr">
        <is>
          <t>[verified]</t>
        </is>
      </c>
      <c r="L303" s="21" t="n"/>
      <c r="M303" s="21" t="n"/>
      <c r="N303" s="21" t="n"/>
      <c r="O303" s="21" t="n"/>
      <c r="P303" s="21" t="n"/>
      <c r="Q303" s="17">
        <f>IF(OR(A303="",B303=""),"",IF(AND(L303&lt;&gt;"",P303&lt;&gt;"",IF(L303="Wrong citation",AND(M303&lt;&gt;"",N303&lt;&gt;""),TRUE)),"Complete","Pending"))</f>
        <v/>
      </c>
    </row>
    <row r="304">
      <c r="A304" s="19" t="inlineStr">
        <is>
          <t>M039-Q01</t>
        </is>
      </c>
      <c r="B304" s="19" t="inlineStr">
        <is>
          <t>PROV-M039-901</t>
        </is>
      </c>
      <c r="C304" s="17" t="inlineStr">
        <is>
          <t>Revocation of Irrevocable Deeds of Gift on the Ground of Gross Ingratitude Act No. 5 of 2017</t>
        </is>
      </c>
      <c r="D304" s="17" t="inlineStr">
        <is>
          <t>s.6</t>
        </is>
      </c>
      <c r="E304" s="17" t="inlineStr">
        <is>
          <t>2023-10</t>
        </is>
      </c>
      <c r="F304" s="17" t="inlineStr">
        <is>
          <t>Current on reference date</t>
        </is>
      </c>
      <c r="G304" s="17" t="inlineStr">
        <is>
          <t>means the Registrar of Lands appointed under the Registration of Documents Ordinance (Chapter 117) and having jurisdiction over the district in which the land which forms the subject matter of an irrevocable deed of gift which is sought to be revoked is situated</t>
        </is>
      </c>
      <c r="H304" s="17" t="inlineStr">
        <is>
          <t>https://documents.gov.lk/view/act/2017/4/05-2017_E.pdf</t>
        </is>
      </c>
      <c r="I304" s="17" t="inlineStr">
        <is>
          <t>Background</t>
        </is>
      </c>
      <c r="J304" s="17" t="inlineStr">
        <is>
          <t>Added by the verifier. Section 6 is the interpretation section and defines "Registrar of Lands", the term section 4(1) turns on. It is background rather than operative, but it matters because it identifies that officer by the district in which the land is situated, whereas section 4(1)(a) directs the lis pendens application to the Registrar of the district in which the deed is registered. On these facts the land and the registry are both in the Kalutara district, so the two coincide and the answer is unaffected.
TEMPORAL: In force from 2017 per the corpus (in_force_from_year 2017); no amendment events recorded. In force at 2023-10.</t>
        </is>
      </c>
      <c r="K304" s="17" t="inlineStr">
        <is>
          <t>[verified] Excerpt checked verbatim against 5-2017/s6. Note that the corpus body of section 6 has the defined terms stripped out of the running text, so the excerpt begins at "means".</t>
        </is>
      </c>
      <c r="L304" s="21" t="n"/>
      <c r="M304" s="21" t="n"/>
      <c r="N304" s="21" t="n"/>
      <c r="O304" s="21" t="n"/>
      <c r="P304" s="21" t="n"/>
      <c r="Q304" s="17">
        <f>IF(OR(A304="",B304=""),"",IF(AND(L304&lt;&gt;"",P304&lt;&gt;"",IF(L304="Wrong citation",AND(M304&lt;&gt;"",N304&lt;&gt;""),TRUE)),"Complete","Pending"))</f>
        <v/>
      </c>
    </row>
    <row r="305">
      <c r="A305" s="19" t="inlineStr">
        <is>
          <t>M047-Q01</t>
        </is>
      </c>
      <c r="B305" s="19" t="inlineStr">
        <is>
          <t>PROV-M047-001</t>
        </is>
      </c>
      <c r="C305" s="17" t="inlineStr">
        <is>
          <t>Western Province Financial Statute No. 6 of 1990</t>
        </is>
      </c>
      <c r="D305" s="17" t="inlineStr">
        <is>
          <t>s.37</t>
        </is>
      </c>
      <c r="E305" s="17" t="inlineStr">
        <is>
          <t>2022-10</t>
        </is>
      </c>
      <c r="F305" s="17" t="inlineStr">
        <is>
          <t>Current on reference date</t>
        </is>
      </c>
      <c r="G305" s="17" t="inlineStr">
        <is>
          <t>There shall be charged on- (a) every instrument relating to a transfer of situated in the immovable property Western Province;</t>
        </is>
      </c>
      <c r="H305" s="17" t="inlineStr">
        <is>
          <t>http://www.revenuedept.wp.gov.lk/en/wp-content/uploads/2019/12/1990-6.pdf</t>
        </is>
      </c>
      <c r="I305" s="17" t="inlineStr">
        <is>
          <t>Indispensable</t>
        </is>
      </c>
      <c r="J305" s="17" t="inlineStr">
        <is>
          <t>Provincial charging section. A Deed of Gift of a house and land at Maharagama is an instrument relating to a transfer of immovable property situated in the Western Province, so it is chargeable with stamp duty at the prescribed rate. The word order as printed in the corpus is transposed by OCR, but the sense is plain.
TEMPORAL: In force long before the October 2022 matter date; the corpus records no amendment event on this section.</t>
        </is>
      </c>
      <c r="K305" s="17" t="inlineStr">
        <is>
          <t>[verified] Excerpt is verbatim in 6-1990/s37 and the section charges stamp duty at the prescribed rate on every instrument relating to a transfer of immovable property in the Western Province; the corpus text transposes the words 'situated in the immovable property Western Province' as OCR damage, and the reading relied on is the only sensible one.</t>
        </is>
      </c>
      <c r="L305" s="21" t="n"/>
      <c r="M305" s="21" t="n"/>
      <c r="N305" s="21" t="n"/>
      <c r="O305" s="21" t="n"/>
      <c r="P305" s="21" t="n"/>
      <c r="Q305" s="17">
        <f>IF(OR(A305="",B305=""),"",IF(AND(L305&lt;&gt;"",P305&lt;&gt;"",IF(L305="Wrong citation",AND(M305&lt;&gt;"",N305&lt;&gt;""),TRUE)),"Complete","Pending"))</f>
        <v/>
      </c>
    </row>
    <row r="306">
      <c r="A306" s="19" t="inlineStr">
        <is>
          <t>M047-Q01</t>
        </is>
      </c>
      <c r="B306" s="19" t="inlineStr">
        <is>
          <t>PROV-M047-002</t>
        </is>
      </c>
      <c r="C306" s="17" t="inlineStr">
        <is>
          <t>Western Province Financial Statute No. 6 of 1990</t>
        </is>
      </c>
      <c r="D306" s="17" t="inlineStr">
        <is>
          <t>s.106 definition of "Transfer"</t>
        </is>
      </c>
      <c r="E306" s="17" t="inlineStr">
        <is>
          <t>2022-10</t>
        </is>
      </c>
      <c r="F306" s="17" t="inlineStr">
        <is>
          <t>Current on reference date</t>
        </is>
      </c>
      <c r="G306" s="17" t="inlineStr">
        <is>
          <t>means a sale and shall include a gift or exchange or a conveyance, without consideration, by an executor or administrators of an estate of a deceased to a person beneficially entitled to such property</t>
        </is>
      </c>
      <c r="H306" s="17" t="inlineStr">
        <is>
          <t>http://www.revenuedept.wp.gov.lk/en/wp-content/uploads/2019/12/1990-6.pdf</t>
        </is>
      </c>
      <c r="I306" s="17" t="inlineStr">
        <is>
          <t>Indispensable</t>
        </is>
      </c>
      <c r="J306" s="17" t="inlineStr">
        <is>
          <t>The charge in s.37 bites on a transfer. The interpretation section defines Transfer to include a gift, so a Deed of Gift is within the charge even though no money passes. Without this definition the gratuitous deed would not obviously be dutiable.
TEMPORAL: In force long before the October 2022 matter date; the corpus records no amendment event on this section.</t>
        </is>
      </c>
      <c r="K306" s="17" t="inlineStr">
        <is>
          <t>[verified]</t>
        </is>
      </c>
      <c r="L306" s="21" t="n"/>
      <c r="M306" s="21" t="n"/>
      <c r="N306" s="21" t="n"/>
      <c r="O306" s="21" t="n"/>
      <c r="P306" s="21" t="n"/>
      <c r="Q306" s="17">
        <f>IF(OR(A306="",B306=""),"",IF(AND(L306&lt;&gt;"",P306&lt;&gt;"",IF(L306="Wrong citation",AND(M306&lt;&gt;"",N306&lt;&gt;""),TRUE)),"Complete","Pending"))</f>
        <v/>
      </c>
    </row>
    <row r="307">
      <c r="A307" s="19" t="inlineStr">
        <is>
          <t>M047-Q01</t>
        </is>
      </c>
      <c r="B307" s="19" t="inlineStr">
        <is>
          <t>PROV-M047-003</t>
        </is>
      </c>
      <c r="C307" s="17" t="inlineStr">
        <is>
          <t>Western Province Financial Statute No. 6 of 1990</t>
        </is>
      </c>
      <c r="D307" s="17" t="inlineStr">
        <is>
          <t>s.48 (1)</t>
        </is>
      </c>
      <c r="E307" s="17" t="inlineStr">
        <is>
          <t>2022-10</t>
        </is>
      </c>
      <c r="F307" s="17" t="inlineStr">
        <is>
          <t>Current on reference date</t>
        </is>
      </c>
      <c r="G307" s="17" t="inlineStr">
        <is>
          <t>(1) Where any property is conveyed by an instrument, the stamp duty with which such instrument is chargeable shall be calculated on the value of the property conveyed.</t>
        </is>
      </c>
      <c r="H307" s="17" t="inlineStr">
        <is>
          <t>http://www.revenuedept.wp.gov.lk/en/wp-content/uploads/2019/12/1990-6.pdf</t>
        </is>
      </c>
      <c r="I307" s="17" t="inlineStr">
        <is>
          <t>Indispensable</t>
        </is>
      </c>
      <c r="J307" s="17" t="inlineStr">
        <is>
          <t>Fixes the base of the charge: duty is calculated on the value of the property conveyed, not on any consideration recited. This is what makes the value figure entered in the deed the operative amount.
TEMPORAL: In force long before the October 2022 matter date; the corpus records no amendment event on this section.</t>
        </is>
      </c>
      <c r="K307" s="17" t="inlineStr">
        <is>
          <t>[verified]</t>
        </is>
      </c>
      <c r="L307" s="21" t="n"/>
      <c r="M307" s="21" t="n"/>
      <c r="N307" s="21" t="n"/>
      <c r="O307" s="21" t="n"/>
      <c r="P307" s="21" t="n"/>
      <c r="Q307" s="17">
        <f>IF(OR(A307="",B307=""),"",IF(AND(L307&lt;&gt;"",P307&lt;&gt;"",IF(L307="Wrong citation",AND(M307&lt;&gt;"",N307&lt;&gt;""),TRUE)),"Complete","Pending"))</f>
        <v/>
      </c>
    </row>
    <row r="308">
      <c r="A308" s="19" t="inlineStr">
        <is>
          <t>M047-Q01</t>
        </is>
      </c>
      <c r="B308" s="19" t="inlineStr">
        <is>
          <t>PROV-M047-004</t>
        </is>
      </c>
      <c r="C308" s="17" t="inlineStr">
        <is>
          <t>Western Province Financial Statute No. 6 of 1990</t>
        </is>
      </c>
      <c r="D308" s="17" t="inlineStr">
        <is>
          <t>s.106 definition of "value", paragraph (c), first limb</t>
        </is>
      </c>
      <c r="E308" s="17" t="inlineStr">
        <is>
          <t>2022-10</t>
        </is>
      </c>
      <c r="F308" s="17" t="inlineStr">
        <is>
          <t>Current on reference date</t>
        </is>
      </c>
      <c r="G308"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t>
        </is>
      </c>
      <c r="H308" s="17" t="inlineStr">
        <is>
          <t>http://www.revenuedept.wp.gov.lk/en/wp-content/uploads/2019/12/1990-6.pdf</t>
        </is>
      </c>
      <c r="I308" s="17" t="inlineStr">
        <is>
          <t>Indispensable</t>
        </is>
      </c>
      <c r="J308" s="17" t="inlineStr">
        <is>
          <t>Definitive on the first limb of the statutory value of gifted immovable property acquired after 31 March 1977: the open market price at the date the donor acquired it, increased by the cost of improvements made after acquisition. The donor bought in December 1977, so paragraph (c), not paragraph (b), governs.
TEMPORAL: In force long before the October 2022 matter date; the corpus records no amendment event on this section.</t>
        </is>
      </c>
      <c r="K308" s="17" t="inlineStr">
        <is>
          <t>[verified] Verbatim; the corpus text of paragraph (c) has lost the '(i)' marker of the first limb through OCR, and the clean parallel in 43-1982/s71(c)(i) confirms the limb structure.</t>
        </is>
      </c>
      <c r="L308" s="21" t="n"/>
      <c r="M308" s="21" t="n"/>
      <c r="N308" s="21" t="n"/>
      <c r="O308" s="21" t="n"/>
      <c r="P308" s="21" t="n"/>
      <c r="Q308" s="17">
        <f>IF(OR(A308="",B308=""),"",IF(AND(L308&lt;&gt;"",P308&lt;&gt;"",IF(L308="Wrong citation",AND(M308&lt;&gt;"",N308&lt;&gt;""),TRUE)),"Complete","Pending"))</f>
        <v/>
      </c>
    </row>
    <row r="309">
      <c r="A309" s="19" t="inlineStr">
        <is>
          <t>M047-Q01</t>
        </is>
      </c>
      <c r="B309" s="19" t="inlineStr">
        <is>
          <t>PROV-M047-005</t>
        </is>
      </c>
      <c r="C309" s="17" t="inlineStr">
        <is>
          <t>Western Province Financial Statute No. 6 of 1990</t>
        </is>
      </c>
      <c r="D309" s="17" t="inlineStr">
        <is>
          <t>s.106 definition of "value", paragraph (c), second limb and the lower-of rule</t>
        </is>
      </c>
      <c r="E309" s="17" t="inlineStr">
        <is>
          <t>2022-10</t>
        </is>
      </c>
      <c r="F309" s="17" t="inlineStr">
        <is>
          <t>Current on reference date</t>
        </is>
      </c>
      <c r="G309" s="17" t="inlineStr">
        <is>
          <t>or (ii) the price which, in the opinion of the assessor, that property would have: fetched, if sold in the open market on the date of the instrument by which such property was gifted. whichever price is the lower.</t>
        </is>
      </c>
      <c r="H309" s="17" t="inlineStr">
        <is>
          <t>http://www.revenuedept.wp.gov.lk/en/wp-content/uploads/2019/12/1990-6.pdf</t>
        </is>
      </c>
      <c r="I309" s="17" t="inlineStr">
        <is>
          <t>Indispensable</t>
        </is>
      </c>
      <c r="J309" s="17" t="inlineStr">
        <is>
          <t>Supplies the second limb (open market price at the date of the deed) and the decisive instruction that the lower of the two limbs is the statutory value. Without it the present valuation would be assumed to govern.
TEMPORAL: In force long before the October 2022 matter date; the corpus records no amendment event on this section.</t>
        </is>
      </c>
      <c r="K309" s="17" t="inlineStr">
        <is>
          <t>[verified]</t>
        </is>
      </c>
      <c r="L309" s="21" t="n"/>
      <c r="M309" s="21" t="n"/>
      <c r="N309" s="21" t="n"/>
      <c r="O309" s="21" t="n"/>
      <c r="P309" s="21" t="n"/>
      <c r="Q309" s="17">
        <f>IF(OR(A309="",B309=""),"",IF(AND(L309&lt;&gt;"",P309&lt;&gt;"",IF(L309="Wrong citation",AND(M309&lt;&gt;"",N309&lt;&gt;""),TRUE)),"Complete","Pending"))</f>
        <v/>
      </c>
    </row>
    <row r="310">
      <c r="A310" s="19" t="inlineStr">
        <is>
          <t>M047-Q01</t>
        </is>
      </c>
      <c r="B310" s="19" t="inlineStr">
        <is>
          <t>PROV-M047-008</t>
        </is>
      </c>
      <c r="C310" s="17" t="inlineStr">
        <is>
          <t>Western Province Financial Statute No. 6 of 1990</t>
        </is>
      </c>
      <c r="D310" s="17" t="inlineStr">
        <is>
          <t>s.78 (2), read with (1)</t>
        </is>
      </c>
      <c r="E310" s="17" t="inlineStr">
        <is>
          <t>2022-10</t>
        </is>
      </c>
      <c r="F310" s="17" t="inlineStr">
        <is>
          <t>Current on reference date</t>
        </is>
      </c>
      <c r="G310" s="17" t="inlineStr">
        <is>
          <t>(2) Every notary public who attests an instrument of conveyance shall before doing SO take all reasonable steps to satisfy himself that the value on which the stamp duty is paid represents the value of the property conveyed.</t>
        </is>
      </c>
      <c r="H310" s="17" t="inlineStr">
        <is>
          <t>http://www.revenuedept.wp.gov.lk/en/wp-content/uploads/2019/12/1990-6.pdf</t>
        </is>
      </c>
      <c r="I310" s="17" t="inlineStr">
        <is>
          <t>Indispensable</t>
        </is>
      </c>
      <c r="J310" s="17" t="inlineStr">
        <is>
          <t>Directly addresses what the attesting notary must do about the value figure: satisfy himself that the value on which duty is paid represents the value of the property conveyed. Section 78(1) of the same section requires all facts affecting chargeability, and the amount of duty, to be set out in the instrument.
TEMPORAL: In force long before the October 2022 matter date; the corpus records no amendment event on this section.</t>
        </is>
      </c>
      <c r="K310" s="17" t="inlineStr">
        <is>
          <t>[verified]</t>
        </is>
      </c>
      <c r="L310" s="21" t="n"/>
      <c r="M310" s="21" t="n"/>
      <c r="N310" s="21" t="n"/>
      <c r="O310" s="21" t="n"/>
      <c r="P310" s="21" t="n"/>
      <c r="Q310" s="17">
        <f>IF(OR(A310="",B310=""),"",IF(AND(L310&lt;&gt;"",P310&lt;&gt;"",IF(L310="Wrong citation",AND(M310&lt;&gt;"",N310&lt;&gt;""),TRUE)),"Complete","Pending"))</f>
        <v/>
      </c>
    </row>
    <row r="311">
      <c r="A311" s="19" t="inlineStr">
        <is>
          <t>M047-Q01</t>
        </is>
      </c>
      <c r="B311" s="19" t="inlineStr">
        <is>
          <t>PROV-M047-901</t>
        </is>
      </c>
      <c r="C311" s="17" t="inlineStr">
        <is>
          <t>Western Province Financial Statute No. 6 of 1990</t>
        </is>
      </c>
      <c r="D311" s="17" t="inlineStr">
        <is>
          <t>s.106 definition of "conveyance"</t>
        </is>
      </c>
      <c r="E311" s="17" t="inlineStr">
        <is>
          <t>2022-10</t>
        </is>
      </c>
      <c r="F311" s="17" t="inlineStr">
        <is>
          <t>Current on reference date</t>
        </is>
      </c>
      <c r="G311" s="17" t="inlineStr">
        <is>
          <t>includes conveyance on sale and every instrument by which property, or any interest in any property is transferred</t>
        </is>
      </c>
      <c r="H311" s="17" t="inlineStr">
        <is>
          <t>http://www.revenuedept.wp.gov.lk/en/wp-content/uploads/2019/12/1990-6.pdf</t>
        </is>
      </c>
      <c r="I311" s="17" t="inlineStr">
        <is>
          <t>Indispensable</t>
        </is>
      </c>
      <c r="J311" s="17" t="inlineStr">
        <is>
          <t>Added by the verifier. Section 48(1), which fixes the base of the charge, applies where property is 'conveyed by an instrument', while the charging section and the definition relied on by the researcher speak of a 'transfer'. The interpretation section defines conveyance to include every instrument by which property or an interest in property is transferred, which is what brings a Deed of Gift within s.48(1) and lets the statutory value operate as the base. Without it the step from the charge to the valuation rule is unbridged.
TEMPORAL: In force from 1990; the corpus section record shows no amendment event, so on these sources it stood unchanged at the October 2022 matter date.</t>
        </is>
      </c>
      <c r="K311" s="17" t="inlineStr">
        <is>
          <t>[verified] Added by the verifier; excerpt checked verbatim against 6-1990/s106.</t>
        </is>
      </c>
      <c r="L311" s="21" t="n"/>
      <c r="M311" s="21" t="n"/>
      <c r="N311" s="21" t="n"/>
      <c r="O311" s="21" t="n"/>
      <c r="P311" s="21" t="n"/>
      <c r="Q311" s="17">
        <f>IF(OR(A311="",B311=""),"",IF(AND(L311&lt;&gt;"",P311&lt;&gt;"",IF(L311="Wrong citation",AND(M311&lt;&gt;"",N311&lt;&gt;""),TRUE)),"Complete","Pending"))</f>
        <v/>
      </c>
    </row>
    <row r="312">
      <c r="A312" s="19" t="inlineStr">
        <is>
          <t>M047-Q01</t>
        </is>
      </c>
      <c r="B312" s="19" t="inlineStr">
        <is>
          <t>PROV-M047-006</t>
        </is>
      </c>
      <c r="C312" s="17" t="inlineStr">
        <is>
          <t>Stamp Duty Act No. 43 of 1982</t>
        </is>
      </c>
      <c r="D312" s="17" t="inlineStr">
        <is>
          <t>s.71 definition of "value", paragraph (c)</t>
        </is>
      </c>
      <c r="E312" s="17" t="inlineStr">
        <is>
          <t>2022-10</t>
        </is>
      </c>
      <c r="F312" s="17" t="inlineStr">
        <is>
          <t>Current on reference date</t>
        </is>
      </c>
      <c r="G312" s="17" t="inlineStr">
        <is>
          <t>(c) any immovable property which is gifted, being immovable property which was acquired by the donor after March 31, 1977 means- (i) the price which, in the opinion of the Assessor, such property would have fetched if sold in the open market on the date on which such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t>
        </is>
      </c>
      <c r="H312" s="17" t="inlineStr">
        <is>
          <t>https://www.ird.gov.lk/en/Type%20of%20Taxes/Stamp%20Duty_Acts/SDActNo.43%5BE%5D1982.pdf</t>
        </is>
      </c>
      <c r="I312" s="17" t="inlineStr">
        <is>
          <t>Supporting</t>
        </is>
      </c>
      <c r="J312" s="17" t="inlineStr">
        <is>
          <t>The national Act carries the same definition in cleaner text, including the express requirement that the improvements be made before the date of the gift instrument. Cited as the parallel national formulation of the same rule and as a check on the OCR-damaged provincial wording.
TEMPORAL: In force long before the October 2022 matter date; the corpus records no amendment event on this section.</t>
        </is>
      </c>
      <c r="K312" s="17" t="inlineStr">
        <is>
          <t>[verified]</t>
        </is>
      </c>
      <c r="L312" s="21" t="n"/>
      <c r="M312" s="21" t="n"/>
      <c r="N312" s="21" t="n"/>
      <c r="O312" s="21" t="n"/>
      <c r="P312" s="21" t="n"/>
      <c r="Q312" s="17">
        <f>IF(OR(A312="",B312=""),"",IF(AND(L312&lt;&gt;"",P312&lt;&gt;"",IF(L312="Wrong citation",AND(M312&lt;&gt;"",N312&lt;&gt;""),TRUE)),"Complete","Pending"))</f>
        <v/>
      </c>
    </row>
    <row r="313">
      <c r="A313" s="19" t="inlineStr">
        <is>
          <t>M047-Q01</t>
        </is>
      </c>
      <c r="B313" s="19" t="inlineStr">
        <is>
          <t>PROV-M047-007</t>
        </is>
      </c>
      <c r="C313" s="17" t="inlineStr">
        <is>
          <t>Stamp Duty (Special Provisions) Act No. 12 of 2006</t>
        </is>
      </c>
      <c r="D313" s="17" t="inlineStr">
        <is>
          <t>s.13</t>
        </is>
      </c>
      <c r="E313" s="17" t="inlineStr">
        <is>
          <t>2022-10</t>
        </is>
      </c>
      <c r="F313" s="17" t="inlineStr">
        <is>
          <t>Current on reference date</t>
        </is>
      </c>
      <c r="G313"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t>
        </is>
      </c>
      <c r="H313" s="17" t="inlineStr">
        <is>
          <t>https://www.ird.gov.lk/en/Type%20of%20Taxes/Stamp%20Duty_Acts/SDActNo.12%5BE%5D2006ConsolFinal.pdf</t>
        </is>
      </c>
      <c r="I313" s="17" t="inlineStr">
        <is>
          <t>Supporting</t>
        </is>
      </c>
      <c r="J313" s="17" t="inlineStr">
        <is>
          <t>Explains why the 1982 Act still speaks to this instrument: the 2006 Act expressly carves instruments relating to the transfer of immovable property out of the displacement of the 1982 Act, so the older valuation machinery survives for a deed of gift of land.
TEMPORAL: In force from 2006, before the October 2022 matter date.</t>
        </is>
      </c>
      <c r="K313" s="17" t="inlineStr">
        <is>
          <t>[partially_verified] Excerpt is verbatim but the role claimed is overstated: s.13 speaks to the 1982 Act only and displaces it only so far as it is inconsistent with the 2006 Act, so the 1982 valuation rule survives for want of any competing 2006 valuation rule as much as by the parenthetical carve-out, and neither route makes the 1982 Act the charging Act for land in the Western Province.</t>
        </is>
      </c>
      <c r="L313" s="21" t="n"/>
      <c r="M313" s="21" t="n"/>
      <c r="N313" s="21" t="n"/>
      <c r="O313" s="21" t="n"/>
      <c r="P313" s="21" t="n"/>
      <c r="Q313" s="17">
        <f>IF(OR(A313="",B313=""),"",IF(AND(L313&lt;&gt;"",P313&lt;&gt;"",IF(L313="Wrong citation",AND(M313&lt;&gt;"",N313&lt;&gt;""),TRUE)),"Complete","Pending"))</f>
        <v/>
      </c>
    </row>
    <row r="314">
      <c r="A314" s="19" t="inlineStr">
        <is>
          <t>M047-Q01</t>
        </is>
      </c>
      <c r="B314" s="19" t="inlineStr">
        <is>
          <t>PROV-M047-012</t>
        </is>
      </c>
      <c r="C314" s="17" t="inlineStr">
        <is>
          <t>Stamp Duty Act No. 43 of 1982</t>
        </is>
      </c>
      <c r="D314" s="17" t="inlineStr">
        <is>
          <t>s.15 (1)</t>
        </is>
      </c>
      <c r="E314" s="17" t="inlineStr">
        <is>
          <t>2022-10</t>
        </is>
      </c>
      <c r="F314" s="17" t="inlineStr">
        <is>
          <t>Current on reference date</t>
        </is>
      </c>
      <c r="G314" s="17" t="inlineStr">
        <is>
          <t>(1) Where any property is conveyed by an instrument, the stamp duty with which such instrument is chargeable shall be calculated on the value of the property conveyed.</t>
        </is>
      </c>
      <c r="H314" s="17" t="inlineStr">
        <is>
          <t>https://www.ird.gov.lk/en/Type%20of%20Taxes/Stamp%20Duty_Acts/SDActNo.43%5BE%5D1982.pdf</t>
        </is>
      </c>
      <c r="I314" s="17" t="inlineStr">
        <is>
          <t>Supporting</t>
        </is>
      </c>
      <c r="J314" s="17" t="inlineStr">
        <is>
          <t>The national counterpart of the provincial valuation rule. Section 15(3) of the same section adds that a gift subject to a reservation is valued as if made without the reservation, which is why an outright gift and a reserved gift are valued alike.
TEMPORAL: In force long before the October 2022 matter date; the corpus records no amendment event on this section.</t>
        </is>
      </c>
      <c r="K314" s="17" t="inlineStr">
        <is>
          <t>[verified]</t>
        </is>
      </c>
      <c r="L314" s="21" t="n"/>
      <c r="M314" s="21" t="n"/>
      <c r="N314" s="21" t="n"/>
      <c r="O314" s="21" t="n"/>
      <c r="P314" s="21" t="n"/>
      <c r="Q314" s="17">
        <f>IF(OR(A314="",B314=""),"",IF(AND(L314&lt;&gt;"",P314&lt;&gt;"",IF(L314="Wrong citation",AND(M314&lt;&gt;"",N314&lt;&gt;""),TRUE)),"Complete","Pending"))</f>
        <v/>
      </c>
    </row>
    <row r="315">
      <c r="A315" s="19" t="inlineStr">
        <is>
          <t>M047-Q01</t>
        </is>
      </c>
      <c r="B315" s="19" t="inlineStr">
        <is>
          <t>PROV-M047-011</t>
        </is>
      </c>
      <c r="C315" s="17" t="inlineStr">
        <is>
          <t>Western Province Financial Statute No. 6 of 1990</t>
        </is>
      </c>
      <c r="D315" s="17" t="inlineStr">
        <is>
          <t>s.39</t>
        </is>
      </c>
      <c r="E315" s="17" t="inlineStr">
        <is>
          <t>2022-10</t>
        </is>
      </c>
      <c r="F315" s="17" t="inlineStr">
        <is>
          <t>Current on reference date</t>
        </is>
      </c>
      <c r="G315" s="17" t="inlineStr">
        <is>
          <t>The following instruments and documents shall be exempted from the payment of stamp duty:- (1) bail bond in criminal proceedings;</t>
        </is>
      </c>
      <c r="H315" s="17" t="inlineStr">
        <is>
          <t>http://www.revenuedept.wp.gov.lk/en/wp-content/uploads/2019/12/1990-6.pdf</t>
        </is>
      </c>
      <c r="I315" s="17" t="inlineStr">
        <is>
          <t>Background</t>
        </is>
      </c>
      <c r="J315" s="17" t="inlineStr">
        <is>
          <t>The exemption list is closed and contains no exemption for a gift between family members, so the father-to-son character of the deed does not take it out of charge. Relied on negatively.
TEMPORAL: In force long before the October 2022 matter date; the corpus records no amendment event on this section.</t>
        </is>
      </c>
      <c r="K315" s="17" t="inlineStr">
        <is>
          <t>[partially_verified] Excerpt is verbatim but quotes only item (1) of the exemption list, so it does not on its face support the negative proposition; the verifier read the whole of s.39 and confirms it contains no exemption for a gift of land between family members.</t>
        </is>
      </c>
      <c r="L315" s="21" t="n"/>
      <c r="M315" s="21" t="n"/>
      <c r="N315" s="21" t="n"/>
      <c r="O315" s="21" t="n"/>
      <c r="P315" s="21" t="n"/>
      <c r="Q315" s="17">
        <f>IF(OR(A315="",B315=""),"",IF(AND(L315&lt;&gt;"",P315&lt;&gt;"",IF(L315="Wrong citation",AND(M315&lt;&gt;"",N315&lt;&gt;""),TRUE)),"Complete","Pending"))</f>
        <v/>
      </c>
    </row>
    <row r="316">
      <c r="A316" s="19" t="inlineStr">
        <is>
          <t>M049-Q01</t>
        </is>
      </c>
      <c r="B316" s="19" t="inlineStr">
        <is>
          <t>PROV-M049-001</t>
        </is>
      </c>
      <c r="C316" s="17" t="inlineStr">
        <is>
          <t>Prescription Ordinance, No. 22 of 1871</t>
        </is>
      </c>
      <c r="D316" s="17" t="inlineStr">
        <is>
          <t>s.3</t>
        </is>
      </c>
      <c r="E316" s="17" t="inlineStr">
        <is>
          <t>2021-10</t>
        </is>
      </c>
      <c r="F316" s="17" t="inlineStr">
        <is>
          <t>Current on reference date</t>
        </is>
      </c>
      <c r="G316" s="17" t="inlineStr">
        <is>
          <t>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t>
        </is>
      </c>
      <c r="H316" s="17" t="inlineStr">
        <is>
          <t>https://lankalaw.net/wp-content/uploads/2024/03/Legislative-Enactments-Vol-4.pdf</t>
        </is>
      </c>
      <c r="I316" s="17" t="inlineStr">
        <is>
          <t>Indispensable</t>
        </is>
      </c>
      <c r="J316" s="17" t="inlineStr">
        <is>
          <t>This is the only source of prescriptive title to land in the corpus and the provision Nimal would have to invoke: ten years' undisturbed and uninterrupted possession by a title adverse to or independent of the owner's. Its conditions are the ones the facts must meet, and it is the enactment that section 57 of the Registration of Title Act disapplies.
TEMPORAL: In force from 1871; the corpus records no amendment event on section 3. The Prescription (Amendment) Act No. 26 of 2014 in the corpus replaces only section 15 (State and matrimonial causes), not section 3, so this is the text in force at 2021-10.</t>
        </is>
      </c>
      <c r="K316" s="17" t="inlineStr">
        <is>
          <t>[verified]</t>
        </is>
      </c>
      <c r="L316" s="21" t="n"/>
      <c r="M316" s="21" t="n"/>
      <c r="N316" s="21" t="n"/>
      <c r="O316" s="21" t="n"/>
      <c r="P316" s="21" t="n"/>
      <c r="Q316" s="17">
        <f>IF(OR(A316="",B316=""),"",IF(AND(L316&lt;&gt;"",P316&lt;&gt;"",IF(L316="Wrong citation",AND(M316&lt;&gt;"",N316&lt;&gt;""),TRUE)),"Complete","Pending"))</f>
        <v/>
      </c>
    </row>
    <row r="317">
      <c r="A317" s="19" t="inlineStr">
        <is>
          <t>M049-Q01</t>
        </is>
      </c>
      <c r="B317" s="19" t="inlineStr">
        <is>
          <t>PROV-M049-002</t>
        </is>
      </c>
      <c r="C317" s="17" t="inlineStr">
        <is>
          <t>Registration of Title Act, No. 21 of 1998</t>
        </is>
      </c>
      <c r="D317" s="17" t="inlineStr">
        <is>
          <t>s.57</t>
        </is>
      </c>
      <c r="E317" s="17" t="inlineStr">
        <is>
          <t>2021-10</t>
        </is>
      </c>
      <c r="F317" s="17" t="inlineStr">
        <is>
          <t>Current on reference date</t>
        </is>
      </c>
      <c r="G317" s="17" t="inlineStr">
        <is>
          <t>The Prescription Ordinance (Chapter 68) shall not apply to lands or interests in land registered under this Act with a First Class Title of Absolute Ownership or a Second Class Title of Ownership.</t>
        </is>
      </c>
      <c r="H317" s="17" t="inlineStr">
        <is>
          <t>https://www.rgd.gov.lk/web/images/ActsPDF/title/TR-Act-english-1998-no-21.pdf</t>
        </is>
      </c>
      <c r="I317" s="17" t="inlineStr">
        <is>
          <t>Indispensable</t>
        </is>
      </c>
      <c r="J317" s="17" t="inlineStr">
        <is>
          <t>The decisive provision. It removes the Prescription Ordinance altogether from land registered under the Registration of Title Act with either class of title, so no length of adverse possession of such a parcel can generate prescriptive title.
TEMPORAL: In force from 1998; no amendment event recorded in the corpus. The possession relied on runs entirely after the section came into force.</t>
        </is>
      </c>
      <c r="K317" s="17" t="inlineStr">
        <is>
          <t>[verified]</t>
        </is>
      </c>
      <c r="L317" s="21" t="n"/>
      <c r="M317" s="21" t="n"/>
      <c r="N317" s="21" t="n"/>
      <c r="O317" s="21" t="n"/>
      <c r="P317" s="21" t="n"/>
      <c r="Q317" s="17">
        <f>IF(OR(A317="",B317=""),"",IF(AND(L317&lt;&gt;"",P317&lt;&gt;"",IF(L317="Wrong citation",AND(M317&lt;&gt;"",N317&lt;&gt;""),TRUE)),"Complete","Pending"))</f>
        <v/>
      </c>
    </row>
    <row r="318">
      <c r="A318" s="19" t="inlineStr">
        <is>
          <t>M049-Q01</t>
        </is>
      </c>
      <c r="B318" s="19" t="inlineStr">
        <is>
          <t>PROV-M049-003</t>
        </is>
      </c>
      <c r="C318" s="17" t="inlineStr">
        <is>
          <t>Registration of Title Act, No. 21 of 1998</t>
        </is>
      </c>
      <c r="D318" s="17" t="inlineStr">
        <is>
          <t>s.14 (b)</t>
        </is>
      </c>
      <c r="E318" s="17" t="inlineStr">
        <is>
          <t>2021-10</t>
        </is>
      </c>
      <c r="F318" s="17" t="inlineStr">
        <is>
          <t>Current on reference date</t>
        </is>
      </c>
      <c r="G318" s="17" t="inlineStr">
        <is>
          <t>(b) where the Commissioner of Title Settlement is of the view that a claimant does not qualify for a First Class Title of Absolute Ownership but the claimant is in bonafide possession of the land parcel, he may declare the claimant eligible to be registered with a Second Class Title of Ownership</t>
        </is>
      </c>
      <c r="H318" s="17" t="inlineStr">
        <is>
          <t>https://www.rgd.gov.lk/web/images/ActsPDF/title/TR-Act-english-1998-no-21.pdf</t>
        </is>
      </c>
      <c r="I318" s="17" t="inlineStr">
        <is>
          <t>Indispensable</t>
        </is>
      </c>
      <c r="J318" s="17" t="inlineStr">
        <is>
          <t>Section 57 is expressed by reference to the two classes of title, and section 14 is where those classes come from: registration on initial compilation is either with a First Class Title of Absolute Ownership or with a Second Class Title of Ownership. Without it the phrase in section 57 has no content and one cannot show that a parcel registered under the Act falls inside the exclusion.
TEMPORAL: In force from 1998; no amendment event recorded in the corpus.</t>
        </is>
      </c>
      <c r="K318" s="17" t="inlineStr">
        <is>
          <t>[partially_verified] Wording verified verbatim and the section is the right home for the two classes, but the excerpt reproduces only limb (b); the First Class Title of Absolute Ownership on which this matter turns comes from limb (a) of the same section, so the subsection field should read "(a) and (b)" and the excerpt should carry limb (a) as well.</t>
        </is>
      </c>
      <c r="L318" s="21" t="n"/>
      <c r="M318" s="21" t="n"/>
      <c r="N318" s="21" t="n"/>
      <c r="O318" s="21" t="n"/>
      <c r="P318" s="21" t="n"/>
      <c r="Q318" s="17">
        <f>IF(OR(A318="",B318=""),"",IF(AND(L318&lt;&gt;"",P318&lt;&gt;"",IF(L318="Wrong citation",AND(M318&lt;&gt;"",N318&lt;&gt;""),TRUE)),"Complete","Pending"))</f>
        <v/>
      </c>
    </row>
    <row r="319">
      <c r="A319" s="19" t="inlineStr">
        <is>
          <t>M049-Q01</t>
        </is>
      </c>
      <c r="B319" s="19" t="inlineStr">
        <is>
          <t>PROV-M049-004</t>
        </is>
      </c>
      <c r="C319" s="17" t="inlineStr">
        <is>
          <t>Registration of Title Act, No. 21 of 1998</t>
        </is>
      </c>
      <c r="D319" s="17" t="inlineStr">
        <is>
          <t>s.33 (1)</t>
        </is>
      </c>
      <c r="E319" s="17" t="inlineStr">
        <is>
          <t>2021-10</t>
        </is>
      </c>
      <c r="F319" s="17" t="inlineStr">
        <is>
          <t>Current on reference date</t>
        </is>
      </c>
      <c r="G319" s="17" t="inlineStr">
        <is>
          <t>Entries in the Title Register maintained under the provisions of this Act, shall be conclusive evidence of the existence of the ownership or interest specified in such entries and shall not be questioned in a Court of law except as provided for in this Act.</t>
        </is>
      </c>
      <c r="H319" s="17" t="inlineStr">
        <is>
          <t>https://www.rgd.gov.lk/web/images/ActsPDF/title/TR-Act-english-1998-no-21.pdf</t>
        </is>
      </c>
      <c r="I319" s="17" t="inlineStr">
        <is>
          <t>Supporting</t>
        </is>
      </c>
      <c r="J319" s="17" t="inlineStr">
        <is>
          <t>Reinforces the bar: the registered owner's title is conclusive and may not be questioned in court except as the Act itself allows, which forecloses an action asserting a better, unregistered, prescriptive title.
TEMPORAL: In force from 1998; no amendment event recorded in the corpus.</t>
        </is>
      </c>
      <c r="K319" s="17" t="inlineStr">
        <is>
          <t>[verified]</t>
        </is>
      </c>
      <c r="L319" s="21" t="n"/>
      <c r="M319" s="21" t="n"/>
      <c r="N319" s="21" t="n"/>
      <c r="O319" s="21" t="n"/>
      <c r="P319" s="21" t="n"/>
      <c r="Q319" s="17">
        <f>IF(OR(A319="",B319=""),"",IF(AND(L319&lt;&gt;"",P319&lt;&gt;"",IF(L319="Wrong citation",AND(M319&lt;&gt;"",N319&lt;&gt;""),TRUE)),"Complete","Pending"))</f>
        <v/>
      </c>
    </row>
    <row r="320">
      <c r="A320" s="19" t="inlineStr">
        <is>
          <t>M049-Q01</t>
        </is>
      </c>
      <c r="B320" s="19" t="inlineStr">
        <is>
          <t>PROV-M049-005</t>
        </is>
      </c>
      <c r="C320" s="17" t="inlineStr">
        <is>
          <t>Registration of Title Act, No. 21 of 1998</t>
        </is>
      </c>
      <c r="D320" s="17" t="inlineStr">
        <is>
          <t>s.31 (1)</t>
        </is>
      </c>
      <c r="E320" s="17" t="inlineStr">
        <is>
          <t>2021-10</t>
        </is>
      </c>
      <c r="F320" s="17" t="inlineStr">
        <is>
          <t>Current on reference date</t>
        </is>
      </c>
      <c r="G320" s="17" t="inlineStr">
        <is>
          <t>A person registered with a Second Class Title of Ownership or a person claiming title through him shall at the end of a period of ten years from such registration, and if there has been no action under section 29 against such registration during the intervening period, be eligible for the conversion of his registration to one of First Class Title of Absolute Ownership.</t>
        </is>
      </c>
      <c r="H320" s="17" t="inlineStr">
        <is>
          <t>https://www.rgd.gov.lk/web/images/ActsPDF/title/TR-Act-english-1998-no-21.pdf</t>
        </is>
      </c>
      <c r="I320" s="17" t="inlineStr">
        <is>
          <t>Supporting</t>
        </is>
      </c>
      <c r="J320" s="17" t="inlineStr">
        <is>
          <t>Explains the only route under the Act by which ten years of possession improves a person's position, and shows it is not prescription: it is open to a person already registered with a Second Class Title, not to a stranger in possession, and it works by conversion of an existing registration.
TEMPORAL: In force from 1998; no amendment event recorded in the corpus.</t>
        </is>
      </c>
      <c r="K320" s="17" t="inlineStr">
        <is>
          <t>[verified]</t>
        </is>
      </c>
      <c r="L320" s="21" t="n"/>
      <c r="M320" s="21" t="n"/>
      <c r="N320" s="21" t="n"/>
      <c r="O320" s="21" t="n"/>
      <c r="P320" s="21" t="n"/>
      <c r="Q320" s="17">
        <f>IF(OR(A320="",B320=""),"",IF(AND(L320&lt;&gt;"",P320&lt;&gt;"",IF(L320="Wrong citation",AND(M320&lt;&gt;"",N320&lt;&gt;""),TRUE)),"Complete","Pending"))</f>
        <v/>
      </c>
    </row>
    <row r="321">
      <c r="A321" s="19" t="inlineStr">
        <is>
          <t>M049-Q01</t>
        </is>
      </c>
      <c r="B321" s="19" t="inlineStr">
        <is>
          <t>PROV-M049-006</t>
        </is>
      </c>
      <c r="C321" s="17" t="inlineStr">
        <is>
          <t>Registration of Title Act, No. 21 of 1998</t>
        </is>
      </c>
      <c r="D321" s="17" t="inlineStr">
        <is>
          <t>s.38</t>
        </is>
      </c>
      <c r="E321" s="17" t="inlineStr">
        <is>
          <t>2021-10</t>
        </is>
      </c>
      <c r="F321" s="17" t="inlineStr">
        <is>
          <t>Current on reference date</t>
        </is>
      </c>
      <c r="G321" s="17" t="inlineStr">
        <is>
          <t>No person acquiring an interest in any land parcel registered under the provisions of this Act shall be entitled to such title or interest unless such title or interest is registered under the provisions of this Act.</t>
        </is>
      </c>
      <c r="H321" s="17" t="inlineStr">
        <is>
          <t>https://www.rgd.gov.lk/web/images/ActsPDF/title/TR-Act-english-1998-no-21.pdf</t>
        </is>
      </c>
      <c r="I321" s="17" t="inlineStr">
        <is>
          <t>Supporting</t>
        </is>
      </c>
      <c r="J321" s="17" t="inlineStr">
        <is>
          <t>Independently blocks an unregistered claim: even if some interest were said to have accrued to Nimal, he is not entitled to it while it is unregistered, and the Act provides no machinery for registering an interest acquired by adverse possession.
TEMPORAL: In force from 1998; no amendment event recorded in the corpus.</t>
        </is>
      </c>
      <c r="K321" s="17" t="inlineStr">
        <is>
          <t>[verified]</t>
        </is>
      </c>
      <c r="L321" s="21" t="n"/>
      <c r="M321" s="21" t="n"/>
      <c r="N321" s="21" t="n"/>
      <c r="O321" s="21" t="n"/>
      <c r="P321" s="21" t="n"/>
      <c r="Q321" s="17">
        <f>IF(OR(A321="",B321=""),"",IF(AND(L321&lt;&gt;"",P321&lt;&gt;"",IF(L321="Wrong citation",AND(M321&lt;&gt;"",N321&lt;&gt;""),TRUE)),"Complete","Pending"))</f>
        <v/>
      </c>
    </row>
    <row r="322">
      <c r="A322" s="19" t="inlineStr">
        <is>
          <t>M049-Q01</t>
        </is>
      </c>
      <c r="B322" s="19" t="inlineStr">
        <is>
          <t>PROV-M049-007</t>
        </is>
      </c>
      <c r="C322" s="17" t="inlineStr">
        <is>
          <t>Registration of Title Act, No. 21 of 1998</t>
        </is>
      </c>
      <c r="D322" s="17" t="inlineStr">
        <is>
          <t>s.73</t>
        </is>
      </c>
      <c r="E322" s="17" t="inlineStr">
        <is>
          <t>2021-10</t>
        </is>
      </c>
      <c r="F322" s="17" t="inlineStr">
        <is>
          <t>Current on reference date</t>
        </is>
      </c>
      <c r="G322" s="17" t="inlineStr">
        <is>
          <t>The provisions of this Act shall have effect notwithstanding anything to the contrary contained in any other written law</t>
        </is>
      </c>
      <c r="H322" s="17" t="inlineStr">
        <is>
          <t>https://www.rgd.gov.lk/web/images/ActsPDF/title/TR-Act-english-1998-no-21.pdf</t>
        </is>
      </c>
      <c r="I322" s="17" t="inlineStr">
        <is>
          <t>Supporting</t>
        </is>
      </c>
      <c r="J322" s="17" t="inlineStr">
        <is>
          <t>Resolves the conflict of enactments in favour of the Registration of Title Act, so the Prescription Ordinance cannot be read as surviving section 57.
TEMPORAL: In force from 1998; no amendment event recorded in the corpus.</t>
        </is>
      </c>
      <c r="K322" s="17" t="inlineStr">
        <is>
          <t>[verified]</t>
        </is>
      </c>
      <c r="L322" s="21" t="n"/>
      <c r="M322" s="21" t="n"/>
      <c r="N322" s="21" t="n"/>
      <c r="O322" s="21" t="n"/>
      <c r="P322" s="21" t="n"/>
      <c r="Q322" s="17">
        <f>IF(OR(A322="",B322=""),"",IF(AND(L322&lt;&gt;"",P322&lt;&gt;"",IF(L322="Wrong citation",AND(M322&lt;&gt;"",N322&lt;&gt;""),TRUE)),"Complete","Pending"))</f>
        <v/>
      </c>
    </row>
    <row r="323">
      <c r="A323" s="19" t="inlineStr">
        <is>
          <t>M049-Q01</t>
        </is>
      </c>
      <c r="B323" s="19" t="inlineStr">
        <is>
          <t>PROV-M049-008</t>
        </is>
      </c>
      <c r="C323" s="17" t="inlineStr">
        <is>
          <t>Registration of Title Act, No. 21 of 1998</t>
        </is>
      </c>
      <c r="D323" s="17" t="inlineStr">
        <is>
          <t>s.1</t>
        </is>
      </c>
      <c r="E323" s="17" t="inlineStr">
        <is>
          <t>2021-10</t>
        </is>
      </c>
      <c r="F323" s="17" t="inlineStr">
        <is>
          <t>Current on reference date</t>
        </is>
      </c>
      <c r="G323" s="17" t="inlineStr">
        <is>
          <t>shall apply to such Province, Administrative District or Administrative Division as the Minister may from time to time, by Order published in the Gazette, specify as an area to which this Act shall apply.</t>
        </is>
      </c>
      <c r="H323" s="17" t="inlineStr">
        <is>
          <t>https://www.rgd.gov.lk/web/images/ActsPDF/title/TR-Act-english-1998-no-21.pdf</t>
        </is>
      </c>
      <c r="I323" s="17" t="inlineStr">
        <is>
          <t>Background</t>
        </is>
      </c>
      <c r="J323" s="17" t="inlineStr">
        <is>
          <t>Context: the Act, and with it the section 57 exclusion, bites only in areas declared by Order of the Minister. It bounds the answer but adds no condition once the parcel is accepted as registered under the Act.
TEMPORAL: In force from 1998; no amendment event recorded in the corpus. The declaring Orders themselves are not in the corpus.</t>
        </is>
      </c>
      <c r="K323" s="17" t="inlineStr">
        <is>
          <t>[verified]</t>
        </is>
      </c>
      <c r="L323" s="21" t="n"/>
      <c r="M323" s="21" t="n"/>
      <c r="N323" s="21" t="n"/>
      <c r="O323" s="21" t="n"/>
      <c r="P323" s="21" t="n"/>
      <c r="Q323" s="17">
        <f>IF(OR(A323="",B323=""),"",IF(AND(L323&lt;&gt;"",P323&lt;&gt;"",IF(L323="Wrong citation",AND(M323&lt;&gt;"",N323&lt;&gt;""),TRUE)),"Complete","Pending"))</f>
        <v/>
      </c>
    </row>
    <row r="324">
      <c r="A324" s="19" t="inlineStr">
        <is>
          <t>M051-Q01</t>
        </is>
      </c>
      <c r="B324" s="19" t="inlineStr">
        <is>
          <t>PROV-M051-002</t>
        </is>
      </c>
      <c r="C324" s="17" t="inlineStr">
        <is>
          <t>Western Province Financial Statute No. 6 of 1990</t>
        </is>
      </c>
      <c r="D324" s="17" t="inlineStr">
        <is>
          <t>s.48 (1)</t>
        </is>
      </c>
      <c r="E324" s="17" t="inlineStr">
        <is>
          <t>2021-10</t>
        </is>
      </c>
      <c r="F324" s="17" t="inlineStr">
        <is>
          <t>Current on reference date</t>
        </is>
      </c>
      <c r="G324" s="17" t="inlineStr">
        <is>
          <t>(1) Where any property is conveyed by an instrument, the stamp duty with which such instrument is chargeable shall be calculated on the value of the property conveyed.</t>
        </is>
      </c>
      <c r="H324" s="17" t="inlineStr">
        <is>
          <t>http://www.revenuedept.wp.gov.lk/en/wp-content/uploads/2019/12/1990-6.pdf</t>
        </is>
      </c>
      <c r="I324" s="17" t="inlineStr">
        <is>
          <t>Indispensable</t>
        </is>
      </c>
      <c r="J324" s="17" t="inlineStr">
        <is>
          <t>Fixes the base on which duty is calculated: the 'value' of the property conveyed. This is what sends the Assessor to the statutory definition of 'value' rather than to the consideration, the cost of construction or the current market price.
TEMPORAL: In force from 1990; corpus records no later change. In force at 2021-10.</t>
        </is>
      </c>
      <c r="K324" s="17" t="inlineStr">
        <is>
          <t>[verified]</t>
        </is>
      </c>
      <c r="L324" s="21" t="n"/>
      <c r="M324" s="21" t="n"/>
      <c r="N324" s="21" t="n"/>
      <c r="O324" s="21" t="n"/>
      <c r="P324" s="21" t="n"/>
      <c r="Q324" s="17">
        <f>IF(OR(A324="",B324=""),"",IF(AND(L324&lt;&gt;"",P324&lt;&gt;"",IF(L324="Wrong citation",AND(M324&lt;&gt;"",N324&lt;&gt;""),TRUE)),"Complete","Pending"))</f>
        <v/>
      </c>
    </row>
    <row r="325">
      <c r="A325" s="19" t="inlineStr">
        <is>
          <t>M051-Q01</t>
        </is>
      </c>
      <c r="B325" s="19" t="inlineStr">
        <is>
          <t>PROV-M051-003</t>
        </is>
      </c>
      <c r="C325" s="17" t="inlineStr">
        <is>
          <t>Western Province Financial Statute No. 6 of 1990</t>
        </is>
      </c>
      <c r="D325" s="17" t="inlineStr">
        <is>
          <t>s.106 definition of "value", paragraph (c)</t>
        </is>
      </c>
      <c r="E325" s="17" t="inlineStr">
        <is>
          <t>2021-10</t>
        </is>
      </c>
      <c r="F325" s="17" t="inlineStr">
        <is>
          <t>Current on reference date</t>
        </is>
      </c>
      <c r="G325"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t>
        </is>
      </c>
      <c r="H325" s="17" t="inlineStr">
        <is>
          <t>http://www.revenuedept.wp.gov.lk/en/wp-content/uploads/2019/12/1990-6.pdf</t>
        </is>
      </c>
      <c r="I325" s="17" t="inlineStr">
        <is>
          <t>Indispensable</t>
        </is>
      </c>
      <c r="J325" s="17" t="inlineStr">
        <is>
          <t>The operative definition. The donor acquired the Pannipitiya land in January 1978, that is after March 31, 1977, so paragraph (c) governs: the Assessor takes the lower of (i) the open-market price at the date of acquisition plus the cost of improvements made before the gift, and (ii) the open-market price at the date of the Deed of Gift. Paragraphs (a) and (b) are displaced - (a) excludes gifted immovable property, (b) applies only to property acquired on or before March 31, 1977.
TEMPORAL: Interpretation section in force from 1990; corpus records no later change. In force at 2021-10. The March 31, 1977 cut-off inside the definition is a fixed statutory date, not a commencement issue.</t>
        </is>
      </c>
      <c r="K325" s="17" t="inlineStr">
        <is>
          <t>[verified] Checked against 6-1990/s106: the head-word "value" and paragraph (c) are present and the excerpt is verbatim; OCR drops the "(i)" enumerator of the first limb, but the two-limb structure and "whichever price is the lower" are confirmed by the parallel wording of paragraph (b), and the January 1978 acquisition puts this gift in paragraph (c) rather than (b).</t>
        </is>
      </c>
      <c r="L325" s="21" t="n"/>
      <c r="M325" s="21" t="n"/>
      <c r="N325" s="21" t="n"/>
      <c r="O325" s="21" t="n"/>
      <c r="P325" s="21" t="n"/>
      <c r="Q325" s="17">
        <f>IF(OR(A325="",B325=""),"",IF(AND(L325&lt;&gt;"",P325&lt;&gt;"",IF(L325="Wrong citation",AND(M325&lt;&gt;"",N325&lt;&gt;""),TRUE)),"Complete","Pending"))</f>
        <v/>
      </c>
    </row>
    <row r="326">
      <c r="A326" s="19" t="inlineStr">
        <is>
          <t>M051-Q01</t>
        </is>
      </c>
      <c r="B326" s="19" t="inlineStr">
        <is>
          <t>PROV-M051-001</t>
        </is>
      </c>
      <c r="C326" s="17" t="inlineStr">
        <is>
          <t>Western Province Financial Statute No. 6 of 1990</t>
        </is>
      </c>
      <c r="D326" s="17" t="inlineStr">
        <is>
          <t>s.37 (a)</t>
        </is>
      </c>
      <c r="E326" s="17" t="inlineStr">
        <is>
          <t>2021-10</t>
        </is>
      </c>
      <c r="F326" s="17" t="inlineStr">
        <is>
          <t>Current on reference date</t>
        </is>
      </c>
      <c r="G326"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t>
        </is>
      </c>
      <c r="H326" s="17" t="inlineStr">
        <is>
          <t>http://www.revenuedept.wp.gov.lk/en/wp-content/uploads/2019/12/1990-6.pdf</t>
        </is>
      </c>
      <c r="I326" s="17" t="inlineStr">
        <is>
          <t>Supporting</t>
        </is>
      </c>
      <c r="J326" s="17" t="inlineStr">
        <is>
          <t>The charging provision. A Deed of Gift of land at Pannipitiya is an instrument relating to a transfer of immovable property situated in the Western Province, so stamp duty is chargeable on it under the Western Province Financial Statute and is administered by the Provincial Council's revenue officers. It also shows that the rate itself is 'prescribed', not stated in the Statute.
TEMPORAL: In force from 1990; corpus records no later change (latest_change_year null). In force at 2021-10.</t>
        </is>
      </c>
      <c r="K326" s="17" t="inlineStr">
        <is>
          <t>[verified]</t>
        </is>
      </c>
      <c r="L326" s="21" t="n"/>
      <c r="M326" s="21" t="n"/>
      <c r="N326" s="21" t="n"/>
      <c r="O326" s="21" t="n"/>
      <c r="P326" s="21" t="n"/>
      <c r="Q326" s="17">
        <f>IF(OR(A326="",B326=""),"",IF(AND(L326&lt;&gt;"",P326&lt;&gt;"",IF(L326="Wrong citation",AND(M326&lt;&gt;"",N326&lt;&gt;""),TRUE)),"Complete","Pending"))</f>
        <v/>
      </c>
    </row>
    <row r="327">
      <c r="A327" s="19" t="inlineStr">
        <is>
          <t>M051-Q01</t>
        </is>
      </c>
      <c r="B327" s="19" t="inlineStr">
        <is>
          <t>PROV-M051-004</t>
        </is>
      </c>
      <c r="C327" s="17" t="inlineStr">
        <is>
          <t>Western Province Financial Statute No. 6 of 1990</t>
        </is>
      </c>
      <c r="D327" s="17" t="inlineStr">
        <is>
          <t>s.106 definition of "transfer"</t>
        </is>
      </c>
      <c r="E327" s="17" t="inlineStr">
        <is>
          <t>2021-10</t>
        </is>
      </c>
      <c r="F327" s="17" t="inlineStr">
        <is>
          <t>Current on reference date</t>
        </is>
      </c>
      <c r="G327" s="17" t="inlineStr">
        <is>
          <t>means a sale and shall include a gift or exchange or a conveyance, without consideration, by an executor or administrators of an estate of a deceased to a person beneficially entitled to such property</t>
        </is>
      </c>
      <c r="H327" s="17" t="inlineStr">
        <is>
          <t>http://www.revenuedept.wp.gov.lk/en/wp-content/uploads/2019/12/1990-6.pdf</t>
        </is>
      </c>
      <c r="I327" s="17" t="inlineStr">
        <is>
          <t>Supporting</t>
        </is>
      </c>
      <c r="J327" s="17" t="inlineStr">
        <is>
          <t>Brings a Deed of Gift within the word 'transfer' in section 37(a), so the charging provision bites on this instrument even though no consideration passes.
TEMPORAL: In force from 1990; corpus records no later change. In force at 2021-10.</t>
        </is>
      </c>
      <c r="K327" s="17" t="inlineStr">
        <is>
          <t>[verified] Head-word confirmed: the corpus defined_terms index for 6-1990/s106 lists "Transfer", and 6-1990/s37 carries a defines edge to s106, so the researcher's inference from alphabetical position is correct.</t>
        </is>
      </c>
      <c r="L327" s="21" t="n"/>
      <c r="M327" s="21" t="n"/>
      <c r="N327" s="21" t="n"/>
      <c r="O327" s="21" t="n"/>
      <c r="P327" s="21" t="n"/>
      <c r="Q327" s="17">
        <f>IF(OR(A327="",B327=""),"",IF(AND(L327&lt;&gt;"",P327&lt;&gt;"",IF(L327="Wrong citation",AND(M327&lt;&gt;"",N327&lt;&gt;""),TRUE)),"Complete","Pending"))</f>
        <v/>
      </c>
    </row>
    <row r="328">
      <c r="A328" s="19" t="inlineStr">
        <is>
          <t>M051-Q01</t>
        </is>
      </c>
      <c r="B328" s="19" t="inlineStr">
        <is>
          <t>PROV-M051-005</t>
        </is>
      </c>
      <c r="C328" s="17" t="inlineStr">
        <is>
          <t>Western Province Financial Statute No. 6 of 1990</t>
        </is>
      </c>
      <c r="D328" s="17" t="inlineStr">
        <is>
          <t>s.106 definition of "gift"</t>
        </is>
      </c>
      <c r="E328" s="17" t="inlineStr">
        <is>
          <t>2021-10</t>
        </is>
      </c>
      <c r="F328" s="17" t="inlineStr">
        <is>
          <t>Current on reference date</t>
        </is>
      </c>
      <c r="G328" s="17" t="inlineStr">
        <is>
          <t>means a transfer by one person to another ofany movable or immovable property made voluntarily and without consideration in money or money's worth</t>
        </is>
      </c>
      <c r="H328" s="17" t="inlineStr">
        <is>
          <t>http://www.revenuedept.wp.gov.lk/en/wp-content/uploads/2019/12/1990-6.pdf</t>
        </is>
      </c>
      <c r="I328" s="17" t="inlineStr">
        <is>
          <t>Supporting</t>
        </is>
      </c>
      <c r="J328" s="17" t="inlineStr">
        <is>
          <t>Confirms that the intended instrument is a gift for the purposes of the Statute, which is what makes paragraph (c) of the definition of 'value' apply instead of paragraph (a).
TEMPORAL: In force from 1990; corpus records no later change. In force at 2021-10.</t>
        </is>
      </c>
      <c r="K328" s="17" t="inlineStr">
        <is>
          <t>[verified] Head-word confirmed: the corpus defined_terms index for 6-1990/s106 lists "gift", and 6-1990/s48 carries a defines edge to s106 for that term.</t>
        </is>
      </c>
      <c r="L328" s="21" t="n"/>
      <c r="M328" s="21" t="n"/>
      <c r="N328" s="21" t="n"/>
      <c r="O328" s="21" t="n"/>
      <c r="P328" s="21" t="n"/>
      <c r="Q328" s="17">
        <f>IF(OR(A328="",B328=""),"",IF(AND(L328&lt;&gt;"",P328&lt;&gt;"",IF(L328="Wrong citation",AND(M328&lt;&gt;"",N328&lt;&gt;""),TRUE)),"Complete","Pending"))</f>
        <v/>
      </c>
    </row>
    <row r="329">
      <c r="A329" s="19" t="inlineStr">
        <is>
          <t>M051-Q01</t>
        </is>
      </c>
      <c r="B329" s="19" t="inlineStr">
        <is>
          <t>PROV-M051-007</t>
        </is>
      </c>
      <c r="C329" s="17" t="inlineStr">
        <is>
          <t>Western Province Financial Statute No. 6 of 1990</t>
        </is>
      </c>
      <c r="D329" s="17" t="inlineStr">
        <is>
          <t>s.62</t>
        </is>
      </c>
      <c r="E329" s="17" t="inlineStr">
        <is>
          <t>2021-10</t>
        </is>
      </c>
      <c r="F329" s="17" t="inlineStr">
        <is>
          <t>Current on reference date</t>
        </is>
      </c>
      <c r="G329" s="17" t="inlineStr">
        <is>
          <t>brought to an Assessor together with a copy thereof and 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t>
        </is>
      </c>
      <c r="H329" s="17" t="inlineStr">
        <is>
          <t>http://www.revenuedept.wp.gov.lk/en/wp-content/uploads/2019/12/1990-6.pdf</t>
        </is>
      </c>
      <c r="I329" s="17" t="inlineStr">
        <is>
          <t>Supporting</t>
        </is>
      </c>
      <c r="J329" s="17" t="inlineStr">
        <is>
          <t>The procedural route by which an Assessor is asked to value the property and fix the duty on a Deed of Gift (adjudication), and the source of his duty to notify the determination in writing.
TEMPORAL: In force from 1990; corpus records no later change. In force at 2021-10.</t>
        </is>
      </c>
      <c r="K329" s="17" t="inlineStr">
        <is>
          <t>[verified]</t>
        </is>
      </c>
      <c r="L329" s="21" t="n"/>
      <c r="M329" s="21" t="n"/>
      <c r="N329" s="21" t="n"/>
      <c r="O329" s="21" t="n"/>
      <c r="P329" s="21" t="n"/>
      <c r="Q329" s="17">
        <f>IF(OR(A329="",B329=""),"",IF(AND(L329&lt;&gt;"",P329&lt;&gt;"",IF(L329="Wrong citation",AND(M329&lt;&gt;"",N329&lt;&gt;""),TRUE)),"Complete","Pending"))</f>
        <v/>
      </c>
    </row>
    <row r="330">
      <c r="A330" s="19" t="inlineStr">
        <is>
          <t>M051-Q01</t>
        </is>
      </c>
      <c r="B330" s="19" t="inlineStr">
        <is>
          <t>PROV-M051-008</t>
        </is>
      </c>
      <c r="C330" s="17" t="inlineStr">
        <is>
          <t>Western Province Financial Statute No. 6 of 1990</t>
        </is>
      </c>
      <c r="D330" s="17" t="inlineStr">
        <is>
          <t>s.63</t>
        </is>
      </c>
      <c r="E330" s="17" t="inlineStr">
        <is>
          <t>2021-10</t>
        </is>
      </c>
      <c r="F330" s="17" t="inlineStr">
        <is>
          <t>Current on reference date</t>
        </is>
      </c>
      <c r="G330" s="17" t="inlineStr">
        <is>
          <t>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t>
        </is>
      </c>
      <c r="H330" s="17" t="inlineStr">
        <is>
          <t>http://www.revenuedept.wp.gov.lk/en/wp-content/uploads/2019/12/1990-6.pdf</t>
        </is>
      </c>
      <c r="I330" s="17" t="inlineStr">
        <is>
          <t>Supporting</t>
        </is>
      </c>
      <c r="J330" s="17" t="inlineStr">
        <is>
          <t>Supplies the evidential mechanism: the Assessor may call for the 1978 deed of purchase, building plans, contractors' bills and receipts for the Rs.900,000 spent on construction, and any valuation, in order to establish the two competing prices under the definition of 'value'.
TEMPORAL: In force from 1990; corpus records no later change. In force at 2021-10.</t>
        </is>
      </c>
      <c r="K330" s="17" t="inlineStr">
        <is>
          <t>[verified]</t>
        </is>
      </c>
      <c r="L330" s="21" t="n"/>
      <c r="M330" s="21" t="n"/>
      <c r="N330" s="21" t="n"/>
      <c r="O330" s="21" t="n"/>
      <c r="P330" s="21" t="n"/>
      <c r="Q330" s="17">
        <f>IF(OR(A330="",B330=""),"",IF(AND(L330&lt;&gt;"",P330&lt;&gt;"",IF(L330="Wrong citation",AND(M330&lt;&gt;"",N330&lt;&gt;""),TRUE)),"Complete","Pending"))</f>
        <v/>
      </c>
    </row>
    <row r="331">
      <c r="A331" s="19" t="inlineStr">
        <is>
          <t>M051-Q01</t>
        </is>
      </c>
      <c r="B331" s="19" t="inlineStr">
        <is>
          <t>PROV-M051-009</t>
        </is>
      </c>
      <c r="C331" s="17" t="inlineStr">
        <is>
          <t>Western Province Financial Statute No. 6 of 1990</t>
        </is>
      </c>
      <c r="D331" s="17" t="inlineStr">
        <is>
          <t>s.78 (2)</t>
        </is>
      </c>
      <c r="E331" s="17" t="inlineStr">
        <is>
          <t>2021-10</t>
        </is>
      </c>
      <c r="F331" s="17" t="inlineStr">
        <is>
          <t>Current on reference date</t>
        </is>
      </c>
      <c r="G331" s="17" t="inlineStr">
        <is>
          <t>(2) Every notary public who attests an instrument of conveyance shall before doing SO take all reasonable steps to satisfy himself that the value on which the stamp duty is paid represents the value of the property conveyed.</t>
        </is>
      </c>
      <c r="H331" s="17" t="inlineStr">
        <is>
          <t>http://www.revenuedept.wp.gov.lk/en/wp-content/uploads/2019/12/1990-6.pdf</t>
        </is>
      </c>
      <c r="I331" s="17" t="inlineStr">
        <is>
          <t>Supporting</t>
        </is>
      </c>
      <c r="J331" s="17" t="inlineStr">
        <is>
          <t>Shows that the value put before the Assessor is not simply taken on trust: the attesting notary must independently satisfy himself that the value on which duty is paid represents the value of the property conveyed, and section 78(1) requires the facts affecting chargeability to be set out in the instrument.
TEMPORAL: In force from 1990; corpus records no later change. In force at 2021-10.</t>
        </is>
      </c>
      <c r="K331" s="17" t="inlineStr">
        <is>
          <t>[verified]</t>
        </is>
      </c>
      <c r="L331" s="21" t="n"/>
      <c r="M331" s="21" t="n"/>
      <c r="N331" s="21" t="n"/>
      <c r="O331" s="21" t="n"/>
      <c r="P331" s="21" t="n"/>
      <c r="Q331" s="17">
        <f>IF(OR(A331="",B331=""),"",IF(AND(L331&lt;&gt;"",P331&lt;&gt;"",IF(L331="Wrong citation",AND(M331&lt;&gt;"",N331&lt;&gt;""),TRUE)),"Complete","Pending"))</f>
        <v/>
      </c>
    </row>
    <row r="332">
      <c r="A332" s="19" t="inlineStr">
        <is>
          <t>M051-Q01</t>
        </is>
      </c>
      <c r="B332" s="19" t="inlineStr">
        <is>
          <t>PROV-M051-006</t>
        </is>
      </c>
      <c r="C332" s="17" t="inlineStr">
        <is>
          <t>Western Province Financial Statute No. 6 of 1990</t>
        </is>
      </c>
      <c r="D332" s="17" t="inlineStr">
        <is>
          <t>s.106 definition of "Assessor"</t>
        </is>
      </c>
      <c r="E332" s="17" t="inlineStr">
        <is>
          <t>2021-10</t>
        </is>
      </c>
      <c r="F332" s="17" t="inlineStr">
        <is>
          <t>Current on reference date</t>
        </is>
      </c>
      <c r="G332" s="17" t="inlineStr">
        <is>
          <t>Assessor" means a Provincial Assessor of Revenue appointed for the purposes of and includes a Senior Assessor of Revenue appointed for the purposes of this statute</t>
        </is>
      </c>
      <c r="H332" s="17" t="inlineStr">
        <is>
          <t>http://www.revenuedept.wp.gov.lk/en/wp-content/uploads/2019/12/1990-6.pdf</t>
        </is>
      </c>
      <c r="I332" s="17" t="inlineStr">
        <is>
          <t>Background</t>
        </is>
      </c>
      <c r="J332" s="17" t="inlineStr">
        <is>
          <t>Identifies the officer the question calls 'an Assessor attached to the Western Provincial Council': a Provincial Assessor of Revenue appointed under this Statute, whose opinion the definition of 'value' makes decisive.
TEMPORAL: In force from 1990; corpus records no later change. In force at 2021-10.</t>
        </is>
      </c>
      <c r="K332" s="17" t="inlineStr">
        <is>
          <t>[partially_verified] Correction: the head-word was not lost - the body of s106 reads 'Assessor" means a Provincial Assessor of Revenue appointed for the purposes of and includes a Senior Assessor of Revenue appointed for the purposes of this statute'; words are dropped after "for the purposes of", and s106 separately defines "Provincial Assessor" as an Assessor of Revenue appointed for the purposes of this Statute, so the excerpt is sound for background use only.</t>
        </is>
      </c>
      <c r="L332" s="21" t="n"/>
      <c r="M332" s="21" t="n"/>
      <c r="N332" s="21" t="n"/>
      <c r="O332" s="21" t="n"/>
      <c r="P332" s="21" t="n"/>
      <c r="Q332" s="17">
        <f>IF(OR(A332="",B332=""),"",IF(AND(L332&lt;&gt;"",P332&lt;&gt;"",IF(L332="Wrong citation",AND(M332&lt;&gt;"",N332&lt;&gt;""),TRUE)),"Complete","Pending"))</f>
        <v/>
      </c>
    </row>
    <row r="333">
      <c r="A333" s="19" t="inlineStr">
        <is>
          <t>M051-Q01</t>
        </is>
      </c>
      <c r="B333" s="19" t="inlineStr">
        <is>
          <t>PROV-M051-013</t>
        </is>
      </c>
      <c r="C333" s="17" t="inlineStr">
        <is>
          <t>Stamp Duty (Special Provisions) Act No. 12 of 2006</t>
        </is>
      </c>
      <c r="D333" s="17" t="inlineStr">
        <is>
          <t>s.13</t>
        </is>
      </c>
      <c r="E333" s="17" t="inlineStr">
        <is>
          <t>2021-10</t>
        </is>
      </c>
      <c r="F333" s="17" t="inlineStr">
        <is>
          <t>Current on reference date</t>
        </is>
      </c>
      <c r="G333"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t>
        </is>
      </c>
      <c r="H333" s="17" t="inlineStr">
        <is>
          <t>https://www.ird.gov.lk/en/Type%20of%20Taxes/Stamp%20Duty_Acts/SDActNo.12%5BE%5D2006ConsolFinal.pdf</t>
        </is>
      </c>
      <c r="I333" s="17" t="inlineStr">
        <is>
          <t>Background</t>
        </is>
      </c>
      <c r="J333" s="17" t="inlineStr">
        <is>
          <t>Confirms that the national stamp duty regime is not the operative one here: instruments relating to the transfer of immovable property are expressly carved out, and the list of 'specified instruments' in section 4 of that Act does not include a conveyance or gift of land. The Provincial Council Statute therefore governs this Deed of Gift.
TEMPORAL: In force from 2006; corpus records no later change. In force at 2021-10.</t>
        </is>
      </c>
      <c r="K333" s="17" t="inlineStr">
        <is>
          <t>[verified] Confirmed against 12-2006 s3 and s4: duty under that Act is charged only on a "specified instrument", and the s4 list (affidavit, insurance policy, notarial warrant, licence, credit-card claim, share certificate, bond or mortgage, promissory note, lease or hire, receipt or discharge) contains no conveyance or gift of land, which matches the s13 carve-out.</t>
        </is>
      </c>
      <c r="L333" s="21" t="n"/>
      <c r="M333" s="21" t="n"/>
      <c r="N333" s="21" t="n"/>
      <c r="O333" s="21" t="n"/>
      <c r="P333" s="21" t="n"/>
      <c r="Q333" s="17">
        <f>IF(OR(A333="",B333=""),"",IF(AND(L333&lt;&gt;"",P333&lt;&gt;"",IF(L333="Wrong citation",AND(M333&lt;&gt;"",N333&lt;&gt;""),TRUE)),"Complete","Pending"))</f>
        <v/>
      </c>
    </row>
    <row r="334">
      <c r="A334" s="19" t="inlineStr">
        <is>
          <t>M052-Q01</t>
        </is>
      </c>
      <c r="B334" s="19" t="inlineStr">
        <is>
          <t>PROV-M052-001</t>
        </is>
      </c>
      <c r="C334" s="17" t="inlineStr">
        <is>
          <t>Notaries Ordinance No. 1 of 1907</t>
        </is>
      </c>
      <c r="D334" s="17" t="inlineStr">
        <is>
          <t>s.31 rule (17)(a)</t>
        </is>
      </c>
      <c r="E334" s="17" t="inlineStr">
        <is>
          <t>2021-10</t>
        </is>
      </c>
      <c r="F334" s="17" t="inlineStr">
        <is>
          <t>Current on reference date</t>
        </is>
      </c>
      <c r="G334"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34" s="17" t="inlineStr">
        <is>
          <t>https://www.rgd.gov.lk/web/images/ActsPDF/notary/Notaries-English.pdf</t>
        </is>
      </c>
      <c r="I334" s="17" t="inlineStr">
        <is>
          <t>Indispensable</t>
        </is>
      </c>
      <c r="J334" s="17" t="inlineStr">
        <is>
          <t>Imposes the primary duty that generates the document list: before drawing a deed affecting land the notary must search the land registry registers to ascertain the state of the title and whether any prior deed has been registered. The search is performed against the registered folio, so a certified extract of the folio is the first document to be called for.
TEMPORAL: Rule (17)(a) itself was not touched by the Notaries (Amendment) Acts No. 47 of 2011, No. 31 of 2022 or No. 6 of 2024; those Acts amended only paragraph (b) and added paragraphs (c) to (e). The text quoted was in force in October 2021.</t>
        </is>
      </c>
      <c r="K334" s="17" t="inlineStr">
        <is>
          <t>[verified]</t>
        </is>
      </c>
      <c r="L334" s="21" t="n"/>
      <c r="M334" s="21" t="n"/>
      <c r="N334" s="21" t="n"/>
      <c r="O334" s="21" t="n"/>
      <c r="P334" s="21" t="n"/>
      <c r="Q334" s="17">
        <f>IF(OR(A334="",B334=""),"",IF(AND(L334&lt;&gt;"",P334&lt;&gt;"",IF(L334="Wrong citation",AND(M334&lt;&gt;"",N334&lt;&gt;""),TRUE)),"Complete","Pending"))</f>
        <v/>
      </c>
    </row>
    <row r="335">
      <c r="A335" s="19" t="inlineStr">
        <is>
          <t>M052-Q01</t>
        </is>
      </c>
      <c r="B335" s="19" t="inlineStr">
        <is>
          <t>PROV-M052-002</t>
        </is>
      </c>
      <c r="C335" s="17" t="inlineStr">
        <is>
          <t>Notaries Ordinance No. 1 of 1907</t>
        </is>
      </c>
      <c r="D335" s="17" t="inlineStr">
        <is>
          <t>s.31 rule (33)</t>
        </is>
      </c>
      <c r="E335" s="17" t="inlineStr">
        <is>
          <t>2021-10</t>
        </is>
      </c>
      <c r="F335" s="17" t="inlineStr">
        <is>
          <t>Current on reference date</t>
        </is>
      </c>
      <c r="G335"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335" s="17" t="inlineStr">
        <is>
          <t>https://www.rgd.gov.lk/web/images/ActsPDF/notary/Notaries-English.pdf</t>
        </is>
      </c>
      <c r="I335" s="17" t="inlineStr">
        <is>
          <t>Indispensable</t>
        </is>
      </c>
      <c r="J335" s="17" t="inlineStr">
        <is>
          <t>Requires the notary attesting a transfer to use his best endeavours to obtain the title deed of the property. This is the statutory basis for calling for the vendor's original deeds, the chain of title, and not merely copies.
TEMPORAL: Rule (33) was not amended by the 2011, 2022 or 2024 amending Acts; in force in October 2021.</t>
        </is>
      </c>
      <c r="K335" s="17" t="inlineStr">
        <is>
          <t>[verified]</t>
        </is>
      </c>
      <c r="L335" s="21" t="n"/>
      <c r="M335" s="21" t="n"/>
      <c r="N335" s="21" t="n"/>
      <c r="O335" s="21" t="n"/>
      <c r="P335" s="21" t="n"/>
      <c r="Q335" s="17">
        <f>IF(OR(A335="",B335=""),"",IF(AND(L335&lt;&gt;"",P335&lt;&gt;"",IF(L335="Wrong citation",AND(M335&lt;&gt;"",N335&lt;&gt;""),TRUE)),"Complete","Pending"))</f>
        <v/>
      </c>
    </row>
    <row r="336">
      <c r="A336" s="19" t="inlineStr">
        <is>
          <t>M052-Q01</t>
        </is>
      </c>
      <c r="B336" s="19" t="inlineStr">
        <is>
          <t>PROV-M052-004</t>
        </is>
      </c>
      <c r="C336" s="17" t="inlineStr">
        <is>
          <t>Registration of Documents Ordinance No. 23 of 1927</t>
        </is>
      </c>
      <c r="D336" s="17" t="inlineStr">
        <is>
          <t>s.7 (1)</t>
        </is>
      </c>
      <c r="E336" s="17" t="inlineStr">
        <is>
          <t>2021-10</t>
        </is>
      </c>
      <c r="F336" s="17" t="inlineStr">
        <is>
          <t>Current on reference date</t>
        </is>
      </c>
      <c r="G336" s="17" t="inlineStr">
        <is>
          <t>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336" s="17" t="inlineStr">
        <is>
          <t>https://lankalaw.net/wp-content/uploads/2025/03/Registration-of-Documents-Consolidated-2024.pdf</t>
        </is>
      </c>
      <c r="I336" s="17" t="inlineStr">
        <is>
          <t>Indispensable</t>
        </is>
      </c>
      <c r="J336" s="17" t="inlineStr">
        <is>
          <t>Explains why the registry folio, and not the vendor's bundle of deeds alone, is decisive: an unregistered instrument is void against a later instrument taken for valuable consideration and duly registered. The purchaser's protection depends on what the folio shows, so a certified folio extract must be called for and read.
TEMPORAL: Not amended; in force since 1927.</t>
        </is>
      </c>
      <c r="K336" s="17" t="inlineStr">
        <is>
          <t>[verified]</t>
        </is>
      </c>
      <c r="L336" s="21" t="n"/>
      <c r="M336" s="21" t="n"/>
      <c r="N336" s="21" t="n"/>
      <c r="O336" s="21" t="n"/>
      <c r="P336" s="21" t="n"/>
      <c r="Q336" s="17">
        <f>IF(OR(A336="",B336=""),"",IF(AND(L336&lt;&gt;"",P336&lt;&gt;"",IF(L336="Wrong citation",AND(M336&lt;&gt;"",N336&lt;&gt;""),TRUE)),"Complete","Pending"))</f>
        <v/>
      </c>
    </row>
    <row r="337">
      <c r="A337" s="19" t="inlineStr">
        <is>
          <t>M052-Q01</t>
        </is>
      </c>
      <c r="B337" s="19" t="inlineStr">
        <is>
          <t>PROV-M052-005</t>
        </is>
      </c>
      <c r="C337" s="17" t="inlineStr">
        <is>
          <t>Registration of Documents Ordinance No. 23 of 1927</t>
        </is>
      </c>
      <c r="D337" s="17" t="inlineStr">
        <is>
          <t>s.42</t>
        </is>
      </c>
      <c r="E337" s="17" t="inlineStr">
        <is>
          <t>2021-10</t>
        </is>
      </c>
      <c r="F337" s="17" t="inlineStr">
        <is>
          <t>Current on reference date</t>
        </is>
      </c>
      <c r="G337" s="17" t="inlineStr">
        <is>
          <t>Subject to the prescribed regulations,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337" s="17" t="inlineStr">
        <is>
          <t>https://lankalaw.net/wp-content/uploads/2025/03/Registration-of-Documents-Consolidated-2024.pdf</t>
        </is>
      </c>
      <c r="I337" s="17" t="inlineStr">
        <is>
          <t>Indispensable</t>
        </is>
      </c>
      <c r="J337" s="17" t="inlineStr">
        <is>
          <t>Provides the statutory means by which the document is obtained: the registry books, duplicates and indexes may be searched by a person interested or his attorney-at-law, and certified copies of or extracts from them may be obtained. This is the authority for calling for a certified extract of the folio and certified copies of registered instruments.
TEMPORAL: Not amended; in force since 1927.</t>
        </is>
      </c>
      <c r="K337" s="17" t="inlineStr">
        <is>
          <t>[verified]</t>
        </is>
      </c>
      <c r="L337" s="21" t="n"/>
      <c r="M337" s="21" t="n"/>
      <c r="N337" s="21" t="n"/>
      <c r="O337" s="21" t="n"/>
      <c r="P337" s="21" t="n"/>
      <c r="Q337" s="17">
        <f>IF(OR(A337="",B337=""),"",IF(AND(L337&lt;&gt;"",P337&lt;&gt;"",IF(L337="Wrong citation",AND(M337&lt;&gt;"",N337&lt;&gt;""),TRUE)),"Complete","Pending"))</f>
        <v/>
      </c>
    </row>
    <row r="338">
      <c r="A338" s="19" t="inlineStr">
        <is>
          <t>M052-Q01</t>
        </is>
      </c>
      <c r="B338" s="19" t="inlineStr">
        <is>
          <t>PROV-M052-008</t>
        </is>
      </c>
      <c r="C338" s="17" t="inlineStr">
        <is>
          <t>Tea and Rubber Estates (Control of Fragmentation) Act No. 2 of 1958</t>
        </is>
      </c>
      <c r="D338" s="17" t="inlineStr">
        <is>
          <t>s.3 (1)</t>
        </is>
      </c>
      <c r="E338" s="17" t="inlineStr">
        <is>
          <t>2021-10</t>
        </is>
      </c>
      <c r="F338" s="17" t="inlineStr">
        <is>
          <t>Current on reference date</t>
        </is>
      </c>
      <c r="G338"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t>
        </is>
      </c>
      <c r="H338" s="17" t="inlineStr">
        <is>
          <t>https://plantation.gov.lk/images/content_image/downloads/pdf/act/1958_act_no_02_en.pdf</t>
        </is>
      </c>
      <c r="I338" s="17" t="inlineStr">
        <is>
          <t>Indispensable</t>
        </is>
      </c>
      <c r="J338" s="17" t="inlineStr">
        <is>
          <t>A transfer of ownership of a rubber estate is null and void without a previously obtained certificate of consent of the Board. If the property falls within the Act, the Board's certificate of consent is a document that must be called for before the transfer is drawn.
TEMPORAL: Section 3 has not been amended; in force since 1958.</t>
        </is>
      </c>
      <c r="K338" s="17" t="inlineStr">
        <is>
          <t>[verified]</t>
        </is>
      </c>
      <c r="L338" s="21" t="n"/>
      <c r="M338" s="21" t="n"/>
      <c r="N338" s="21" t="n"/>
      <c r="O338" s="21" t="n"/>
      <c r="P338" s="21" t="n"/>
      <c r="Q338" s="17">
        <f>IF(OR(A338="",B338=""),"",IF(AND(L338&lt;&gt;"",P338&lt;&gt;"",IF(L338="Wrong citation",AND(M338&lt;&gt;"",N338&lt;&gt;""),TRUE)),"Complete","Pending"))</f>
        <v/>
      </c>
    </row>
    <row r="339">
      <c r="A339" s="19" t="inlineStr">
        <is>
          <t>M052-Q01</t>
        </is>
      </c>
      <c r="B339" s="19" t="inlineStr">
        <is>
          <t>PROV-M052-010</t>
        </is>
      </c>
      <c r="C339" s="17" t="inlineStr">
        <is>
          <t>Tea and Rubber Estates (Control of Fragmentation) Act No. 2 of 1958</t>
        </is>
      </c>
      <c r="D339" s="17" t="inlineStr">
        <is>
          <t>s.25 definition of rubber estate</t>
        </is>
      </c>
      <c r="E339" s="17" t="inlineStr">
        <is>
          <t>2021-10</t>
        </is>
      </c>
      <c r="F339" s="17" t="inlineStr">
        <is>
          <t>Current on reference date</t>
        </is>
      </c>
      <c r="G339" s="17" t="inlineStr">
        <is>
          <t>means a rubber estate of not less than one hundred acres in extent which, under the Rubber Control Act is or is deemed to be an estate registered under that Act</t>
        </is>
      </c>
      <c r="H339" s="17" t="inlineStr">
        <is>
          <t>https://plantation.gov.lk/images/content_image/downloads/pdf/act/1958_act_no_02_en.pdf</t>
        </is>
      </c>
      <c r="I339" s="17" t="inlineStr">
        <is>
          <t>Indispensable</t>
        </is>
      </c>
      <c r="J339" s="17" t="inlineStr">
        <is>
          <t>Defines the term on which the consent requirement turns: for the purposes of the Act a rubber estate is one of not less than one hundred acres which is or is deemed to be registered under the Rubber Control Act. The notary must call for proof of extent and of registration status to decide whether a certificate of consent is needed at all.
TEMPORAL: The definition section was amended by Act No. 20 of 2005, before the matter date. The corpus text of section 25 runs the defined terms together without their headwords; the quoted words are the definition of rubber estate and the verifier should confirm this against the printed Act.</t>
        </is>
      </c>
      <c r="K339" s="17" t="inlineStr">
        <is>
          <t>[verified] Definition-to-term pairing confirmed: the corpus defined_terms list for 2-1958/s25 runs coconut estate, local authority, partition action, rubber estate, tea estate, the Board, transfer of ownership in the same order as the run-together definitions in the body, so the quoted words are the definition of rubber estate.</t>
        </is>
      </c>
      <c r="L339" s="21" t="n"/>
      <c r="M339" s="21" t="n"/>
      <c r="N339" s="21" t="n"/>
      <c r="O339" s="21" t="n"/>
      <c r="P339" s="21" t="n"/>
      <c r="Q339" s="17">
        <f>IF(OR(A339="",B339=""),"",IF(AND(L339&lt;&gt;"",P339&lt;&gt;"",IF(L339="Wrong citation",AND(M339&lt;&gt;"",N339&lt;&gt;""),TRUE)),"Complete","Pending"))</f>
        <v/>
      </c>
    </row>
    <row r="340">
      <c r="A340" s="19" t="inlineStr">
        <is>
          <t>M052-Q01</t>
        </is>
      </c>
      <c r="B340" s="19" t="inlineStr">
        <is>
          <t>PROV-M052-011</t>
        </is>
      </c>
      <c r="C340" s="17" t="inlineStr">
        <is>
          <t>Land (Restrictions on Alienation) Act No. 38 of 2014</t>
        </is>
      </c>
      <c r="D340" s="17" t="inlineStr">
        <is>
          <t>s.2 (1)</t>
        </is>
      </c>
      <c r="E340" s="17" t="inlineStr">
        <is>
          <t>2021-10</t>
        </is>
      </c>
      <c r="F340" s="17" t="inlineStr">
        <is>
          <t>Current on reference date</t>
        </is>
      </c>
      <c r="G340"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340" s="17" t="inlineStr">
        <is>
          <t>https://www.rgd.gov.lk/web/images/ActsPDF/notary/2014-38E.pdf</t>
        </is>
      </c>
      <c r="I340" s="17" t="inlineStr">
        <is>
          <t>Indispensable</t>
        </is>
      </c>
      <c r="J340" s="17" t="inlineStr">
        <is>
          <t>Prohibits the transfer of title of land to a company incorporated in Sri Lanka where direct or indirect foreign shareholding is fifty per cent or above. Because the purchaser is a private limited company, the notary must call for documents establishing the company's shareholding before the transfer can proceed.
TEMPORAL: Subsection (1) was not altered by the amending Acts No. 3 of 2017 or No. 21 of 2018; in force since 2014.</t>
        </is>
      </c>
      <c r="K340" s="17" t="inlineStr">
        <is>
          <t>[verified]</t>
        </is>
      </c>
      <c r="L340" s="21" t="n"/>
      <c r="M340" s="21" t="n"/>
      <c r="N340" s="21" t="n"/>
      <c r="O340" s="21" t="n"/>
      <c r="P340" s="21" t="n"/>
      <c r="Q340" s="17">
        <f>IF(OR(A340="",B340=""),"",IF(AND(L340&lt;&gt;"",P340&lt;&gt;"",IF(L340="Wrong citation",AND(M340&lt;&gt;"",N340&lt;&gt;""),TRUE)),"Complete","Pending"))</f>
        <v/>
      </c>
    </row>
    <row r="341">
      <c r="A341" s="19" t="inlineStr">
        <is>
          <t>M052-Q01</t>
        </is>
      </c>
      <c r="B341" s="19" t="inlineStr">
        <is>
          <t>PROV-M052-012</t>
        </is>
      </c>
      <c r="C341" s="17" t="inlineStr">
        <is>
          <t>Land (Restrictions on Alienation) Act No. 38 of 2014</t>
        </is>
      </c>
      <c r="D341" s="17" t="inlineStr">
        <is>
          <t>s.4 (3)</t>
        </is>
      </c>
      <c r="E341" s="17" t="inlineStr">
        <is>
          <t>2021-10</t>
        </is>
      </c>
      <c r="F341" s="17" t="inlineStr">
        <is>
          <t>Current on reference date</t>
        </is>
      </c>
      <c r="G341"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t>
        </is>
      </c>
      <c r="H341" s="17" t="inlineStr">
        <is>
          <t>https://www.rgd.gov.lk/web/images/ActsPDF/notary/2014-38E.pdf</t>
        </is>
      </c>
      <c r="I341" s="17" t="inlineStr">
        <is>
          <t>Indispensable</t>
        </is>
      </c>
      <c r="J341" s="17" t="inlineStr">
        <is>
          <t>Names the document itself: where the transferee is a Sri Lankan company with less than fifty per cent foreign shareholding, the Registrar of Lands must require the company secretary to submit documentary proof of that fact. The notary must call for the secretary's certificate and the supporting share records in advance, or registration will be refused.
TEMPORAL: Not amended; in force since 2014.</t>
        </is>
      </c>
      <c r="K341" s="17" t="inlineStr">
        <is>
          <t>[verified]</t>
        </is>
      </c>
      <c r="L341" s="21" t="n"/>
      <c r="M341" s="21" t="n"/>
      <c r="N341" s="21" t="n"/>
      <c r="O341" s="21" t="n"/>
      <c r="P341" s="21" t="n"/>
      <c r="Q341" s="17">
        <f>IF(OR(A341="",B341=""),"",IF(AND(L341&lt;&gt;"",P341&lt;&gt;"",IF(L341="Wrong citation",AND(M341&lt;&gt;"",N341&lt;&gt;""),TRUE)),"Complete","Pending"))</f>
        <v/>
      </c>
    </row>
    <row r="342">
      <c r="A342" s="19" t="inlineStr">
        <is>
          <t>M052-Q01</t>
        </is>
      </c>
      <c r="B342" s="19" t="inlineStr">
        <is>
          <t>PROV-M052-003</t>
        </is>
      </c>
      <c r="C342" s="17" t="inlineStr">
        <is>
          <t>Notaries Ordinance No. 1 of 1907</t>
        </is>
      </c>
      <c r="D342" s="17" t="inlineStr">
        <is>
          <t>s.31 rule (16)(a)</t>
        </is>
      </c>
      <c r="E342" s="17" t="inlineStr">
        <is>
          <t>2021-10</t>
        </is>
      </c>
      <c r="F342" s="17" t="inlineStr">
        <is>
          <t>Current on reference date</t>
        </is>
      </c>
      <c r="G342"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t>
        </is>
      </c>
      <c r="H342" s="17" t="inlineStr">
        <is>
          <t>https://www.rgd.gov.lk/web/images/ActsPDF/notary/Notaries-English.pdf</t>
        </is>
      </c>
      <c r="I342" s="17" t="inlineStr">
        <is>
          <t>Supporting</t>
        </is>
      </c>
      <c r="J342" s="17" t="inlineStr">
        <is>
          <t>Requires an accurate and clear description of the land showing boundaries, extent and situation, either in the deed or in an annexed schedule. To satisfy this for a twenty-acre estate the notary must call for the survey plan and the schedules of the prior deeds so that the description can be checked against them.
TEMPORAL: The Notaries (Amendment) Act, No. 31 of 2022, s.16(9)(a) substituted only the closing words of paragraph (a), adding condominium wording, after the matter date. The boundaries, extent and situation requirement quoted here pre-dates October 2021, but because the paragraph was substituted in 2022 it is treated as supporting rather than indispensable.</t>
        </is>
      </c>
      <c r="K342" s="17" t="inlineStr">
        <is>
          <t>[partially_verified] Wording is verbatim but the corpus holds only the text of rule (16)(a) as consolidated to 2024 and paragraph (a) was substituted by Act No. 31 of 2022, so the exact October 2021 wording of the quoted requirement cannot be read off this corpus; sound as supporting authority only, as the researcher treated it.</t>
        </is>
      </c>
      <c r="L342" s="21" t="n"/>
      <c r="M342" s="21" t="n"/>
      <c r="N342" s="21" t="n"/>
      <c r="O342" s="21" t="n"/>
      <c r="P342" s="21" t="n"/>
      <c r="Q342" s="17">
        <f>IF(OR(A342="",B342=""),"",IF(AND(L342&lt;&gt;"",P342&lt;&gt;"",IF(L342="Wrong citation",AND(M342&lt;&gt;"",N342&lt;&gt;""),TRUE)),"Complete","Pending"))</f>
        <v/>
      </c>
    </row>
    <row r="343">
      <c r="A343" s="19" t="inlineStr">
        <is>
          <t>M052-Q01</t>
        </is>
      </c>
      <c r="B343" s="19" t="inlineStr">
        <is>
          <t>PROV-M052-006</t>
        </is>
      </c>
      <c r="C343" s="17" t="inlineStr">
        <is>
          <t>Registration of Documents Ordinance No. 23 of 1927</t>
        </is>
      </c>
      <c r="D343" s="17" t="inlineStr">
        <is>
          <t>s.13 (1)</t>
        </is>
      </c>
      <c r="E343" s="17" t="inlineStr">
        <is>
          <t>2021-10</t>
        </is>
      </c>
      <c r="F343" s="17" t="inlineStr">
        <is>
          <t>Current on reference date</t>
        </is>
      </c>
      <c r="G343" s="17" t="inlineStr">
        <is>
          <t>Every instrument (except a will) presented for registration shall contain embodied therein, or in a schedule annexed thereto, an accurate and clear description of the land affected thereby, its boundaries, extent, and situation specifying the district and the village, pattu, korale, or other division of the district in which the land is situated</t>
        </is>
      </c>
      <c r="H343" s="17" t="inlineStr">
        <is>
          <t>https://lankalaw.net/wp-content/uploads/2025/03/Registration-of-Documents-Consolidated-2024.pdf</t>
        </is>
      </c>
      <c r="I343" s="17" t="inlineStr">
        <is>
          <t>Supporting</t>
        </is>
      </c>
      <c r="J343" s="17" t="inlineStr">
        <is>
          <t>Every registrable instrument must describe the land by boundaries, extent and situation. The description in the prior registered deeds is the reference point against which the survey plan and the vendor's description of the estate must be compared.
TEMPORAL: Amended by Law No. 50 of 1982, well before the matter date.</t>
        </is>
      </c>
      <c r="K343" s="17" t="inlineStr">
        <is>
          <t>[verified]</t>
        </is>
      </c>
      <c r="L343" s="21" t="n"/>
      <c r="M343" s="21" t="n"/>
      <c r="N343" s="21" t="n"/>
      <c r="O343" s="21" t="n"/>
      <c r="P343" s="21" t="n"/>
      <c r="Q343" s="17">
        <f>IF(OR(A343="",B343=""),"",IF(AND(L343&lt;&gt;"",P343&lt;&gt;"",IF(L343="Wrong citation",AND(M343&lt;&gt;"",N343&lt;&gt;""),TRUE)),"Complete","Pending"))</f>
        <v/>
      </c>
    </row>
    <row r="344">
      <c r="A344" s="19" t="inlineStr">
        <is>
          <t>M052-Q01</t>
        </is>
      </c>
      <c r="B344" s="19" t="inlineStr">
        <is>
          <t>PROV-M052-007</t>
        </is>
      </c>
      <c r="C344" s="17" t="inlineStr">
        <is>
          <t>Prevention of Frauds Ordinance No. 7 of 1840</t>
        </is>
      </c>
      <c r="D344" s="17" t="inlineStr">
        <is>
          <t>s.2 (1)</t>
        </is>
      </c>
      <c r="E344" s="17" t="inlineStr">
        <is>
          <t>2021-10</t>
        </is>
      </c>
      <c r="F344" s="17" t="inlineStr">
        <is>
          <t>Current on reference date</t>
        </is>
      </c>
      <c r="G344"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344" s="17" t="inlineStr">
        <is>
          <t>https://lankalaw.net/wp-content/uploads/2025/03/Prevention-of-Frauds-Consolidated-2024.pdf</t>
        </is>
      </c>
      <c r="I344" s="17" t="inlineStr">
        <is>
          <t>Supporting</t>
        </is>
      </c>
      <c r="J344" s="17" t="inlineStr">
        <is>
          <t>No sale, transfer or mortgage of immovable property is of any force unless made by a writing executed before and attested by a notary. Only notarially executed deeds can be accepted as documents of title, which is why the notary calls for the notarial deeds themselves rather than agreements, receipts or unattested writings.
TEMPORAL: The corpus text is section 2 as substituted by the Prevention of Frauds (Amendment) Acts No. 30 of 2022 and No. 4 of 2024, both later than the matter date. The requirement of notarial execution and attestation for dispositions of land has been in force since 1840, but because the quoted wording post-dates October 2021 this provision is treated as supporting only.</t>
        </is>
      </c>
      <c r="K344" s="17" t="inlineStr">
        <is>
          <t>[partially_verified] The excerpt is verbatim but is the text of section 2 as substituted by Acts No. 30 of 2022 and No. 4 of 2024, so applicable_to_matter_date should read false on the wording even though the requirement of notarial execution itself long pre-dates the matter; correctly confined to a supporting role.</t>
        </is>
      </c>
      <c r="L344" s="21" t="n"/>
      <c r="M344" s="21" t="n"/>
      <c r="N344" s="21" t="n"/>
      <c r="O344" s="21" t="n"/>
      <c r="P344" s="21" t="n"/>
      <c r="Q344" s="17">
        <f>IF(OR(A344="",B344=""),"",IF(AND(L344&lt;&gt;"",P344&lt;&gt;"",IF(L344="Wrong citation",AND(M344&lt;&gt;"",N344&lt;&gt;""),TRUE)),"Complete","Pending"))</f>
        <v/>
      </c>
    </row>
    <row r="345">
      <c r="A345" s="19" t="inlineStr">
        <is>
          <t>M052-Q01</t>
        </is>
      </c>
      <c r="B345" s="19" t="inlineStr">
        <is>
          <t>PROV-M052-009</t>
        </is>
      </c>
      <c r="C345" s="17" t="inlineStr">
        <is>
          <t>Tea and Rubber Estates (Control of Fragmentation) Act No. 2 of 1958</t>
        </is>
      </c>
      <c r="D345" s="17" t="inlineStr">
        <is>
          <t>s.3 (4)</t>
        </is>
      </c>
      <c r="E345" s="17" t="inlineStr">
        <is>
          <t>2021-10</t>
        </is>
      </c>
      <c r="F345" s="17" t="inlineStr">
        <is>
          <t>Current on reference date</t>
        </is>
      </c>
      <c r="G345" s="17" t="inlineStr">
        <is>
          <t>Where a certificate of consent to the transfer of ownership of a tea or rubber estate is issued by the Board, such certificate shall be attached to the deed by which such transfer is effected, and the notary attesting such deed shall in his attestation state that such certificate has been issued in respect of such transfer and specify the number, if any, and the date of issue of such certificate.</t>
        </is>
      </c>
      <c r="H345" s="17" t="inlineStr">
        <is>
          <t>https://plantation.gov.lk/images/content_image/downloads/pdf/act/1958_act_no_02_en.pdf</t>
        </is>
      </c>
      <c r="I345" s="17" t="inlineStr">
        <is>
          <t>Supporting</t>
        </is>
      </c>
      <c r="J345" s="17" t="inlineStr">
        <is>
          <t>Shows the form the requirement takes in practice: the certificate of consent must be attached to the deed and its number and date recited in the attestation. It confirms that the certificate is a document the notary physically calls for and keeps with the deed.
TEMPORAL: Not amended; in force since 1958.</t>
        </is>
      </c>
      <c r="K345" s="17" t="inlineStr">
        <is>
          <t>[verified]</t>
        </is>
      </c>
      <c r="L345" s="21" t="n"/>
      <c r="M345" s="21" t="n"/>
      <c r="N345" s="21" t="n"/>
      <c r="O345" s="21" t="n"/>
      <c r="P345" s="21" t="n"/>
      <c r="Q345" s="17">
        <f>IF(OR(A345="",B345=""),"",IF(AND(L345&lt;&gt;"",P345&lt;&gt;"",IF(L345="Wrong citation",AND(M345&lt;&gt;"",N345&lt;&gt;""),TRUE)),"Complete","Pending"))</f>
        <v/>
      </c>
    </row>
    <row r="346">
      <c r="A346" s="19" t="inlineStr">
        <is>
          <t>M052-Q01</t>
        </is>
      </c>
      <c r="B346" s="19" t="inlineStr">
        <is>
          <t>PROV-M052-013</t>
        </is>
      </c>
      <c r="C346" s="17" t="inlineStr">
        <is>
          <t>Land (Restrictions on Alienation) Act No. 38 of 2014</t>
        </is>
      </c>
      <c r="D346" s="17" t="inlineStr">
        <is>
          <t>s.25 definitions of foreigner and foreign company</t>
        </is>
      </c>
      <c r="E346" s="17" t="inlineStr">
        <is>
          <t>2021-10</t>
        </is>
      </c>
      <c r="F346" s="17" t="inlineStr">
        <is>
          <t>Current on reference date</t>
        </is>
      </c>
      <c r="G346" s="17" t="inlineStr">
        <is>
          <t>means a person who is not a citizen of Sri Lanka; means a company or a body of persons incorporated under the laws of any country other than Sri Lanka;</t>
        </is>
      </c>
      <c r="H346" s="17" t="inlineStr">
        <is>
          <t>https://www.rgd.gov.lk/web/images/ActsPDF/notary/2014-38E.pdf</t>
        </is>
      </c>
      <c r="I346" s="17" t="inlineStr">
        <is>
          <t>Supporting</t>
        </is>
      </c>
      <c r="J346" s="17" t="inlineStr">
        <is>
          <t>Defines foreigner and foreign company, the terms by which the shareholding of the purchaser company is measured.
TEMPORAL: In force since 2014. The corpus text of section 25 runs the defined terms together without their headwords; the verifier should confirm the pairing of definition to term against the printed Act.</t>
        </is>
      </c>
      <c r="K346" s="17" t="inlineStr">
        <is>
          <t>[verified] Pairing confirmed the same way: the defined_terms order for 38-2014/s25 places foreigner and foreign company exactly where the two quoted definitions fall in the body.</t>
        </is>
      </c>
      <c r="L346" s="21" t="n"/>
      <c r="M346" s="21" t="n"/>
      <c r="N346" s="21" t="n"/>
      <c r="O346" s="21" t="n"/>
      <c r="P346" s="21" t="n"/>
      <c r="Q346" s="17">
        <f>IF(OR(A346="",B346=""),"",IF(AND(L346&lt;&gt;"",P346&lt;&gt;"",IF(L346="Wrong citation",AND(M346&lt;&gt;"",N346&lt;&gt;""),TRUE)),"Complete","Pending"))</f>
        <v/>
      </c>
    </row>
    <row r="347">
      <c r="A347" s="19" t="inlineStr">
        <is>
          <t>M052-Q01</t>
        </is>
      </c>
      <c r="B347" s="19" t="inlineStr">
        <is>
          <t>PROV-M052-014</t>
        </is>
      </c>
      <c r="C347" s="17" t="inlineStr">
        <is>
          <t>Companies Act No. 7 of 2007</t>
        </is>
      </c>
      <c r="D347" s="17" t="inlineStr">
        <is>
          <t>s.120 (1)</t>
        </is>
      </c>
      <c r="E347" s="17" t="inlineStr">
        <is>
          <t>2021-10</t>
        </is>
      </c>
      <c r="F347" s="17" t="inlineStr">
        <is>
          <t>Current on reference date</t>
        </is>
      </c>
      <c r="G347" s="17" t="inlineStr">
        <is>
          <t>A company shall keep the following records available for inspection in the manner described in section 121 by any person who serves written notice of such intention to inspect on the company,:- (a) the certificate of incorporation of the company; (b) the articles of the company, if they are not the model articles; (c) the share register; (d) the register of directors and secretaries; (e) particulars of the registered office of the company; (f) copies of the instruments creating or evidencing charges and the register of charges kept under sections 109 and 110.</t>
        </is>
      </c>
      <c r="H347" s="17" t="inlineStr">
        <is>
          <t>https://www.drc.gov.lk/en/wp-content/uploads/2018/04/Act-7-of-2007-English.pdf</t>
        </is>
      </c>
      <c r="I347" s="17" t="inlineStr">
        <is>
          <t>Supporting</t>
        </is>
      </c>
      <c r="J347" s="17" t="inlineStr">
        <is>
          <t>Identifies the corporate records that can be called for and inspected: the certificate of incorporation, the articles, the share register, the register of directors and secretaries and the register of charges. These are the documents from which the purchaser's capacity, its authorised signatories and its shareholding are established.
TEMPORAL: In force since 2007; not affected by the Companies (Amendment) Act, No. 13 of 2019.</t>
        </is>
      </c>
      <c r="K347" s="17" t="inlineStr">
        <is>
          <t>[verified]</t>
        </is>
      </c>
      <c r="L347" s="21" t="n"/>
      <c r="M347" s="21" t="n"/>
      <c r="N347" s="21" t="n"/>
      <c r="O347" s="21" t="n"/>
      <c r="P347" s="21" t="n"/>
      <c r="Q347" s="17">
        <f>IF(OR(A347="",B347=""),"",IF(AND(L347&lt;&gt;"",P347&lt;&gt;"",IF(L347="Wrong citation",AND(M347&lt;&gt;"",N347&lt;&gt;""),TRUE)),"Complete","Pending"))</f>
        <v/>
      </c>
    </row>
    <row r="348">
      <c r="A348" s="19" t="inlineStr">
        <is>
          <t>M052-Q01</t>
        </is>
      </c>
      <c r="B348" s="19" t="inlineStr">
        <is>
          <t>PROV-M052-015</t>
        </is>
      </c>
      <c r="C348" s="17" t="inlineStr">
        <is>
          <t>Land Reform Law No. 1 of 1972</t>
        </is>
      </c>
      <c r="D348" s="17" t="inlineStr">
        <is>
          <t>s.3 (1)</t>
        </is>
      </c>
      <c r="E348" s="17" t="inlineStr">
        <is>
          <t>2021-10</t>
        </is>
      </c>
      <c r="F348" s="17" t="inlineStr">
        <is>
          <t>Current on reference date</t>
        </is>
      </c>
      <c r="G348" s="17" t="inlineStr">
        <is>
          <t>the maximum extent of agricultural land which may be owned by any person, in this Law referred to as the " ceiling ", shall (a) if such land consists exclusively of paddy land, be twenty-five acres; or (b) if such land does not consist exclusively of paddy land, be fifty acres, so however that the total extent of any paddy land, if any, comprised in such fifty acres shall not exceed the ceiling on paddy land specified in paragraph (a).</t>
        </is>
      </c>
      <c r="H348" s="17" t="inlineStr">
        <is>
          <t>https://lankalaw.net/wp-content/uploads/2024/03/Legislative-Enactments-Vol-3.pdf</t>
        </is>
      </c>
      <c r="I348" s="17" t="inlineStr">
        <is>
          <t>Supporting</t>
        </is>
      </c>
      <c r="J348" s="17" t="inlineStr">
        <is>
          <t>Fixes the ceiling on agricultural land at fifty acres where the land is not exclusively paddy. The notary must know the total agricultural landholding of the vendor and, after the transfer, of the purchaser's shareholders, so a declaration of agricultural landholdings is called for.
TEMPORAL: Amended by Law No. 39 of 1981, before the matter date.</t>
        </is>
      </c>
      <c r="K348" s="17" t="inlineStr">
        <is>
          <t>[partially_verified] Section 3(2) vests only land held in excess of the ceiling at the commencement of the Law; what makes the ceiling bite on a 2021 acquisition is section 5(1), which the map omitted and which is added as PROV-M052-902.</t>
        </is>
      </c>
      <c r="L348" s="21" t="n"/>
      <c r="M348" s="21" t="n"/>
      <c r="N348" s="21" t="n"/>
      <c r="O348" s="21" t="n"/>
      <c r="P348" s="21" t="n"/>
      <c r="Q348" s="17">
        <f>IF(OR(A348="",B348=""),"",IF(AND(L348&lt;&gt;"",P348&lt;&gt;"",IF(L348="Wrong citation",AND(M348&lt;&gt;"",N348&lt;&gt;""),TRUE)),"Complete","Pending"))</f>
        <v/>
      </c>
    </row>
    <row r="349">
      <c r="A349" s="19" t="inlineStr">
        <is>
          <t>M052-Q01</t>
        </is>
      </c>
      <c r="B349" s="19" t="inlineStr">
        <is>
          <t>PROV-M052-016</t>
        </is>
      </c>
      <c r="C349" s="17" t="inlineStr">
        <is>
          <t>Land Reform Law No. 1 of 1972</t>
        </is>
      </c>
      <c r="D349" s="17" t="inlineStr">
        <is>
          <t>s.8</t>
        </is>
      </c>
      <c r="E349" s="17" t="inlineStr">
        <is>
          <t>2021-10</t>
        </is>
      </c>
      <c r="F349" s="17" t="inlineStr">
        <is>
          <t>Current on reference date</t>
        </is>
      </c>
      <c r="G349" s="17" t="inlineStr">
        <is>
          <t>For the purposes of this Law, where any agricultural land is owned by a private company or co-operative society, the shareholders of such company, or society, as the case may be, shall be deemed to own such land for the purposes of section 3, in proportion to the shares held by each shareholder of such company, or society, as the case may be.</t>
        </is>
      </c>
      <c r="H349" s="17" t="inlineStr">
        <is>
          <t>https://lankalaw.net/wp-content/uploads/2024/03/Legislative-Enactments-Vol-3.pdf</t>
        </is>
      </c>
      <c r="I349" s="17" t="inlineStr">
        <is>
          <t>Supporting</t>
        </is>
      </c>
      <c r="J349" s="17" t="inlineStr">
        <is>
          <t>Where agricultural land is owned by a private company, the shareholders are deemed to own it in proportion to their shares for ceiling purposes. This is why the shareholding of the purchaser company, and not only its corporate identity, has to be documented.
TEMPORAL: Not amended; in force since 1972.</t>
        </is>
      </c>
      <c r="K349" s="17" t="inlineStr">
        <is>
          <t>[verified]</t>
        </is>
      </c>
      <c r="L349" s="21" t="n"/>
      <c r="M349" s="21" t="n"/>
      <c r="N349" s="21" t="n"/>
      <c r="O349" s="21" t="n"/>
      <c r="P349" s="21" t="n"/>
      <c r="Q349" s="17">
        <f>IF(OR(A349="",B349=""),"",IF(AND(L349&lt;&gt;"",P349&lt;&gt;"",IF(L349="Wrong citation",AND(M349&lt;&gt;"",N349&lt;&gt;""),TRUE)),"Complete","Pending"))</f>
        <v/>
      </c>
    </row>
    <row r="350">
      <c r="A350" s="19" t="inlineStr">
        <is>
          <t>M052-Q01</t>
        </is>
      </c>
      <c r="B350" s="19" t="inlineStr">
        <is>
          <t>PROV-M052-017</t>
        </is>
      </c>
      <c r="C350" s="17" t="inlineStr">
        <is>
          <t>Stamp Duty Act No. 43 of 1982</t>
        </is>
      </c>
      <c r="D350" s="17" t="inlineStr">
        <is>
          <t>s.33 (1)</t>
        </is>
      </c>
      <c r="E350" s="17" t="inlineStr">
        <is>
          <t>2021-10</t>
        </is>
      </c>
      <c r="F350" s="17" t="inlineStr">
        <is>
          <t>Current on reference date</t>
        </is>
      </c>
      <c r="G350" s="17" t="inlineStr">
        <is>
          <t>No instrument chargeable with stamp duty shall be received or admitted in evidence by any person having by law or consent of parties authority to receive evidence or registered or authenticated or acted upon by any person or by any officer in a public office or corporation or bank or approved credit agency unless such instrument is duly stamped.</t>
        </is>
      </c>
      <c r="H350" s="17" t="inlineStr">
        <is>
          <t>https://www.ird.gov.lk/en/Type%20of%20Taxes/Stamp%20Duty_Acts/SDActNo.43%5BE%5D1982.pdf</t>
        </is>
      </c>
      <c r="I350" s="17" t="inlineStr">
        <is>
          <t>Supporting</t>
        </is>
      </c>
      <c r="J350" s="17" t="inlineStr">
        <is>
          <t>An instrument chargeable with stamp duty cannot be registered, authenticated or acted upon unless duly stamped. Proof that stamp duty was paid on the deeds in the chain is among the documents called for.
TEMPORAL: Not amended; in force since 1982.</t>
        </is>
      </c>
      <c r="K350" s="17" t="inlineStr">
        <is>
          <t>[verified] Checked against the Stamp Duty (Special Provisions) Act: section 13 of Act No. 12 of 2006 expressly carves out instruments relating to the transfer of immovable property, so section 33 of Act No. 43 of 1982 was still operative for this transaction in October 2021.</t>
        </is>
      </c>
      <c r="L350" s="21" t="n"/>
      <c r="M350" s="21" t="n"/>
      <c r="N350" s="21" t="n"/>
      <c r="O350" s="21" t="n"/>
      <c r="P350" s="21" t="n"/>
      <c r="Q350" s="17">
        <f>IF(OR(A350="",B350=""),"",IF(AND(L350&lt;&gt;"",P350&lt;&gt;"",IF(L350="Wrong citation",AND(M350&lt;&gt;"",N350&lt;&gt;""),TRUE)),"Complete","Pending"))</f>
        <v/>
      </c>
    </row>
    <row r="351">
      <c r="A351" s="19" t="inlineStr">
        <is>
          <t>M052-Q01</t>
        </is>
      </c>
      <c r="B351" s="19" t="inlineStr">
        <is>
          <t>PROV-M052-018</t>
        </is>
      </c>
      <c r="C351" s="17" t="inlineStr">
        <is>
          <t>Prescription Ordinance No. 22 of 1871</t>
        </is>
      </c>
      <c r="D351" s="17" t="inlineStr">
        <is>
          <t>s.3</t>
        </is>
      </c>
      <c r="E351" s="17" t="inlineStr">
        <is>
          <t>2021-10</t>
        </is>
      </c>
      <c r="F351" s="17" t="inlineStr">
        <is>
          <t>Current on reference date</t>
        </is>
      </c>
      <c r="G351" s="17" t="inlineStr">
        <is>
          <t>of lands or immovable property, 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t>
        </is>
      </c>
      <c r="H351" s="17" t="inlineStr">
        <is>
          <t>https://lankalaw.net/wp-content/uploads/2024/03/Legislative-Enactments-Vol-4.pdf</t>
        </is>
      </c>
      <c r="I351" s="17" t="inlineStr">
        <is>
          <t>Supporting</t>
        </is>
      </c>
      <c r="J351" s="17" t="inlineStr">
        <is>
          <t>Ten years of undisturbed and uninterrupted adverse possession gives a good title against the paper owner. Documents alone therefore do not settle title: evidence of who has possessed the land, and of any adverse occupation, must also be called for.
TEMPORAL: The Prescription (Amendment) Act, No. 26 of 2014 did not alter the ten-year period in section 3; in force at the matter date.</t>
        </is>
      </c>
      <c r="K351" s="17" t="inlineStr">
        <is>
          <t>[verified]</t>
        </is>
      </c>
      <c r="L351" s="21" t="n"/>
      <c r="M351" s="21" t="n"/>
      <c r="N351" s="21" t="n"/>
      <c r="O351" s="21" t="n"/>
      <c r="P351" s="21" t="n"/>
      <c r="Q351" s="17">
        <f>IF(OR(A351="",B351=""),"",IF(AND(L351&lt;&gt;"",P351&lt;&gt;"",IF(L351="Wrong citation",AND(M351&lt;&gt;"",N351&lt;&gt;""),TRUE)),"Complete","Pending"))</f>
        <v/>
      </c>
    </row>
    <row r="352">
      <c r="A352" s="19" t="inlineStr">
        <is>
          <t>M052-Q01</t>
        </is>
      </c>
      <c r="B352" s="19" t="inlineStr">
        <is>
          <t>PROV-M052-901</t>
        </is>
      </c>
      <c r="C352" s="17" t="inlineStr">
        <is>
          <t>Notaries Ordinance No. 1 of 1907</t>
        </is>
      </c>
      <c r="D352" s="17" t="inlineStr">
        <is>
          <t>s.31(proviso to rule (17))</t>
        </is>
      </c>
      <c r="E352" s="17" t="inlineStr">
        <is>
          <t>2021-10</t>
        </is>
      </c>
      <c r="F352" s="17" t="inlineStr">
        <is>
          <t>Current on reference date</t>
        </is>
      </c>
      <c r="G352"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352" s="17" t="inlineStr">
        <is>
          <t>https://www.rgd.gov.lk/web/images/ActsPDF/notary/Notaries-English.pdf</t>
        </is>
      </c>
      <c r="I352" s="17" t="inlineStr">
        <is>
          <t>Supporting</t>
        </is>
      </c>
      <c r="J352" s="17" t="inlineStr">
        <is>
          <t>Added by the verifier. The search duty in rule (17)(a) on which the whole document list rests is not absolute: the parties may authorise the notary in writing to dispense with the search, in which case the notary must still write the reference to the previous registration at the head of the deed before it is tendered for registration. A statement of the search duty without this proviso overstates the rule.
TEMPORAL: The proviso closes rule (17) in the corpus text of section 31 consolidated to 2024. The corpus amendment_events for section 31 record the 2022 and 2024 changes against the surrounding rules and paragraphs, not against this proviso, which is long-standing and was in force in October 2021.</t>
        </is>
      </c>
      <c r="K352" s="17" t="inlineStr">
        <is>
          <t>[verified] Excerpt checked verbatim against 1-1907/s31; added because the map cited rule (17)(a) without its qualifying proviso.</t>
        </is>
      </c>
      <c r="L352" s="21" t="n"/>
      <c r="M352" s="21" t="n"/>
      <c r="N352" s="21" t="n"/>
      <c r="O352" s="21" t="n"/>
      <c r="P352" s="21" t="n"/>
      <c r="Q352" s="17">
        <f>IF(OR(A352="",B352=""),"",IF(AND(L352&lt;&gt;"",P352&lt;&gt;"",IF(L352="Wrong citation",AND(M352&lt;&gt;"",N352&lt;&gt;""),TRUE)),"Complete","Pending"))</f>
        <v/>
      </c>
    </row>
    <row r="353">
      <c r="A353" s="19" t="inlineStr">
        <is>
          <t>M052-Q01</t>
        </is>
      </c>
      <c r="B353" s="19" t="inlineStr">
        <is>
          <t>PROV-M052-902</t>
        </is>
      </c>
      <c r="C353" s="17" t="inlineStr">
        <is>
          <t>Land Reform Law No. 1 of 1972</t>
        </is>
      </c>
      <c r="D353" s="17" t="inlineStr">
        <is>
          <t>s.5 (1)</t>
        </is>
      </c>
      <c r="E353" s="17" t="inlineStr">
        <is>
          <t>2021-10</t>
        </is>
      </c>
      <c r="F353" s="17" t="inlineStr">
        <is>
          <t>Current on reference date</t>
        </is>
      </c>
      <c r="G353"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353" s="17" t="inlineStr">
        <is>
          <t>https://lankalaw.net/wp-content/uploads/2024/03/Legislative-Enactments-Vol-3.pdf</t>
        </is>
      </c>
      <c r="I353" s="17" t="inlineStr">
        <is>
          <t>Supporting</t>
        </is>
      </c>
      <c r="J353" s="17" t="inlineStr">
        <is>
          <t>Added by the verifier. Section 3(2) vests only the excess held at the commencement of the Law in 1972; section 5(1) is what makes the fifty-acre ceiling operate against a person who becomes an owner afterwards. It is the provision that makes a declaration of the agricultural landholdings of the vendor and of the purchaser shareholders worth calling for in a 2021 purchase; without it the Land Reform Law limb of the answer does not connect to the facts.
TEMPORAL: The corpus records amendments to section 5 by Law No. 39 of 1981 s.3 and Act No. 14 of 1986 s.2, both well before the matter reference date of October 2021; subsection (2), which the quoted text does not rely on, carries the later wording.</t>
        </is>
      </c>
      <c r="K353" s="17" t="inlineStr">
        <is>
          <t>[verified] Excerpt checked verbatim against 1-1972/s5; added to close the gap between the ceiling in section 3 and a post-1972 acquisition.</t>
        </is>
      </c>
      <c r="L353" s="21" t="n"/>
      <c r="M353" s="21" t="n"/>
      <c r="N353" s="21" t="n"/>
      <c r="O353" s="21" t="n"/>
      <c r="P353" s="21" t="n"/>
      <c r="Q353" s="17">
        <f>IF(OR(A353="",B353=""),"",IF(AND(L353&lt;&gt;"",P353&lt;&gt;"",IF(L353="Wrong citation",AND(M353&lt;&gt;"",N353&lt;&gt;""),TRUE)),"Complete","Pending"))</f>
        <v/>
      </c>
    </row>
    <row r="354">
      <c r="A354" s="19" t="inlineStr">
        <is>
          <t>M052-Q01</t>
        </is>
      </c>
      <c r="B354" s="19" t="inlineStr">
        <is>
          <t>PROV-M052-019</t>
        </is>
      </c>
      <c r="C354" s="17" t="inlineStr">
        <is>
          <t>Notaries Ordinance No. 1 of 1907</t>
        </is>
      </c>
      <c r="D354" s="17" t="inlineStr">
        <is>
          <t>s.31 rule (17)(b)(i)</t>
        </is>
      </c>
      <c r="E354" s="17" t="inlineStr">
        <is>
          <t>2021-10</t>
        </is>
      </c>
      <c r="F354" s="17" t="inlineStr">
        <is>
          <t>Unclear</t>
        </is>
      </c>
      <c r="G354"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54" s="17" t="inlineStr">
        <is>
          <t>https://www.rgd.gov.lk/web/images/ActsPDF/notary/Notaries-English.pdf</t>
        </is>
      </c>
      <c r="I354" s="17" t="inlineStr">
        <is>
          <t>Background</t>
        </is>
      </c>
      <c r="J354" s="17" t="inlineStr">
        <is>
          <t>Recorded for the verifier as a temporal trap, not as authority. It expressly requires the notary to obtain a certified extract of the folio showing ownership and registered encumbrances, but it was inserted after the matter date and cannot be relied on for an October 2021 answer.
TEMPORAL: Inserted by the Notaries (Amendment) Act, No. 31 of 2022, s.16(10)(a) and further amended by Act No. 6 of 2024, both after the matter reference date of October 2021. Not available as authority at the matter date; the same practice is supported at the matter date by rule (17)(a) and by section 42 of the Registration of Documents Ordinance.</t>
        </is>
      </c>
      <c r="K354" s="17" t="inlineStr">
        <is>
          <t>[verified] Temporal trap correctly recorded: the corpus amendment_events for 1-1907/s31 confirm insertions by Act No. 31 of 2022 and Act No. 6 of 2024, both after the matter date.</t>
        </is>
      </c>
      <c r="L354" s="21" t="n"/>
      <c r="M354" s="21" t="n"/>
      <c r="N354" s="21" t="n"/>
      <c r="O354" s="21" t="n"/>
      <c r="P354" s="21" t="n"/>
      <c r="Q354" s="17">
        <f>IF(OR(A354="",B354=""),"",IF(AND(L354&lt;&gt;"",P354&lt;&gt;"",IF(L354="Wrong citation",AND(M354&lt;&gt;"",N354&lt;&gt;""),TRUE)),"Complete","Pending"))</f>
        <v/>
      </c>
    </row>
    <row r="355">
      <c r="A355" s="19" t="inlineStr">
        <is>
          <t>M052-Q01</t>
        </is>
      </c>
      <c r="B355" s="19" t="inlineStr">
        <is>
          <t>PROV-M052-020</t>
        </is>
      </c>
      <c r="C355" s="17" t="inlineStr">
        <is>
          <t>Powers of Attorney Ordinance No. 4 of 1902</t>
        </is>
      </c>
      <c r="D355" s="17" t="inlineStr">
        <is>
          <t>s.3 (1)(a)</t>
        </is>
      </c>
      <c r="E355" s="17" t="inlineStr">
        <is>
          <t>2021-10</t>
        </is>
      </c>
      <c r="F355" s="17" t="inlineStr">
        <is>
          <t>Unclear</t>
        </is>
      </c>
      <c r="G355" s="17" t="inlineStr">
        <is>
          <t>Every power of attorney executed in Sri Lanka or any other country shall be registered with the Registrar General.</t>
        </is>
      </c>
      <c r="H355" s="17" t="inlineStr">
        <is>
          <t>https://www.rgd.gov.lk/web/images/ActsPDF/notary/powers-of-Attorney-English.pdf</t>
        </is>
      </c>
      <c r="I355" s="17" t="inlineStr">
        <is>
          <t>Background</t>
        </is>
      </c>
      <c r="J355" s="17" t="inlineStr">
        <is>
          <t>Recorded for the verifier as a temporal trap. If a deed in the chain was executed by an attorney, the power of attorney is a document to be called for, but the compulsory registration wording quoted here post-dates the matter.
TEMPORAL: Section 3 was repealed and substituted by the Powers of Attorney (Amendment) Act, No. 28 of 2022, after the matter reference date. The corpus does not carry the pre-2022 text of section 3, so the position in October 2021 cannot be established from this corpus.</t>
        </is>
      </c>
      <c r="K355" s="17" t="inlineStr">
        <is>
          <t>[partially_verified] Correctly excluded on temporal grounds, but rule (30) of section 31 of the Notaries Ordinance (preserve a true copy of the power of attorney with the protocol and forward a copy to the Registrar of Lands) supplies at-matter-date authority for calling for a power of attorney, so the point is not wholly unsupported.</t>
        </is>
      </c>
      <c r="L355" s="21" t="n"/>
      <c r="M355" s="21" t="n"/>
      <c r="N355" s="21" t="n"/>
      <c r="O355" s="21" t="n"/>
      <c r="P355" s="21" t="n"/>
      <c r="Q355" s="17">
        <f>IF(OR(A355="",B355=""),"",IF(AND(L355&lt;&gt;"",P355&lt;&gt;"",IF(L355="Wrong citation",AND(M355&lt;&gt;"",N355&lt;&gt;""),TRUE)),"Complete","Pending"))</f>
        <v/>
      </c>
    </row>
    <row r="356">
      <c r="A356" s="19" t="inlineStr">
        <is>
          <t>M055-Q01</t>
        </is>
      </c>
      <c r="B356" s="19" t="inlineStr">
        <is>
          <t>PROV-M055-001</t>
        </is>
      </c>
      <c r="C356" s="17" t="inlineStr">
        <is>
          <t>Registration of Title Act, No. 21 of 1998</t>
        </is>
      </c>
      <c r="D356" s="17" t="inlineStr">
        <is>
          <t>s.39</t>
        </is>
      </c>
      <c r="E356" s="17" t="inlineStr">
        <is>
          <t>2021-10</t>
        </is>
      </c>
      <c r="F356" s="17" t="inlineStr">
        <is>
          <t>Current on reference date</t>
        </is>
      </c>
      <c r="G356" s="17" t="inlineStr">
        <is>
          <t>No land parcel, title to which has been registered under this Act, or any interest therein shall be transferred or dealt with except in accordance with the provisions of this Act, and every disposition otherwise effected shall be void.</t>
        </is>
      </c>
      <c r="H356" s="17" t="inlineStr">
        <is>
          <t>https://www.rgd.gov.lk/web/images/ActsPDF/title/TR-Act-english-1998-no-21.pdf</t>
        </is>
      </c>
      <c r="I356" s="17" t="inlineStr">
        <is>
          <t>Indispensable</t>
        </is>
      </c>
      <c r="J356" s="17" t="inlineStr">
        <is>
          <t>The gate for the whole question. Because the land is registered under the Act, any gift of it, or of an interest in it, is valid only if it complies with the Act, and any other form of disposition is void. This is what turns the registrability rules in sections 46, 47 and 48 into conditions of validity rather than mere registry practice.
TEMPORAL: In force from 1998 per the corpus; no amendment events recorded, so the text is treated as in force at 2021-10. The corpus edition is flagged original_or_unconfirmed_consolidation.</t>
        </is>
      </c>
      <c r="K356" s="17" t="inlineStr">
        <is>
          <t>[verified]</t>
        </is>
      </c>
      <c r="L356" s="21" t="n"/>
      <c r="M356" s="21" t="n"/>
      <c r="N356" s="21" t="n"/>
      <c r="O356" s="21" t="n"/>
      <c r="P356" s="21" t="n"/>
      <c r="Q356" s="17">
        <f>IF(OR(A356="",B356=""),"",IF(AND(L356&lt;&gt;"",P356&lt;&gt;"",IF(L356="Wrong citation",AND(M356&lt;&gt;"",N356&lt;&gt;""),TRUE)),"Complete","Pending"))</f>
        <v/>
      </c>
    </row>
    <row r="357">
      <c r="A357" s="19" t="inlineStr">
        <is>
          <t>M055-Q01</t>
        </is>
      </c>
      <c r="B357" s="19" t="inlineStr">
        <is>
          <t>PROV-M055-002</t>
        </is>
      </c>
      <c r="C357" s="17" t="inlineStr">
        <is>
          <t>Registration of Title Act, No. 21 of 1998</t>
        </is>
      </c>
      <c r="D357" s="17" t="inlineStr">
        <is>
          <t>s.46</t>
        </is>
      </c>
      <c r="E357" s="17" t="inlineStr">
        <is>
          <t>2021-10</t>
        </is>
      </c>
      <c r="F357" s="17" t="inlineStr">
        <is>
          <t>Current on reference date</t>
        </is>
      </c>
      <c r="G357" s="17" t="inlineStr">
        <is>
          <t>The Registrar of Title shall not register any instrument which purports to convey any title or interest to a land parcel on the happening of any event, or the fulfilment of any condition at any future time: Provided however, that a conveyance of title subject to life interest shall be acceptable for registration.</t>
        </is>
      </c>
      <c r="H357" s="17" t="inlineStr">
        <is>
          <t>https://www.rgd.gov.lk/web/images/ActsPDF/title/TR-Act-english-1998-no-21.pdf</t>
        </is>
      </c>
      <c r="I357" s="17" t="inlineStr">
        <is>
          <t>Indispensable</t>
        </is>
      </c>
      <c r="J357" s="17" t="inlineStr">
        <is>
          <t>Answers the life-interest half of the question directly. A gift that reserves a life interest to the donor postpones the donees' full enjoyment, which would otherwise run into the bar on instruments conveying title on a future event or condition; the express proviso saves it and makes a conveyance subject to a life interest registrable.
TEMPORAL: In force from 1998 per the corpus; no amendment events recorded, so the text is treated as in force at 2021-10.</t>
        </is>
      </c>
      <c r="K357" s="17" t="inlineStr">
        <is>
          <t>[verified]</t>
        </is>
      </c>
      <c r="L357" s="21" t="n"/>
      <c r="M357" s="21" t="n"/>
      <c r="N357" s="21" t="n"/>
      <c r="O357" s="21" t="n"/>
      <c r="P357" s="21" t="n"/>
      <c r="Q357" s="17">
        <f>IF(OR(A357="",B357=""),"",IF(AND(L357&lt;&gt;"",P357&lt;&gt;"",IF(L357="Wrong citation",AND(M357&lt;&gt;"",N357&lt;&gt;""),TRUE)),"Complete","Pending"))</f>
        <v/>
      </c>
    </row>
    <row r="358">
      <c r="A358" s="19" t="inlineStr">
        <is>
          <t>M055-Q01</t>
        </is>
      </c>
      <c r="B358" s="19" t="inlineStr">
        <is>
          <t>PROV-M055-003</t>
        </is>
      </c>
      <c r="C358" s="17" t="inlineStr">
        <is>
          <t>Registration of Title Act, No. 21 of 1998</t>
        </is>
      </c>
      <c r="D358" s="17" t="inlineStr">
        <is>
          <t>s.48</t>
        </is>
      </c>
      <c r="E358" s="17" t="inlineStr">
        <is>
          <t>2021-10</t>
        </is>
      </c>
      <c r="F358" s="17" t="inlineStr">
        <is>
          <t>Current on reference date</t>
        </is>
      </c>
      <c r="G358" s="17" t="inlineStr">
        <is>
          <t>an instrument pertaining to the ownership of a land parcel registered under this Act, made in favour of two or more persons in common shall be void and shall not be registered under this Act.</t>
        </is>
      </c>
      <c r="H358" s="17" t="inlineStr">
        <is>
          <t>https://www.rgd.gov.lk/web/images/ActsPDF/title/TR-Act-english-1998-no-21.pdf</t>
        </is>
      </c>
      <c r="I358" s="17" t="inlineStr">
        <is>
          <t>Indispensable</t>
        </is>
      </c>
      <c r="J358" s="17" t="inlineStr">
        <is>
          <t>Answers the two-donees half of the question directly. A single deed of gift of one registered land parcel to two daughters in common is an instrument in favour of two or more persons in common, so it is void and unregistrable. The opening words, 'Except in accordance with the provisions of this Act', are what leave the sub-division route in sections 36 and 47 open.
TEMPORAL: In force from 1998 per the corpus; no amendment events recorded, so the text is treated as in force at 2021-10.</t>
        </is>
      </c>
      <c r="K358" s="17" t="inlineStr">
        <is>
          <t>[partially_verified] Wording confirmed verbatim, but the excerpt begins mid-sentence and drops the operative opening qualifier 'Except in accordance with the provisions of this Act,' on which the why_relevant relies; I checked that qualifier and it opens no route here, because the only co-ownership the Act itself creates arises from a declaration of the Commissioner of Title Settlement under section 14(d) on initial registration (sections 15 and 16), not from an instrument between parties.</t>
        </is>
      </c>
      <c r="L358" s="21" t="n"/>
      <c r="M358" s="21" t="n"/>
      <c r="N358" s="21" t="n"/>
      <c r="O358" s="21" t="n"/>
      <c r="P358" s="21" t="n"/>
      <c r="Q358" s="17">
        <f>IF(OR(A358="",B358=""),"",IF(AND(L358&lt;&gt;"",P358&lt;&gt;"",IF(L358="Wrong citation",AND(M358&lt;&gt;"",N358&lt;&gt;""),TRUE)),"Complete","Pending"))</f>
        <v/>
      </c>
    </row>
    <row r="359">
      <c r="A359" s="19" t="inlineStr">
        <is>
          <t>M055-Q01</t>
        </is>
      </c>
      <c r="B359" s="19" t="inlineStr">
        <is>
          <t>PROV-M055-004</t>
        </is>
      </c>
      <c r="C359" s="17" t="inlineStr">
        <is>
          <t>Registration of Title Act, No. 21 of 1998</t>
        </is>
      </c>
      <c r="D359" s="17" t="inlineStr">
        <is>
          <t>s.47</t>
        </is>
      </c>
      <c r="E359" s="17" t="inlineStr">
        <is>
          <t>2021-10</t>
        </is>
      </c>
      <c r="F359" s="17" t="inlineStr">
        <is>
          <t>Current on reference date</t>
        </is>
      </c>
      <c r="G359" s="17" t="inlineStr">
        <is>
          <t>No part of a land parcel registered with a First Class Title of Absolute Ownership or a Second Class Title of Ownership under the provisions of this Act shall be transferred or otherwise dealt with unless the registered owner has first sub-divided such land parcel and the land parcel so subdivided has been registered under the provisions of this Act.</t>
        </is>
      </c>
      <c r="H359" s="17" t="inlineStr">
        <is>
          <t>https://www.rgd.gov.lk/web/images/ActsPDF/title/TR-Act-english-1998-no-21.pdf</t>
        </is>
      </c>
      <c r="I359" s="17" t="inlineStr">
        <is>
          <t>Indispensable</t>
        </is>
      </c>
      <c r="J359" s="17" t="inlineStr">
        <is>
          <t>Closes the obvious workaround of gifting a divided half to each daughter out of the existing parcel. No part of the registered parcel may be dealt with until the owner has sub-divided it and the sub-divided parcels are themselves registered, so sub-division must precede the gifts.
TEMPORAL: In force from 1998 per the corpus; no amendment events recorded, so the text is treated as in force at 2021-10.</t>
        </is>
      </c>
      <c r="K359" s="17" t="inlineStr">
        <is>
          <t>[verified]</t>
        </is>
      </c>
      <c r="L359" s="21" t="n"/>
      <c r="M359" s="21" t="n"/>
      <c r="N359" s="21" t="n"/>
      <c r="O359" s="21" t="n"/>
      <c r="P359" s="21" t="n"/>
      <c r="Q359" s="17">
        <f>IF(OR(A359="",B359=""),"",IF(AND(L359&lt;&gt;"",P359&lt;&gt;"",IF(L359="Wrong citation",AND(M359&lt;&gt;"",N359&lt;&gt;""),TRUE)),"Complete","Pending"))</f>
        <v/>
      </c>
    </row>
    <row r="360">
      <c r="A360" s="19" t="inlineStr">
        <is>
          <t>M055-Q01</t>
        </is>
      </c>
      <c r="B360" s="19" t="inlineStr">
        <is>
          <t>PROV-M055-005</t>
        </is>
      </c>
      <c r="C360" s="17" t="inlineStr">
        <is>
          <t>Registration of Title Act, No. 21 of 1998</t>
        </is>
      </c>
      <c r="D360" s="17" t="inlineStr">
        <is>
          <t>s.36(1)</t>
        </is>
      </c>
      <c r="E360" s="17" t="inlineStr">
        <is>
          <t>2021-10</t>
        </is>
      </c>
      <c r="F360" s="17" t="inlineStr">
        <is>
          <t>Current on reference date</t>
        </is>
      </c>
      <c r="G360" s="17" t="inlineStr">
        <is>
          <t>Any owner or owners of any land parcel or land parcels whose title to which has been registered under this Act, may amalgamate or sub-divide his or their land parcel by registering a plan of redivision or amalgamation or sub-division relating to such land parcels in accordance with the provisions of this Act.</t>
        </is>
      </c>
      <c r="H360" s="17" t="inlineStr">
        <is>
          <t>https://www.rgd.gov.lk/web/images/ActsPDF/title/TR-Act-english-1998-no-21.pdf</t>
        </is>
      </c>
      <c r="I360" s="17" t="inlineStr">
        <is>
          <t>Indispensable</t>
        </is>
      </c>
      <c r="J360" s="17" t="inlineStr">
        <is>
          <t>Supplies the only route by which the donor's wish can be carried out. As registered owner he may sub-divide the parcel by registering a sub-division plan, after which each resulting land parcel is a separate unit of record that can be gifted to one daughter without offending the co-ownership bar.
TEMPORAL: In force from 1998 per the corpus; no amendment events recorded, so the text is treated as in force at 2021-10.</t>
        </is>
      </c>
      <c r="K360" s="17" t="inlineStr">
        <is>
          <t>[verified]</t>
        </is>
      </c>
      <c r="L360" s="21" t="n"/>
      <c r="M360" s="21" t="n"/>
      <c r="N360" s="21" t="n"/>
      <c r="O360" s="21" t="n"/>
      <c r="P360" s="21" t="n"/>
      <c r="Q360" s="17">
        <f>IF(OR(A360="",B360=""),"",IF(AND(L360&lt;&gt;"",P360&lt;&gt;"",IF(L360="Wrong citation",AND(M360&lt;&gt;"",N360&lt;&gt;""),TRUE)),"Complete","Pending"))</f>
        <v/>
      </c>
    </row>
    <row r="361">
      <c r="A361" s="19" t="inlineStr">
        <is>
          <t>M055-Q01</t>
        </is>
      </c>
      <c r="B361" s="19" t="inlineStr">
        <is>
          <t>PROV-M055-006</t>
        </is>
      </c>
      <c r="C361" s="17" t="inlineStr">
        <is>
          <t>Registration of Title Act, No. 21 of 1998</t>
        </is>
      </c>
      <c r="D361" s="17" t="inlineStr">
        <is>
          <t>s.75</t>
        </is>
      </c>
      <c r="E361" s="17" t="inlineStr">
        <is>
          <t>2021-10</t>
        </is>
      </c>
      <c r="F361" s="17" t="inlineStr">
        <is>
          <t>Current on reference date</t>
        </is>
      </c>
      <c r="G361" s="17" t="inlineStr">
        <is>
          <t>means a document having the effect of conveying title to and interest in any land parcel in the prescribed form, means an interest Jess than full ownership of the land parcel and includes any Servitudes or encumbrance over such land parcel</t>
        </is>
      </c>
      <c r="H361" s="17" t="inlineStr">
        <is>
          <t>https://www.rgd.gov.lk/web/images/ActsPDF/title/TR-Act-english-1998-no-21.pdf</t>
        </is>
      </c>
      <c r="I361" s="17" t="inlineStr">
        <is>
          <t>Indispensable</t>
        </is>
      </c>
      <c r="J361" s="17" t="inlineStr">
        <is>
          <t>Defines the two terms the answer turns on. A deed of gift is an 'instrument', a document having the effect of conveying title to and interest in a land parcel in the prescribed form, which is what brings it within sections 43, 46 and 48; and a reserved life interest is an 'interest in land parcel', an interest less than full ownership, which is what makes it a registrable interest rather than a bare condition.
TEMPORAL: In force from 1998 per the corpus; no amendment events recorded. The corpus body of section 75 has lost the defined-term labels, so the excerpt reads as two run-on definitions; on the face of the Act these are the definitions of 'instrument' and of 'interest in land parcel', both listed in the corpus defined_terms for this section.</t>
        </is>
      </c>
      <c r="K361" s="17" t="inlineStr">
        <is>
          <t>[partially_verified] The quoted text is verbatim, but the corpus body of section 75 has lost the defined-term labels and carries an OCR error ('Jess' for 'less'), so the excerpt is two run-on definitions; that the first is 'instrument' and the second 'interest in land parcel' follows from the section's recorded defined_terms order and from the use of 'instrument' in sections 43, 46 and 48, and is an inference from the corpus rather than something the corpus text states.</t>
        </is>
      </c>
      <c r="L361" s="21" t="n"/>
      <c r="M361" s="21" t="n"/>
      <c r="N361" s="21" t="n"/>
      <c r="O361" s="21" t="n"/>
      <c r="P361" s="21" t="n"/>
      <c r="Q361" s="17">
        <f>IF(OR(A361="",B361=""),"",IF(AND(L361&lt;&gt;"",P361&lt;&gt;"",IF(L361="Wrong citation",AND(M361&lt;&gt;"",N361&lt;&gt;""),TRUE)),"Complete","Pending"))</f>
        <v/>
      </c>
    </row>
    <row r="362">
      <c r="A362" s="19" t="inlineStr">
        <is>
          <t>M055-Q01</t>
        </is>
      </c>
      <c r="B362" s="19" t="inlineStr">
        <is>
          <t>PROV-M055-007</t>
        </is>
      </c>
      <c r="C362" s="17" t="inlineStr">
        <is>
          <t>Registration of Title Act, No. 21 of 1998</t>
        </is>
      </c>
      <c r="D362" s="17" t="inlineStr">
        <is>
          <t>s.43</t>
        </is>
      </c>
      <c r="E362" s="17" t="inlineStr">
        <is>
          <t>2021-10</t>
        </is>
      </c>
      <c r="F362" s="17" t="inlineStr">
        <is>
          <t>Current on reference date</t>
        </is>
      </c>
      <c r="G362" s="17" t="inlineStr">
        <is>
          <t>Every instrument conveying title or any interest in a land parcel presented for registration under this Act shall be effected in the form prescribed for that purpose. (2) Instruments prepared under the provisions of subsection (1) shall be signed by the parties to the transaction and two witnesses and attested by a Notary Public</t>
        </is>
      </c>
      <c r="H362" s="17" t="inlineStr">
        <is>
          <t>https://www.rgd.gov.lk/web/images/ActsPDF/title/TR-Act-english-1998-no-21.pdf</t>
        </is>
      </c>
      <c r="I362" s="17" t="inlineStr">
        <is>
          <t>Supporting</t>
        </is>
      </c>
      <c r="J362" s="17" t="inlineStr">
        <is>
          <t>Fixes the form the deeds of gift must take: the prescribed form, signed by the parties and two witnesses and attested by a Notary Public. Goes to how the donor's wish is executed rather than to whether it can be achieved.
TEMPORAL: In force from 1998 per the corpus; no amendment events recorded. The prescribed form itself is made by regulation under section 67 and is not in the corpus.</t>
        </is>
      </c>
      <c r="K362" s="17" t="inlineStr">
        <is>
          <t>[verified]</t>
        </is>
      </c>
      <c r="L362" s="21" t="n"/>
      <c r="M362" s="21" t="n"/>
      <c r="N362" s="21" t="n"/>
      <c r="O362" s="21" t="n"/>
      <c r="P362" s="21" t="n"/>
      <c r="Q362" s="17">
        <f>IF(OR(A362="",B362=""),"",IF(AND(L362&lt;&gt;"",P362&lt;&gt;"",IF(L362="Wrong citation",AND(M362&lt;&gt;"",N362&lt;&gt;""),TRUE)),"Complete","Pending"))</f>
        <v/>
      </c>
    </row>
    <row r="363">
      <c r="A363" s="19" t="inlineStr">
        <is>
          <t>M055-Q01</t>
        </is>
      </c>
      <c r="B363" s="19" t="inlineStr">
        <is>
          <t>PROV-M055-008</t>
        </is>
      </c>
      <c r="C363" s="17" t="inlineStr">
        <is>
          <t>Registration of Title Act, No. 21 of 1998</t>
        </is>
      </c>
      <c r="D363" s="17" t="inlineStr">
        <is>
          <t>s.49</t>
        </is>
      </c>
      <c r="E363" s="17" t="inlineStr">
        <is>
          <t>2021-10</t>
        </is>
      </c>
      <c r="F363" s="17" t="inlineStr">
        <is>
          <t>Current on reference date</t>
        </is>
      </c>
      <c r="G363" s="17" t="inlineStr">
        <is>
          <t>An instrument pertaining to land executed in accordance with the provisions of this Act shall take effect on registration, of such instrument under the provisions of this Act.</t>
        </is>
      </c>
      <c r="H363" s="17" t="inlineStr">
        <is>
          <t>https://www.rgd.gov.lk/web/images/ActsPDF/title/TR-Act-english-1998-no-21.pdf</t>
        </is>
      </c>
      <c r="I363" s="17" t="inlineStr">
        <is>
          <t>Supporting</t>
        </is>
      </c>
      <c r="J363" s="17" t="inlineStr">
        <is>
          <t>Timing rule: each deed of gift operates only when it is registered, not on execution or delivery, so the donor's wish is not fulfilled until registration is effected.
TEMPORAL: In force from 1998 per the corpus; no amendment events recorded.</t>
        </is>
      </c>
      <c r="K363" s="17" t="inlineStr">
        <is>
          <t>[verified]</t>
        </is>
      </c>
      <c r="L363" s="21" t="n"/>
      <c r="M363" s="21" t="n"/>
      <c r="N363" s="21" t="n"/>
      <c r="O363" s="21" t="n"/>
      <c r="P363" s="21" t="n"/>
      <c r="Q363" s="17">
        <f>IF(OR(A363="",B363=""),"",IF(AND(L363&lt;&gt;"",P363&lt;&gt;"",IF(L363="Wrong citation",AND(M363&lt;&gt;"",N363&lt;&gt;""),TRUE)),"Complete","Pending"))</f>
        <v/>
      </c>
    </row>
    <row r="364">
      <c r="A364" s="19" t="inlineStr">
        <is>
          <t>M055-Q01</t>
        </is>
      </c>
      <c r="B364" s="19" t="inlineStr">
        <is>
          <t>PROV-M055-009</t>
        </is>
      </c>
      <c r="C364" s="17" t="inlineStr">
        <is>
          <t>Registration of Title Act, No. 21 of 1998</t>
        </is>
      </c>
      <c r="D364" s="17" t="inlineStr">
        <is>
          <t>s.38</t>
        </is>
      </c>
      <c r="E364" s="17" t="inlineStr">
        <is>
          <t>2021-10</t>
        </is>
      </c>
      <c r="F364" s="17" t="inlineStr">
        <is>
          <t>Current on reference date</t>
        </is>
      </c>
      <c r="G364" s="17" t="inlineStr">
        <is>
          <t>No person acquiring an interest in any land parcel registered under the provisions of this Act shall be entitled to such title or interest unless such title or interest is registered under the provisions of this Act.</t>
        </is>
      </c>
      <c r="H364" s="17" t="inlineStr">
        <is>
          <t>https://www.rgd.gov.lk/web/images/ActsPDF/title/TR-Act-english-1998-no-21.pdf</t>
        </is>
      </c>
      <c r="I364" s="17" t="inlineStr">
        <is>
          <t>Supporting</t>
        </is>
      </c>
      <c r="J364" s="17" t="inlineStr">
        <is>
          <t>Makes the same point from the donees' side: neither daughter is entitled to anything until her title is registered, and the donor's reserved life interest likewise has to appear on the register.
TEMPORAL: In force from 1998 per the corpus; no amendment events recorded.</t>
        </is>
      </c>
      <c r="K364" s="17" t="inlineStr">
        <is>
          <t>[verified]</t>
        </is>
      </c>
      <c r="L364" s="21" t="n"/>
      <c r="M364" s="21" t="n"/>
      <c r="N364" s="21" t="n"/>
      <c r="O364" s="21" t="n"/>
      <c r="P364" s="21" t="n"/>
      <c r="Q364" s="17">
        <f>IF(OR(A364="",B364=""),"",IF(AND(L364&lt;&gt;"",P364&lt;&gt;"",IF(L364="Wrong citation",AND(M364&lt;&gt;"",N364&lt;&gt;""),TRUE)),"Complete","Pending"))</f>
        <v/>
      </c>
    </row>
    <row r="365">
      <c r="A365" s="19" t="inlineStr">
        <is>
          <t>M055-Q01</t>
        </is>
      </c>
      <c r="B365" s="19" t="inlineStr">
        <is>
          <t>PROV-M055-010</t>
        </is>
      </c>
      <c r="C365" s="17" t="inlineStr">
        <is>
          <t>Registration of Title Act, No. 21 of 1998</t>
        </is>
      </c>
      <c r="D365" s="17" t="inlineStr">
        <is>
          <t>s.45(3)</t>
        </is>
      </c>
      <c r="E365" s="17" t="inlineStr">
        <is>
          <t>2021-10</t>
        </is>
      </c>
      <c r="F365" s="17" t="inlineStr">
        <is>
          <t>Current on reference date</t>
        </is>
      </c>
      <c r="G365" s="17" t="inlineStr">
        <is>
          <t>If the Registrar of Title is of the opinion that all requirements for registration under this Act are complied with, he shall register such title or interest in the prescribed manner</t>
        </is>
      </c>
      <c r="H365" s="17" t="inlineStr">
        <is>
          <t>https://www.rgd.gov.lk/web/images/ActsPDF/title/TR-Act-english-1998-no-21.pdf</t>
        </is>
      </c>
      <c r="I365" s="17" t="inlineStr">
        <is>
          <t>Supporting</t>
        </is>
      </c>
      <c r="J365" s="17" t="inlineStr">
        <is>
          <t>Shows registration is not automatic: the Registrar registers only if satisfied that the requirements of the Act are met, which is the practical checkpoint at which a single gift to two donees in common would be refused.
TEMPORAL: In force from 1998 per the corpus; no amendment events recorded.</t>
        </is>
      </c>
      <c r="K365" s="17" t="inlineStr">
        <is>
          <t>[verified]</t>
        </is>
      </c>
      <c r="L365" s="21" t="n"/>
      <c r="M365" s="21" t="n"/>
      <c r="N365" s="21" t="n"/>
      <c r="O365" s="21" t="n"/>
      <c r="P365" s="21" t="n"/>
      <c r="Q365" s="17">
        <f>IF(OR(A365="",B365=""),"",IF(AND(L365&lt;&gt;"",P365&lt;&gt;"",IF(L365="Wrong citation",AND(M365&lt;&gt;"",N365&lt;&gt;""),TRUE)),"Complete","Pending"))</f>
        <v/>
      </c>
    </row>
    <row r="366">
      <c r="A366" s="19" t="inlineStr">
        <is>
          <t>M055-Q01</t>
        </is>
      </c>
      <c r="B366" s="19" t="inlineStr">
        <is>
          <t>PROV-M055-011</t>
        </is>
      </c>
      <c r="C366" s="17" t="inlineStr">
        <is>
          <t>Registration of Title Act, No. 21 of 1998</t>
        </is>
      </c>
      <c r="D366" s="17" t="inlineStr">
        <is>
          <t>s.4</t>
        </is>
      </c>
      <c r="E366" s="17" t="inlineStr">
        <is>
          <t>2021-10</t>
        </is>
      </c>
      <c r="F366" s="17" t="inlineStr">
        <is>
          <t>Current on reference date</t>
        </is>
      </c>
      <c r="G366" s="17" t="inlineStr">
        <is>
          <t>The unit of record in a Title Register maintained under section 3 shall be a land parcel shown on the cadastral map.</t>
        </is>
      </c>
      <c r="H366" s="17" t="inlineStr">
        <is>
          <t>https://www.rgd.gov.lk/web/images/ActsPDF/title/TR-Act-english-1998-no-21.pdf</t>
        </is>
      </c>
      <c r="I366" s="17" t="inlineStr">
        <is>
          <t>Background</t>
        </is>
      </c>
      <c r="J366" s="17" t="inlineStr">
        <is>
          <t>Background: explains why the Act deals in whole parcels, and hence why undivided shares and part-parcel dealings are resisted throughout the Act.
TEMPORAL: In force from 1998 per the corpus; no amendment events recorded.</t>
        </is>
      </c>
      <c r="K366" s="17" t="inlineStr">
        <is>
          <t>[verified]</t>
        </is>
      </c>
      <c r="L366" s="21" t="n"/>
      <c r="M366" s="21" t="n"/>
      <c r="N366" s="21" t="n"/>
      <c r="O366" s="21" t="n"/>
      <c r="P366" s="21" t="n"/>
      <c r="Q366" s="17">
        <f>IF(OR(A366="",B366=""),"",IF(AND(L366&lt;&gt;"",P366&lt;&gt;"",IF(L366="Wrong citation",AND(M366&lt;&gt;"",N366&lt;&gt;""),TRUE)),"Complete","Pending"))</f>
        <v/>
      </c>
    </row>
    <row r="367">
      <c r="A367" s="19" t="inlineStr">
        <is>
          <t>M055-Q01</t>
        </is>
      </c>
      <c r="B367" s="19" t="inlineStr">
        <is>
          <t>PROV-M055-012</t>
        </is>
      </c>
      <c r="C367" s="17" t="inlineStr">
        <is>
          <t>Registration of Title Act, No. 21 of 1998</t>
        </is>
      </c>
      <c r="D367" s="17" t="inlineStr">
        <is>
          <t>s.73</t>
        </is>
      </c>
      <c r="E367" s="17" t="inlineStr">
        <is>
          <t>2021-10</t>
        </is>
      </c>
      <c r="F367" s="17" t="inlineStr">
        <is>
          <t>Current on reference date</t>
        </is>
      </c>
      <c r="G367" s="17" t="inlineStr">
        <is>
          <t>The provisions of this Act shall have effect notwithstanding anything to the contrary contained in any other written law</t>
        </is>
      </c>
      <c r="H367" s="17" t="inlineStr">
        <is>
          <t>https://www.rgd.gov.lk/web/images/ActsPDF/title/TR-Act-english-1998-no-21.pdf</t>
        </is>
      </c>
      <c r="I367" s="17" t="inlineStr">
        <is>
          <t>Background</t>
        </is>
      </c>
      <c r="J367" s="17" t="inlineStr">
        <is>
          <t>Background: forecloses an argument that the general law of gifts and notarial execution lets the donor do what this Act forbids. Where the two conflict, this Act prevails.
TEMPORAL: In force from 1998 per the corpus; no amendment events recorded.</t>
        </is>
      </c>
      <c r="K367" s="17" t="inlineStr">
        <is>
          <t>[verified]</t>
        </is>
      </c>
      <c r="L367" s="21" t="n"/>
      <c r="M367" s="21" t="n"/>
      <c r="N367" s="21" t="n"/>
      <c r="O367" s="21" t="n"/>
      <c r="P367" s="21" t="n"/>
      <c r="Q367" s="17">
        <f>IF(OR(A367="",B367=""),"",IF(AND(L367&lt;&gt;"",P367&lt;&gt;"",IF(L367="Wrong citation",AND(M367&lt;&gt;"",N367&lt;&gt;""),TRUE)),"Complete","Pending"))</f>
        <v/>
      </c>
    </row>
    <row r="368">
      <c r="A368" s="19" t="inlineStr">
        <is>
          <t>M055-Q01</t>
        </is>
      </c>
      <c r="B368" s="19" t="inlineStr">
        <is>
          <t>PROV-M055-013</t>
        </is>
      </c>
      <c r="C368" s="17" t="inlineStr">
        <is>
          <t>Registration of Title Act, No. 21 of 1998</t>
        </is>
      </c>
      <c r="D368" s="17" t="inlineStr">
        <is>
          <t>s.54(2)</t>
        </is>
      </c>
      <c r="E368" s="17" t="inlineStr">
        <is>
          <t>2021-10</t>
        </is>
      </c>
      <c r="F368" s="17" t="inlineStr">
        <is>
          <t>Current on reference date</t>
        </is>
      </c>
      <c r="G368" s="17" t="inlineStr">
        <is>
          <t>Any provision of a will that makes a person owner of an undivided share or of a divided share smaller in extent than the prescribed minimum extent of a land parcel that may be registered under this Act shall have no legal effect.</t>
        </is>
      </c>
      <c r="H368" s="17" t="inlineStr">
        <is>
          <t>https://www.rgd.gov.lk/web/images/ActsPDF/title/TR-Act-english-1998-no-21.pdf</t>
        </is>
      </c>
      <c r="I368" s="17" t="inlineStr">
        <is>
          <t>Background</t>
        </is>
      </c>
      <c r="J368" s="17" t="inlineStr">
        <is>
          <t>Background: the same policy applied to testamentary disposition, confirming that the bar on creating undivided shares is a general feature of the Act and not confined to instruments inter vivos. It also warns that leaving the land by will would not achieve the donor's aim either.
TEMPORAL: In force from 1998 per the corpus; no amendment events recorded.</t>
        </is>
      </c>
      <c r="K368" s="17" t="inlineStr">
        <is>
          <t>[verified]</t>
        </is>
      </c>
      <c r="L368" s="21" t="n"/>
      <c r="M368" s="21" t="n"/>
      <c r="N368" s="21" t="n"/>
      <c r="O368" s="21" t="n"/>
      <c r="P368" s="21" t="n"/>
      <c r="Q368" s="17">
        <f>IF(OR(A368="",B368=""),"",IF(AND(L368&lt;&gt;"",P368&lt;&gt;"",IF(L368="Wrong citation",AND(M368&lt;&gt;"",N368&lt;&gt;""),TRUE)),"Complete","Pending"))</f>
        <v/>
      </c>
    </row>
    <row r="369">
      <c r="A369" s="19" t="inlineStr">
        <is>
          <t>M055-Q01</t>
        </is>
      </c>
      <c r="B369" s="19" t="inlineStr">
        <is>
          <t>PROV-M055-014</t>
        </is>
      </c>
      <c r="C369" s="17" t="inlineStr">
        <is>
          <t>Registration of Title Act, No. 21 of 1998</t>
        </is>
      </c>
      <c r="D369" s="17" t="inlineStr">
        <is>
          <t>s.70(1)</t>
        </is>
      </c>
      <c r="E369" s="17" t="inlineStr">
        <is>
          <t>2021-10</t>
        </is>
      </c>
      <c r="F369" s="17" t="inlineStr">
        <is>
          <t>Current on reference date</t>
        </is>
      </c>
      <c r="G369" s="17" t="inlineStr">
        <is>
          <t>The Minister may by Notice published in the Gazette declare any area for which Registers of Title have, been compiled, as an area in which the principle of minimum economic units of land parcels shall apply.</t>
        </is>
      </c>
      <c r="H369" s="17" t="inlineStr">
        <is>
          <t>https://www.rgd.gov.lk/web/images/ActsPDF/title/TR-Act-english-1998-no-21.pdf</t>
        </is>
      </c>
      <c r="I369" s="17" t="inlineStr">
        <is>
          <t>Background</t>
        </is>
      </c>
      <c r="J369" s="17" t="inlineStr">
        <is>
          <t>Background caveat on the sub-division route: if the land lies in an area declared subject to the minimum economic unit principle, a sub-division leaving either resulting parcel below the prescribed extent may not be registrable.
TEMPORAL: In force from 1998 per the corpus; no amendment events recorded. Whether any notice covering this area has been published cannot be checked from the corpus.</t>
        </is>
      </c>
      <c r="K369" s="17" t="inlineStr">
        <is>
          <t>[verified]</t>
        </is>
      </c>
      <c r="L369" s="21" t="n"/>
      <c r="M369" s="21" t="n"/>
      <c r="N369" s="21" t="n"/>
      <c r="O369" s="21" t="n"/>
      <c r="P369" s="21" t="n"/>
      <c r="Q369" s="17">
        <f>IF(OR(A369="",B369=""),"",IF(AND(L369&lt;&gt;"",P369&lt;&gt;"",IF(L369="Wrong citation",AND(M369&lt;&gt;"",N369&lt;&gt;""),TRUE)),"Complete","Pending"))</f>
        <v/>
      </c>
    </row>
    <row r="370">
      <c r="A370" s="19" t="inlineStr">
        <is>
          <t>M056-Q01</t>
        </is>
      </c>
      <c r="B370" s="19" t="inlineStr">
        <is>
          <t>PROV-M056-001</t>
        </is>
      </c>
      <c r="C370" s="17" t="inlineStr">
        <is>
          <t>Prevention of Frauds Ordinance No. 7 of 1840</t>
        </is>
      </c>
      <c r="D370" s="17" t="inlineStr">
        <is>
          <t>s.2 (1)</t>
        </is>
      </c>
      <c r="E370" s="17" t="inlineStr">
        <is>
          <t>2021-10</t>
        </is>
      </c>
      <c r="F370" s="17" t="inlineStr">
        <is>
          <t>Current on reference date</t>
        </is>
      </c>
      <c r="G370"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370" s="17" t="inlineStr">
        <is>
          <t>https://lankalaw.net/wp-content/uploads/2025/03/Prevention-of-Frauds-Consolidated-2024.pdf</t>
        </is>
      </c>
      <c r="I370" s="17" t="inlineStr">
        <is>
          <t>Indispensable</t>
        </is>
      </c>
      <c r="J370" s="17" t="inlineStr">
        <is>
          <t>Establishes that an agreement affecting immovable property, other than a lease at will or for a period not exceeding one month, has no force in law unless it is in writing and notarially attested. A four-year lease of the Colombo building therefore requires a notary at all.
TEMPORAL: The quoted opening words are the original enumeration and were not touched by the later amendments. The Prevention of Frauds (Amendment) Act No. 30 of 2022 s.2 repealed only the words from "shall be of force" to the end of the section, and Act No. 4 of 2024 s.2 renumbered the section, replaced paragraphs (a) and (b) and added subsection (2). Both post-date the matter. The corpus carries the consolidated post-2024 text, so the execution formalities shown in the corpus body are not the text in force in October 2021, but the lease carve-out relied on here is.</t>
        </is>
      </c>
      <c r="K370" s="17" t="inlineStr">
        <is>
          <t>[partially_verified] Excerpt is verbatim, but it stops at the lease carve-out and does not itself carry the operative words "shall be in force or avail in law unless ... attested by such notary" on which why_relevant and CL-M056-Q01-001 depend; those words are in the same section and, per 30-2022 s.2, the pre-2022 equivalent ("shall be of force ... unless ... in the presence of a licensed notary public and two or more witnesses ... duly attested") was in force at 2021-10, so the proposition holds - but the subsection label "(1)" is the post-2024 numbering inserted by 4-2024 s.2 and did not exist at the matter date.</t>
        </is>
      </c>
      <c r="L370" s="21" t="n"/>
      <c r="M370" s="21" t="n"/>
      <c r="N370" s="21" t="n"/>
      <c r="O370" s="21" t="n"/>
      <c r="P370" s="21" t="n"/>
      <c r="Q370" s="17">
        <f>IF(OR(A370="",B370=""),"",IF(AND(L370&lt;&gt;"",P370&lt;&gt;"",IF(L370="Wrong citation",AND(M370&lt;&gt;"",N370&lt;&gt;""),TRUE)),"Complete","Pending"))</f>
        <v/>
      </c>
    </row>
    <row r="371">
      <c r="A371" s="19" t="inlineStr">
        <is>
          <t>M056-Q01</t>
        </is>
      </c>
      <c r="B371" s="19" t="inlineStr">
        <is>
          <t>PROV-M056-002</t>
        </is>
      </c>
      <c r="C371" s="17" t="inlineStr">
        <is>
          <t>Notaries Ordinance No. 1 of 1907</t>
        </is>
      </c>
      <c r="D371" s="17" t="inlineStr">
        <is>
          <t>s.31 rule (22)</t>
        </is>
      </c>
      <c r="E371" s="17" t="inlineStr">
        <is>
          <t>2021-10</t>
        </is>
      </c>
      <c r="F371" s="17" t="inlineStr">
        <is>
          <t>Current on reference date</t>
        </is>
      </c>
      <c r="G371"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371" s="17" t="inlineStr">
        <is>
          <t>https://www.rgd.gov.lk/web/images/ActsPDF/notary/Notaries-English.pdf</t>
        </is>
      </c>
      <c r="I371" s="17" t="inlineStr">
        <is>
          <t>Indispensable</t>
        </is>
      </c>
      <c r="J371" s="17" t="inlineStr">
        <is>
          <t>The only territorial and language limit on a notary's competence to attest. It restricts the area in which the notary may act and the language of the instrument; it says nothing about where the land affected by the instrument is situated.
TEMPORAL: Rule (22) is not among the rules substituted, inserted or repealed by the Notaries (Amendment) Act No. 31 of 2022 s.16 or by Act No. 6 of 2024 s.3, so the text shown is the text in force at 2021-10.</t>
        </is>
      </c>
      <c r="K371" s="17" t="inlineStr">
        <is>
          <t>[verified]</t>
        </is>
      </c>
      <c r="L371" s="21" t="n"/>
      <c r="M371" s="21" t="n"/>
      <c r="N371" s="21" t="n"/>
      <c r="O371" s="21" t="n"/>
      <c r="P371" s="21" t="n"/>
      <c r="Q371" s="17">
        <f>IF(OR(A371="",B371=""),"",IF(AND(L371&lt;&gt;"",P371&lt;&gt;"",IF(L371="Wrong citation",AND(M371&lt;&gt;"",N371&lt;&gt;""),TRUE)),"Complete","Pending"))</f>
        <v/>
      </c>
    </row>
    <row r="372">
      <c r="A372" s="19" t="inlineStr">
        <is>
          <t>M056-Q01</t>
        </is>
      </c>
      <c r="B372" s="19" t="inlineStr">
        <is>
          <t>PROV-M056-003</t>
        </is>
      </c>
      <c r="C372" s="17" t="inlineStr">
        <is>
          <t>Notaries Ordinance No. 1 of 1907</t>
        </is>
      </c>
      <c r="D372" s="17" t="inlineStr">
        <is>
          <t>s.31 rule (29)</t>
        </is>
      </c>
      <c r="E372" s="17" t="inlineStr">
        <is>
          <t>2021-10</t>
        </is>
      </c>
      <c r="F372" s="17" t="inlineStr">
        <is>
          <t>Current on reference date</t>
        </is>
      </c>
      <c r="G372" s="17" t="inlineStr">
        <is>
          <t>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372" s="17" t="inlineStr">
        <is>
          <t>https://www.rgd.gov.lk/web/images/ActsPDF/notary/Notaries-English.pdf</t>
        </is>
      </c>
      <c r="I372" s="17" t="inlineStr">
        <is>
          <t>Indispensable</t>
        </is>
      </c>
      <c r="J372" s="17" t="inlineStr">
        <is>
          <t>Rule (29) expressly assumes that a notary may attest an instrument affecting land in a district other than the district in which he resides, and imposes the consequential duty to send a certified copy to the Registrar of Lands of the district where the land lies. It is the provision that answers the Galle notary and Colombo building point.
TEMPORAL: Rule (29) is not among the rules substituted, inserted or repealed by the Notaries (Amendment) Act No. 31 of 2022 s.16 or by Act No. 6 of 2024 s.3, so the text shown is the text in force at 2021-10.</t>
        </is>
      </c>
      <c r="K372" s="17" t="inlineStr">
        <is>
          <t>[partially_verified] Wording and role confirmed, but the temporal_note is wrong on one point: 6-2024 s.3(9) did amend rule (29), substituting "in the Form F 1" for "in the Form F"; that amendment falls outside the quoted excerpt, so the substance relied on was in force at 2021-10 and the conclusion is unaffected.</t>
        </is>
      </c>
      <c r="L372" s="21" t="n"/>
      <c r="M372" s="21" t="n"/>
      <c r="N372" s="21" t="n"/>
      <c r="O372" s="21" t="n"/>
      <c r="P372" s="21" t="n"/>
      <c r="Q372" s="17">
        <f>IF(OR(A372="",B372=""),"",IF(AND(L372&lt;&gt;"",P372&lt;&gt;"",IF(L372="Wrong citation",AND(M372&lt;&gt;"",N372&lt;&gt;""),TRUE)),"Complete","Pending"))</f>
        <v/>
      </c>
    </row>
    <row r="373">
      <c r="A373" s="19" t="inlineStr">
        <is>
          <t>M056-Q01</t>
        </is>
      </c>
      <c r="B373" s="19" t="inlineStr">
        <is>
          <t>PROV-M056-004</t>
        </is>
      </c>
      <c r="C373" s="17" t="inlineStr">
        <is>
          <t>Notaries Ordinance No. 1 of 1907</t>
        </is>
      </c>
      <c r="D373" s="17" t="inlineStr">
        <is>
          <t>s.4A</t>
        </is>
      </c>
      <c r="E373" s="17" t="inlineStr">
        <is>
          <t>2021-10</t>
        </is>
      </c>
      <c r="F373" s="17" t="inlineStr">
        <is>
          <t>Current on reference date</t>
        </is>
      </c>
      <c r="G373"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373" s="17" t="inlineStr">
        <is>
          <t>https://www.rgd.gov.lk/web/images/ActsPDF/notary/Notaries-English.pdf</t>
        </is>
      </c>
      <c r="I373" s="17" t="inlineStr">
        <is>
          <t>Supporting</t>
        </is>
      </c>
      <c r="J373" s="17" t="inlineStr">
        <is>
          <t>Fixes the extent of the area in which a notary is authorized to practice for the purposes of rule (22): a warrant for a judicial division is deemed to authorise practice in the whole judicial zone in which the notary resides.
TEMPORAL: Inserted by the Notaries (Amendment) Law No. 20 of 1976 s.4 and in force from 1976, well before the matter date.</t>
        </is>
      </c>
      <c r="K373" s="17" t="inlineStr">
        <is>
          <t>[verified]</t>
        </is>
      </c>
      <c r="L373" s="21" t="n"/>
      <c r="M373" s="21" t="n"/>
      <c r="N373" s="21" t="n"/>
      <c r="O373" s="21" t="n"/>
      <c r="P373" s="21" t="n"/>
      <c r="Q373" s="17">
        <f>IF(OR(A373="",B373=""),"",IF(AND(L373&lt;&gt;"",P373&lt;&gt;"",IF(L373="Wrong citation",AND(M373&lt;&gt;"",N373&lt;&gt;""),TRUE)),"Complete","Pending"))</f>
        <v/>
      </c>
    </row>
    <row r="374">
      <c r="A374" s="19" t="inlineStr">
        <is>
          <t>M056-Q01</t>
        </is>
      </c>
      <c r="B374" s="19" t="inlineStr">
        <is>
          <t>PROV-M056-005</t>
        </is>
      </c>
      <c r="C374" s="17" t="inlineStr">
        <is>
          <t>Notaries Ordinance No. 1 of 1907</t>
        </is>
      </c>
      <c r="D374" s="17" t="inlineStr">
        <is>
          <t>s.9</t>
        </is>
      </c>
      <c r="E374" s="17" t="inlineStr">
        <is>
          <t>2021-10</t>
        </is>
      </c>
      <c r="F374" s="17" t="inlineStr">
        <is>
          <t>Current on reference date</t>
        </is>
      </c>
      <c r="G374" s="17" t="inlineStr">
        <is>
          <t>Every notary shall be bound to have his office within the area specified in his warrant; and any notary infringing this provision shall be liable to have his warrant withdrawn by the Minister.</t>
        </is>
      </c>
      <c r="H374" s="17" t="inlineStr">
        <is>
          <t>https://www.rgd.gov.lk/web/images/ActsPDF/notary/Notaries-English.pdf</t>
        </is>
      </c>
      <c r="I374" s="17" t="inlineStr">
        <is>
          <t>Supporting</t>
        </is>
      </c>
      <c r="J374" s="17" t="inlineStr">
        <is>
          <t>Confirms that the Ordinance regulates where the notary is based and acts rather than the location of the property dealt with, and supplies the sanction of withdrawal of the warrant for acting outside the warrant area.
TEMPORAL: In force from 1907 with no recorded amendment; the text shown applies at 2021-10.</t>
        </is>
      </c>
      <c r="K374" s="17" t="inlineStr">
        <is>
          <t>[partially_verified] Wording verified, but why_relevant overstates the section: s.9 requires the notary to have his office within the warrant area and makes withdrawal of the warrant the sanction for not doing so; it is not a sanction for attesting outside that area, which is rule (22) enforced through s.34. Role is supporting only.</t>
        </is>
      </c>
      <c r="L374" s="21" t="n"/>
      <c r="M374" s="21" t="n"/>
      <c r="N374" s="21" t="n"/>
      <c r="O374" s="21" t="n"/>
      <c r="P374" s="21" t="n"/>
      <c r="Q374" s="17">
        <f>IF(OR(A374="",B374=""),"",IF(AND(L374&lt;&gt;"",P374&lt;&gt;"",IF(L374="Wrong citation",AND(M374&lt;&gt;"",N374&lt;&gt;""),TRUE)),"Complete","Pending"))</f>
        <v/>
      </c>
    </row>
    <row r="375">
      <c r="A375" s="19" t="inlineStr">
        <is>
          <t>M056-Q01</t>
        </is>
      </c>
      <c r="B375" s="19" t="inlineStr">
        <is>
          <t>PROV-M056-006</t>
        </is>
      </c>
      <c r="C375" s="17" t="inlineStr">
        <is>
          <t>Notaries Ordinance No. 1 of 1907</t>
        </is>
      </c>
      <c r="D375" s="17" t="inlineStr">
        <is>
          <t>s.31 rule (13)</t>
        </is>
      </c>
      <c r="E375" s="17" t="inlineStr">
        <is>
          <t>2021-10</t>
        </is>
      </c>
      <c r="F375" s="17" t="inlineStr">
        <is>
          <t>Current on reference date</t>
        </is>
      </c>
      <c r="G375" s="17" t="inlineStr">
        <is>
          <t>He shall not authenticate or attest any deed or instrument to which he is a party.</t>
        </is>
      </c>
      <c r="H375" s="17" t="inlineStr">
        <is>
          <t>https://www.rgd.gov.lk/web/images/ActsPDF/notary/Notaries-English.pdf</t>
        </is>
      </c>
      <c r="I375" s="17" t="inlineStr">
        <is>
          <t>Supporting</t>
        </is>
      </c>
      <c r="J375" s="17" t="inlineStr">
        <is>
          <t>The only personal disqualification in section 31 that is in issue. Being the lessor's neighbour is not a statutory disqualification; only being a party to the instrument is.
TEMPORAL: Rule (13) is not among the rules amended by the Notaries (Amendment) Act No. 31 of 2022 s.16 or by Act No. 6 of 2024 s.3; the text shown applies at 2021-10.</t>
        </is>
      </c>
      <c r="K375" s="17" t="inlineStr">
        <is>
          <t>[verified]</t>
        </is>
      </c>
      <c r="L375" s="21" t="n"/>
      <c r="M375" s="21" t="n"/>
      <c r="N375" s="21" t="n"/>
      <c r="O375" s="21" t="n"/>
      <c r="P375" s="21" t="n"/>
      <c r="Q375" s="17">
        <f>IF(OR(A375="",B375=""),"",IF(AND(L375&lt;&gt;"",P375&lt;&gt;"",IF(L375="Wrong citation",AND(M375&lt;&gt;"",N375&lt;&gt;""),TRUE)),"Complete","Pending"))</f>
        <v/>
      </c>
    </row>
    <row r="376">
      <c r="A376" s="19" t="inlineStr">
        <is>
          <t>M056-Q01</t>
        </is>
      </c>
      <c r="B376" s="19" t="inlineStr">
        <is>
          <t>PROV-M056-007</t>
        </is>
      </c>
      <c r="C376" s="17" t="inlineStr">
        <is>
          <t>Notaries Ordinance No. 1 of 1907</t>
        </is>
      </c>
      <c r="D376" s="17" t="inlineStr">
        <is>
          <t>s.31 rule (11)</t>
        </is>
      </c>
      <c r="E376" s="17" t="inlineStr">
        <is>
          <t>2021-10</t>
        </is>
      </c>
      <c r="F376" s="17" t="inlineStr">
        <is>
          <t>Current on reference date</t>
        </is>
      </c>
      <c r="G376" s="17" t="inlineStr">
        <is>
          <t>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t>
        </is>
      </c>
      <c r="H376" s="17" t="inlineStr">
        <is>
          <t>https://www.rgd.gov.lk/web/images/ActsPDF/notary/Notaries-English.pdf</t>
        </is>
      </c>
      <c r="I376" s="17" t="inlineStr">
        <is>
          <t>Supporting</t>
        </is>
      </c>
      <c r="J376" s="17" t="inlineStr">
        <is>
          <t>Sudath Gunawardana is illiterate. Rule (11) shows that illiteracy of an executant does not bar attestation; it makes the reading over and explanation of the instrument, in the presence of the executant and the attesting witnesses, a condition of lawful attestation.
TEMPORAL: Rule (11) is not among the rules substituted by the Notaries (Amendment) Act No. 31 of 2022 s.16 or by Act No. 6 of 2024 s.3; the text shown applies at 2021-10.</t>
        </is>
      </c>
      <c r="K376" s="17" t="inlineStr">
        <is>
          <t>[verified]</t>
        </is>
      </c>
      <c r="L376" s="21" t="n"/>
      <c r="M376" s="21" t="n"/>
      <c r="N376" s="21" t="n"/>
      <c r="O376" s="21" t="n"/>
      <c r="P376" s="21" t="n"/>
      <c r="Q376" s="17">
        <f>IF(OR(A376="",B376=""),"",IF(AND(L376&lt;&gt;"",P376&lt;&gt;"",IF(L376="Wrong citation",AND(M376&lt;&gt;"",N376&lt;&gt;""),TRUE)),"Complete","Pending"))</f>
        <v/>
      </c>
    </row>
    <row r="377">
      <c r="A377" s="19" t="inlineStr">
        <is>
          <t>M056-Q04</t>
        </is>
      </c>
      <c r="B377" s="19" t="inlineStr">
        <is>
          <t>PROV-M056-008</t>
        </is>
      </c>
      <c r="C377" s="17" t="inlineStr">
        <is>
          <t>Notaries Ordinance No. 1 of 1907</t>
        </is>
      </c>
      <c r="D377" s="17" t="inlineStr">
        <is>
          <t>s.38 (1) and (2)</t>
        </is>
      </c>
      <c r="E377" s="17" t="inlineStr">
        <is>
          <t>2021-10</t>
        </is>
      </c>
      <c r="F377" s="17" t="inlineStr">
        <is>
          <t>Current on reference date</t>
        </is>
      </c>
      <c r="G377" s="17" t="inlineStr">
        <is>
          <t>(1) It shall be the duty of every notary to endeavour to ascertain the true and full consideration for the execution of any deed, and to insert and set forth the same in such deed. (2) Any notary who shall knowingly and willfully insert or set forth in or upon any such deed any other than the full and true consideration or money directly or indirectly paid or secured, or agreed to be paid or secured for the same, or the actual value of the same, or shall abet the doing thereof, respectively, shall be guilty of an offence</t>
        </is>
      </c>
      <c r="H377" s="17" t="inlineStr">
        <is>
          <t>https://www.rgd.gov.lk/web/images/ActsPDF/notary/Notaries-English.pdf</t>
        </is>
      </c>
      <c r="I377" s="17" t="inlineStr">
        <is>
          <t>Indispensable</t>
        </is>
      </c>
      <c r="J377" s="17" t="inlineStr">
        <is>
          <t>The central provision for the request to understate the rental. Subsection (1) puts the notary under a positive duty to ascertain and set out the true and full consideration; subsection (2) makes knowingly inserting anything other than the full and true consideration, or abetting it, an offence with civil liability in addition.
TEMPORAL: Subsection (1) has stood since 1907. The Notaries (Amendment) Act No. 31 of 2022 s.18 amended subsection (2) only by substituting the words "not exceeding fifty thousand rupees" for "not exceeding twenty five thousand rupees". The excerpt stops before the penalty words, so the quoted text was in force at 2021-10; the maximum fine at that date was twenty five thousand rupees, not the fifty thousand shown in the corpus body.</t>
        </is>
      </c>
      <c r="K377" s="17" t="inlineStr">
        <is>
          <t>[verified] Temporal analysis checked against 31-2022 s.18, which substituted "not exceeding fifty thousand rupees" for "not exceeding twenty five thousand rupees" in subsection (2) only; the excerpt stops before the penalty words. 6-2024 s.4 inserted s.38A and did not touch s.38.</t>
        </is>
      </c>
      <c r="L377" s="21" t="n"/>
      <c r="M377" s="21" t="n"/>
      <c r="N377" s="21" t="n"/>
      <c r="O377" s="21" t="n"/>
      <c r="P377" s="21" t="n"/>
      <c r="Q377" s="17">
        <f>IF(OR(A377="",B377=""),"",IF(AND(L377&lt;&gt;"",P377&lt;&gt;"",IF(L377="Wrong citation",AND(M377&lt;&gt;"",N377&lt;&gt;""),TRUE)),"Complete","Pending"))</f>
        <v/>
      </c>
    </row>
    <row r="378">
      <c r="A378" s="19" t="inlineStr">
        <is>
          <t>M056-Q04</t>
        </is>
      </c>
      <c r="B378" s="19" t="inlineStr">
        <is>
          <t>PROV-M056-009</t>
        </is>
      </c>
      <c r="C378" s="17" t="inlineStr">
        <is>
          <t>Notaries Ordinance No. 1 of 1907</t>
        </is>
      </c>
      <c r="D378" s="17" t="inlineStr">
        <is>
          <t>s.39 (b)</t>
        </is>
      </c>
      <c r="E378" s="17" t="inlineStr">
        <is>
          <t>2021-10</t>
        </is>
      </c>
      <c r="F378" s="17" t="inlineStr">
        <is>
          <t>Current on reference date</t>
        </is>
      </c>
      <c r="G378" s="17" t="inlineStr">
        <is>
          <t>shall knowingly and willfully, with intent to prejudice or defraud any person, insert in any deed or instrument whatsoever any word, letter, figure, matter, or thing which ought not to have been inserted therein, or omit to insert therein any word, letter, figure, matter, or thing which ought to have been inserted therein</t>
        </is>
      </c>
      <c r="H378" s="17" t="inlineStr">
        <is>
          <t>https://www.rgd.gov.lk/web/images/ActsPDF/notary/Notaries-English.pdf</t>
        </is>
      </c>
      <c r="I378" s="17" t="inlineStr">
        <is>
          <t>Indispensable</t>
        </is>
      </c>
      <c r="J378" s="17" t="inlineStr">
        <is>
          <t>Inserting a rental figure the notary knows to be false, with intent to defeat the revenue, falls within paragraph (b) and exposes him to the heavier penalty for fraud in the execution of his office, over and above the section 38 offence.
TEMPORAL: Paragraph (b) was not amended in 2022. The Notaries (Amendment) Act No. 31 of 2022 s.19 amended paragraph (c) and substituted the closing penalty words, so that imprisonment "not exceeding five years" became ten years with a fine and compensation. The excerpt is confined to paragraph (b) and was in force at 2021-10; the penalty at that date was imprisonment not exceeding five years.</t>
        </is>
      </c>
      <c r="K378" s="17" t="inlineStr">
        <is>
          <t>[verified] Temporal analysis checked against 31-2022 s.19, which amended paragraph (c) and the closing penalty words only; paragraph (b) is unchanged.</t>
        </is>
      </c>
      <c r="L378" s="21" t="n"/>
      <c r="M378" s="21" t="n"/>
      <c r="N378" s="21" t="n"/>
      <c r="O378" s="21" t="n"/>
      <c r="P378" s="21" t="n"/>
      <c r="Q378" s="17">
        <f>IF(OR(A378="",B378=""),"",IF(AND(L378&lt;&gt;"",P378&lt;&gt;"",IF(L378="Wrong citation",AND(M378&lt;&gt;"",N378&lt;&gt;""),TRUE)),"Complete","Pending"))</f>
        <v/>
      </c>
    </row>
    <row r="379">
      <c r="A379" s="19" t="inlineStr">
        <is>
          <t>M056-Q04</t>
        </is>
      </c>
      <c r="B379" s="19" t="inlineStr">
        <is>
          <t>PROV-M056-010</t>
        </is>
      </c>
      <c r="C379" s="17" t="inlineStr">
        <is>
          <t>Stamp Duty (Special Provisions) Act No. 12 of 2006</t>
        </is>
      </c>
      <c r="D379" s="17" t="inlineStr">
        <is>
          <t>s.4 (i)</t>
        </is>
      </c>
      <c r="E379" s="17" t="inlineStr">
        <is>
          <t>2021-10</t>
        </is>
      </c>
      <c r="F379" s="17" t="inlineStr">
        <is>
          <t>Current on reference date</t>
        </is>
      </c>
      <c r="G379" s="17" t="inlineStr">
        <is>
          <t>(g) a bond or mortgage for any definite and certain sum of money and affecting any property; (h) a promissory note; (i) a lease or hire of any property;</t>
        </is>
      </c>
      <c r="H379" s="17" t="inlineStr">
        <is>
          <t>https://www.ird.gov.lk/en/Type%20of%20Taxes/Stamp%20Duty_Acts/SDActNo.12%5BE%5D2006ConsolFinal.pdf</t>
        </is>
      </c>
      <c r="I379" s="17" t="inlineStr">
        <is>
          <t>Indispensable</t>
        </is>
      </c>
      <c r="J379" s="17" t="inlineStr">
        <is>
          <t>Makes a lease a specified instrument, so the lease agreement is chargeable with stamp duty. Without it the stamp duty motive behind the parties' request has no statutory footing.
TEMPORAL: In force from 2006 with no recorded amendment; the text shown applies at 2021-10.</t>
        </is>
      </c>
      <c r="K379" s="17" t="inlineStr">
        <is>
          <t>[verified] Verbatim and correct, though the excerpt also carries paragraphs (g) and (h) while the subsection field records only (i).</t>
        </is>
      </c>
      <c r="L379" s="21" t="n"/>
      <c r="M379" s="21" t="n"/>
      <c r="N379" s="21" t="n"/>
      <c r="O379" s="21" t="n"/>
      <c r="P379" s="21" t="n"/>
      <c r="Q379" s="17">
        <f>IF(OR(A379="",B379=""),"",IF(AND(L379&lt;&gt;"",P379&lt;&gt;"",IF(L379="Wrong citation",AND(M379&lt;&gt;"",N379&lt;&gt;""),TRUE)),"Complete","Pending"))</f>
        <v/>
      </c>
    </row>
    <row r="380">
      <c r="A380" s="19" t="inlineStr">
        <is>
          <t>M056-Q04</t>
        </is>
      </c>
      <c r="B380" s="19" t="inlineStr">
        <is>
          <t>PROV-M056-011</t>
        </is>
      </c>
      <c r="C380" s="17" t="inlineStr">
        <is>
          <t>Stamp Duty (Special Provisions) Act No. 12 of 2006</t>
        </is>
      </c>
      <c r="D380" s="17" t="inlineStr">
        <is>
          <t>s.6 (c)</t>
        </is>
      </c>
      <c r="E380" s="17" t="inlineStr">
        <is>
          <t>2021-10</t>
        </is>
      </c>
      <c r="F380" s="17" t="inlineStr">
        <is>
          <t>Current on reference date</t>
        </is>
      </c>
      <c r="G380" s="17" t="inlineStr">
        <is>
          <t>in the case of a lease, by the lessee;</t>
        </is>
      </c>
      <c r="H380" s="17" t="inlineStr">
        <is>
          <t>https://www.ird.gov.lk/en/Type%20of%20Taxes/Stamp%20Duty_Acts/SDActNo.12%5BE%5D2006ConsolFinal.pdf</t>
        </is>
      </c>
      <c r="I380" s="17" t="inlineStr">
        <is>
          <t>Supporting</t>
        </is>
      </c>
      <c r="J380" s="17" t="inlineStr">
        <is>
          <t>Identifies Kapila Warnakulasooriya as the person on whom the duty falls, absent agreement to the contrary, and so identifies who stands to be assessed if the instrument understates the rental.
TEMPORAL: Section 6 was amended by Act No. 10 of 2008; paragraph (c) stands in the consolidated text and applied at 2021-10.</t>
        </is>
      </c>
      <c r="K380" s="17" t="inlineStr">
        <is>
          <t>[verified]</t>
        </is>
      </c>
      <c r="L380" s="21" t="n"/>
      <c r="M380" s="21" t="n"/>
      <c r="N380" s="21" t="n"/>
      <c r="O380" s="21" t="n"/>
      <c r="P380" s="21" t="n"/>
      <c r="Q380" s="17">
        <f>IF(OR(A380="",B380=""),"",IF(AND(L380&lt;&gt;"",P380&lt;&gt;"",IF(L380="Wrong citation",AND(M380&lt;&gt;"",N380&lt;&gt;""),TRUE)),"Complete","Pending"))</f>
        <v/>
      </c>
    </row>
    <row r="381">
      <c r="A381" s="19" t="inlineStr">
        <is>
          <t>M056-Q04</t>
        </is>
      </c>
      <c r="B381" s="19" t="inlineStr">
        <is>
          <t>PROV-M056-012</t>
        </is>
      </c>
      <c r="C381" s="17" t="inlineStr">
        <is>
          <t>Stamp Duty (Special Provisions) Act No. 12 of 2006</t>
        </is>
      </c>
      <c r="D381" s="17" t="inlineStr">
        <is>
          <t>s.3 (1)</t>
        </is>
      </c>
      <c r="E381" s="17" t="inlineStr">
        <is>
          <t>2021-10</t>
        </is>
      </c>
      <c r="F381" s="17" t="inlineStr">
        <is>
          <t>Current on reference date</t>
        </is>
      </c>
      <c r="G381" s="17" t="inlineStr">
        <is>
          <t>there shall be charged a duty (hereinafter to be called "stamp duty") at such rate as the Minister may determine by Order published in the Gazette on every "specified instrument"- (a) executed, drawn or presented in Sri Lanka;</t>
        </is>
      </c>
      <c r="H381" s="17" t="inlineStr">
        <is>
          <t>https://www.ird.gov.lk/en/Type%20of%20Taxes/Stamp%20Duty_Acts/SDActNo.12%5BE%5D2006ConsolFinal.pdf</t>
        </is>
      </c>
      <c r="I381" s="17" t="inlineStr">
        <is>
          <t>Supporting</t>
        </is>
      </c>
      <c r="J381" s="17" t="inlineStr">
        <is>
          <t>The charging provision. It shows the duty is a rate applied to the instrument as executed in Sri Lanka, which is why the figure the notary writes into the lease determines the duty collected.
TEMPORAL: In force from 2006 with no recorded amendment; the text shown applies at 2021-10. The rate Order itself is not in the corpus.</t>
        </is>
      </c>
      <c r="K381" s="17" t="inlineStr">
        <is>
          <t>[verified]</t>
        </is>
      </c>
      <c r="L381" s="21" t="n"/>
      <c r="M381" s="21" t="n"/>
      <c r="N381" s="21" t="n"/>
      <c r="O381" s="21" t="n"/>
      <c r="P381" s="21" t="n"/>
      <c r="Q381" s="17">
        <f>IF(OR(A381="",B381=""),"",IF(AND(L381&lt;&gt;"",P381&lt;&gt;"",IF(L381="Wrong citation",AND(M381&lt;&gt;"",N381&lt;&gt;""),TRUE)),"Complete","Pending"))</f>
        <v/>
      </c>
    </row>
    <row r="382">
      <c r="A382" s="19" t="inlineStr">
        <is>
          <t>M056-Q04</t>
        </is>
      </c>
      <c r="B382" s="19" t="inlineStr">
        <is>
          <t>PROV-M056-013</t>
        </is>
      </c>
      <c r="C382" s="17" t="inlineStr">
        <is>
          <t>Stamp Duty (Special Provisions) Act No. 12 of 2006</t>
        </is>
      </c>
      <c r="D382" s="17" t="inlineStr">
        <is>
          <t>s.10</t>
        </is>
      </c>
      <c r="E382" s="17" t="inlineStr">
        <is>
          <t>2021-10</t>
        </is>
      </c>
      <c r="F382" s="17" t="inlineStr">
        <is>
          <t>Current on reference date</t>
        </is>
      </c>
      <c r="G382" s="17" t="inlineStr">
        <is>
          <t>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t>
        </is>
      </c>
      <c r="H382" s="17" t="inlineStr">
        <is>
          <t>https://www.ird.gov.lk/en/Type%20of%20Taxes/Stamp%20Duty_Acts/SDActNo.12%5BE%5D2006ConsolFinal.pdf</t>
        </is>
      </c>
      <c r="I382" s="17" t="inlineStr">
        <is>
          <t>Supporting</t>
        </is>
      </c>
      <c r="J382" s="17" t="inlineStr">
        <is>
          <t>Shows that understating the rental does not extinguish the duty: an Assessor may assess and recover the correct duty from the person liable, so the parties gain nothing lawful and the notary would have exposed himself for no purpose.
TEMPORAL: In force from 2006 with no recorded amendment; the text shown applies at 2021-10.</t>
        </is>
      </c>
      <c r="K382" s="17" t="inlineStr">
        <is>
          <t>[verified]</t>
        </is>
      </c>
      <c r="L382" s="21" t="n"/>
      <c r="M382" s="21" t="n"/>
      <c r="N382" s="21" t="n"/>
      <c r="O382" s="21" t="n"/>
      <c r="P382" s="21" t="n"/>
      <c r="Q382" s="17">
        <f>IF(OR(A382="",B382=""),"",IF(AND(L382&lt;&gt;"",P382&lt;&gt;"",IF(L382="Wrong citation",AND(M382&lt;&gt;"",N382&lt;&gt;""),TRUE)),"Complete","Pending"))</f>
        <v/>
      </c>
    </row>
    <row r="383">
      <c r="A383" s="19" t="inlineStr">
        <is>
          <t>M056-Q04</t>
        </is>
      </c>
      <c r="B383" s="19" t="inlineStr">
        <is>
          <t>PROV-M056-014</t>
        </is>
      </c>
      <c r="C383" s="17" t="inlineStr">
        <is>
          <t>Notaries Ordinance No. 1 of 1907</t>
        </is>
      </c>
      <c r="D383" s="17" t="inlineStr">
        <is>
          <t>s.31 rule (20)(f)</t>
        </is>
      </c>
      <c r="E383" s="17" t="inlineStr">
        <is>
          <t>2021-10</t>
        </is>
      </c>
      <c r="F383" s="17" t="inlineStr">
        <is>
          <t>Current on reference date</t>
        </is>
      </c>
      <c r="G383" s="17" t="inlineStr">
        <is>
          <t>the number and value of the adhesive stamps affixed to or the value of the impressed stamps on such deed or instrument and the duplicate thereof</t>
        </is>
      </c>
      <c r="H383" s="17" t="inlineStr">
        <is>
          <t>https://www.rgd.gov.lk/web/images/ActsPDF/notary/Notaries-English.pdf</t>
        </is>
      </c>
      <c r="I383" s="17" t="inlineStr">
        <is>
          <t>Supporting</t>
        </is>
      </c>
      <c r="J383" s="17" t="inlineStr">
        <is>
          <t>The attestation itself must state the value of the stamps. A notary who writes a reduced rental into the lease will also certify a stamp value corresponding to the false figure, so the falsehood is carried into his own attestation.
TEMPORAL: The Notaries (Amendment) Act No. 31 of 2022 s.16(11) altered paragraphs (b), (e) and (g) of rule (20) and added paragraph (h); paragraph (f) was not amended, so the text shown applies at 2021-10.</t>
        </is>
      </c>
      <c r="K383" s="17" t="inlineStr">
        <is>
          <t>[verified] Checked against 31-2022 s.16(11), which altered paragraphs (b), (e) and (g) of rule (20) and added (h); paragraph (f) is unchanged.</t>
        </is>
      </c>
      <c r="L383" s="21" t="n"/>
      <c r="M383" s="21" t="n"/>
      <c r="N383" s="21" t="n"/>
      <c r="O383" s="21" t="n"/>
      <c r="P383" s="21" t="n"/>
      <c r="Q383" s="17">
        <f>IF(OR(A383="",B383=""),"",IF(AND(L383&lt;&gt;"",P383&lt;&gt;"",IF(L383="Wrong citation",AND(M383&lt;&gt;"",N383&lt;&gt;""),TRUE)),"Complete","Pending"))</f>
        <v/>
      </c>
    </row>
    <row r="384">
      <c r="A384" s="19" t="inlineStr">
        <is>
          <t>M056-Q04</t>
        </is>
      </c>
      <c r="B384" s="19" t="inlineStr">
        <is>
          <t>PROV-M056-015</t>
        </is>
      </c>
      <c r="C384" s="17" t="inlineStr">
        <is>
          <t>Notaries Ordinance No. 1 of 1907</t>
        </is>
      </c>
      <c r="D384" s="17" t="inlineStr">
        <is>
          <t>s.31 rule (6)</t>
        </is>
      </c>
      <c r="E384" s="17" t="inlineStr">
        <is>
          <t>2021-10</t>
        </is>
      </c>
      <c r="F384" s="17" t="inlineStr">
        <is>
          <t>Unclear</t>
        </is>
      </c>
      <c r="G384" s="17" t="inlineStr">
        <is>
          <t>He shall not authenticate or attest any deed or instrument unless he has an assurance that the required stamp duty is provided.</t>
        </is>
      </c>
      <c r="H384" s="17" t="inlineStr">
        <is>
          <t>https://www.rgd.gov.lk/web/images/ActsPDF/notary/Notaries-English.pdf</t>
        </is>
      </c>
      <c r="I384" s="17" t="inlineStr">
        <is>
          <t>Supporting</t>
        </is>
      </c>
      <c r="J384" s="17" t="inlineStr">
        <is>
          <t>Bars the notary from attesting at all unless satisfied that the required stamp duty is provided, which is what a deliberately understated rental defeats.
TEMPORAL: Rule (6) as shown was substituted by the Notaries (Amendment) Act No. 31 of 2022 s.16(4), after the matter date, and the corpus does not hold the pre-2022 wording. Recorded as supporting context only; no claim relies on it. The verifier should confirm the rule (6) text in force in October 2021.</t>
        </is>
      </c>
      <c r="K384" s="17" t="inlineStr">
        <is>
          <t>[unresolved] The rule (6) text in the corpus is the text substituted by 31-2022 s.16(4); the amending section does not reproduce the pre-2022 wording, so what rule (6) said in October 2021 cannot be established from the corpus. Correctly kept out of every claim.</t>
        </is>
      </c>
      <c r="L384" s="21" t="n"/>
      <c r="M384" s="21" t="n"/>
      <c r="N384" s="21" t="n"/>
      <c r="O384" s="21" t="n"/>
      <c r="P384" s="21" t="n"/>
      <c r="Q384" s="17">
        <f>IF(OR(A384="",B384=""),"",IF(AND(L384&lt;&gt;"",P384&lt;&gt;"",IF(L384="Wrong citation",AND(M384&lt;&gt;"",N384&lt;&gt;""),TRUE)),"Complete","Pending"))</f>
        <v/>
      </c>
    </row>
    <row r="385">
      <c r="A385" s="19" t="inlineStr">
        <is>
          <t>M056-Q04</t>
        </is>
      </c>
      <c r="B385" s="19" t="inlineStr">
        <is>
          <t>PROV-M056-016</t>
        </is>
      </c>
      <c r="C385" s="17" t="inlineStr">
        <is>
          <t>Notaries Ordinance No. 1 of 1907</t>
        </is>
      </c>
      <c r="D385" s="17" t="inlineStr">
        <is>
          <t>s.34 (1)(a)</t>
        </is>
      </c>
      <c r="E385" s="17" t="inlineStr">
        <is>
          <t>2021-10</t>
        </is>
      </c>
      <c r="F385" s="17" t="inlineStr">
        <is>
          <t>Unclear</t>
        </is>
      </c>
      <c r="G385" s="17" t="inlineStr">
        <is>
          <t>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t>
        </is>
      </c>
      <c r="H385" s="17" t="inlineStr">
        <is>
          <t>https://www.rgd.gov.lk/web/images/ActsPDF/notary/Notaries-English.pdf</t>
        </is>
      </c>
      <c r="I385" s="17" t="inlineStr">
        <is>
          <t>Supporting</t>
        </is>
      </c>
      <c r="J385" s="17" t="inlineStr">
        <is>
          <t>Shows the general scheme by which breaches of the section 31 rules are punished on summary trial before a Magistrate, in addition to civil liability.
TEMPORAL: Section 34 was repealed and wholly replaced by the Notaries (Amendment) Act No. 31 of 2022 s.17, after the matter date, and the corpus holds only the replacement text. The fine bands shown are therefore not those in force in October 2021. Recorded as supporting context only; no claim relies on the amounts.</t>
        </is>
      </c>
      <c r="K385" s="17" t="inlineStr">
        <is>
          <t>[unresolved] 31-2022 s.17 repealed and replaced the whole of s.34, and the corpus holds only the replacement, so the 2021 fine bands cannot be established from the corpus. Correctly kept out of every claim.</t>
        </is>
      </c>
      <c r="L385" s="21" t="n"/>
      <c r="M385" s="21" t="n"/>
      <c r="N385" s="21" t="n"/>
      <c r="O385" s="21" t="n"/>
      <c r="P385" s="21" t="n"/>
      <c r="Q385" s="17">
        <f>IF(OR(A385="",B385=""),"",IF(AND(L385&lt;&gt;"",P385&lt;&gt;"",IF(L385="Wrong citation",AND(M385&lt;&gt;"",N385&lt;&gt;""),TRUE)),"Complete","Pending"))</f>
        <v/>
      </c>
    </row>
    <row r="386">
      <c r="A386" s="19" t="inlineStr">
        <is>
          <t>M056-Q04</t>
        </is>
      </c>
      <c r="B386" s="19" t="inlineStr">
        <is>
          <t>PROV-M056-017</t>
        </is>
      </c>
      <c r="C386" s="17" t="inlineStr">
        <is>
          <t>Notaries Ordinance No. 1 of 1907</t>
        </is>
      </c>
      <c r="D386" s="17" t="inlineStr">
        <is>
          <t>s.21 (1)(b) and (c)</t>
        </is>
      </c>
      <c r="E386" s="17" t="inlineStr">
        <is>
          <t>2021-10</t>
        </is>
      </c>
      <c r="F386" s="17" t="inlineStr">
        <is>
          <t>Current on reference date</t>
        </is>
      </c>
      <c r="G386" s="17" t="inlineStr">
        <is>
          <t>has grossly misconducted himself in the discharge of the duties of his office; or (c) has so conducted himself by repeated breaches of any of the rules made by or under this Ordinance that he ought not to be any longer entrusted with the performance of the said duties</t>
        </is>
      </c>
      <c r="H386" s="17" t="inlineStr">
        <is>
          <t>https://www.rgd.gov.lk/web/images/ActsPDF/notary/Notaries-English.pdf</t>
        </is>
      </c>
      <c r="I386" s="17" t="inlineStr">
        <is>
          <t>Supporting</t>
        </is>
      </c>
      <c r="J386" s="17" t="inlineStr">
        <is>
          <t>Supplies the professional, as distinct from criminal, liability: gross misconduct in the discharge of notarial duties is a ground for inquiry and for a report on which the Minister may suspend the notary or cancel his warrant.
TEMPORAL: The Notaries (Amendment) Act No. 31 of 2022 s.11 amended only paragraph (e) of subsection (1), where "incompetence, age" became "incompetence", and the fine in subsection (4). Paragraphs (b) and (c) quoted here are unchanged and applied at 2021-10.</t>
        </is>
      </c>
      <c r="K386" s="17" t="inlineStr">
        <is>
          <t>[partially_verified] Paragraphs (b) and (c) are verbatim and, per 31-2022 s.11, unamended at 2021-10; but the excerpt carries only the grounds in subsection (1), not the Minister's power to suspend or cancel the warrant that why_relevant and CL-M056-Q04-008 rely on, which is in s.21(2) of the same section and is unamended.</t>
        </is>
      </c>
      <c r="L386" s="21" t="n"/>
      <c r="M386" s="21" t="n"/>
      <c r="N386" s="21" t="n"/>
      <c r="O386" s="21" t="n"/>
      <c r="P386" s="21" t="n"/>
      <c r="Q386" s="17">
        <f>IF(OR(A386="",B386=""),"",IF(AND(L386&lt;&gt;"",P386&lt;&gt;"",IF(L386="Wrong citation",AND(M386&lt;&gt;"",N386&lt;&gt;""),TRUE)),"Complete","Pending"))</f>
        <v/>
      </c>
    </row>
    <row r="387">
      <c r="A387" s="19" t="inlineStr">
        <is>
          <t>M056-Q04</t>
        </is>
      </c>
      <c r="B387" s="19" t="inlineStr">
        <is>
          <t>PROV-M056-901</t>
        </is>
      </c>
      <c r="C387" s="17" t="inlineStr">
        <is>
          <t>Notaries Ordinance No. 1 of 1907</t>
        </is>
      </c>
      <c r="D387" s="17" t="inlineStr">
        <is>
          <t>s.39 (f)</t>
        </is>
      </c>
      <c r="E387" s="17" t="inlineStr">
        <is>
          <t>2021-10</t>
        </is>
      </c>
      <c r="F387" s="17" t="inlineStr">
        <is>
          <t>Current on reference date</t>
        </is>
      </c>
      <c r="G387" s="17" t="inlineStr">
        <is>
          <t>shall by any other willful act, either of commission or omission, commit or attempt to commit any fraud in the execution of his office</t>
        </is>
      </c>
      <c r="H387" s="17" t="inlineStr">
        <is>
          <t>https://www.rgd.gov.lk/web/images/ActsPDF/notary/Notaries-English.pdf</t>
        </is>
      </c>
      <c r="I387" s="17" t="inlineStr">
        <is>
          <t>Supporting</t>
        </is>
      </c>
      <c r="J387" s="17" t="inlineStr">
        <is>
          <t>Added by the verifier. Paragraph (b), on which the researcher relies, requires an intent to prejudice or defraud "any person", and the Ordinance does not define "person"; whether the revenue is such a person is an open reading. Paragraph (f) catches any wilful act or omission by which the notary commits or attempts to commit a fraud in the execution of his office and reaches the same conduct without that reading, so it secures the section 39 limb of the answer.
TEMPORAL: Paragraph (f) was not amended by 31-2022 s.19, which touched only paragraph (c) and the closing penalty words, nor by any later Act in the corpus; the text shown applied at 2021-10. As with paragraph (b), the penalty at that date was imprisonment not exceeding five years, the excerpt stopping before the penalty words.</t>
        </is>
      </c>
      <c r="K387" s="17" t="inlineStr">
        <is>
          <t>[verified] Excerpt checked verbatim against 1-1907/s39 by the verifier.</t>
        </is>
      </c>
      <c r="L387" s="21" t="n"/>
      <c r="M387" s="21" t="n"/>
      <c r="N387" s="21" t="n"/>
      <c r="O387" s="21" t="n"/>
      <c r="P387" s="21" t="n"/>
      <c r="Q387" s="17">
        <f>IF(OR(A387="",B387=""),"",IF(AND(L387&lt;&gt;"",P387&lt;&gt;"",IF(L387="Wrong citation",AND(M387&lt;&gt;"",N387&lt;&gt;""),TRUE)),"Complete","Pending"))</f>
        <v/>
      </c>
    </row>
    <row r="388">
      <c r="A388" s="19" t="inlineStr">
        <is>
          <t>M057-Q01</t>
        </is>
      </c>
      <c r="B388" s="19" t="inlineStr">
        <is>
          <t>PROV-M057-001</t>
        </is>
      </c>
      <c r="C388" s="17" t="inlineStr">
        <is>
          <t>Notaries Ordinance No. 1 of 1907</t>
        </is>
      </c>
      <c r="D388" s="17" t="inlineStr">
        <is>
          <t>s.30</t>
        </is>
      </c>
      <c r="E388" s="17" t="inlineStr">
        <is>
          <t>2021-10</t>
        </is>
      </c>
      <c r="F388" s="17" t="inlineStr">
        <is>
          <t>Current on reference date</t>
        </is>
      </c>
      <c r="G388" s="17" t="inlineStr">
        <is>
          <t>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t>
        </is>
      </c>
      <c r="H388" s="17" t="inlineStr">
        <is>
          <t>https://www.rgd.gov.lk/web/images/ActsPDF/notary/Notaries-English.pdf</t>
        </is>
      </c>
      <c r="I388" s="17" t="inlineStr">
        <is>
          <t>Indispensable</t>
        </is>
      </c>
      <c r="J388" s="17" t="inlineStr">
        <is>
          <t>This is the operative penal provision. It makes acting as a notary without the yearly certificate an offence, and it makes the offence bite in respect of every deed executed or acknowledged before the notary while he was uncertificated, which is exactly the lease Kamal Ratnayake attested.
TEMPORAL: In force from 1907. The only recorded change is the fine increase by the Increase of Fines Act No. 12 of 2005, which is in force well before 2021-10; the Rs. 5,000 to Rs. 25,000 range therefore applies at the matter date.</t>
        </is>
      </c>
      <c r="K388" s="17" t="inlineStr">
        <is>
          <t>[partially_verified] Wording verified verbatim against 1-1907/s30 and the Rs. 5,000-25,000 range does apply at 2021-10, but the temporal note misattributes the increase: Increase of Fines Act No. 12 of 2005 s.5 is the Sinhala-text clause, the operative amending provision being s.2 read with the Schedules; s.30 carries no post-2021 amendment event, so the corpus text is the as-at-matter-date text.</t>
        </is>
      </c>
      <c r="L388" s="21" t="n"/>
      <c r="M388" s="21" t="n"/>
      <c r="N388" s="21" t="n"/>
      <c r="O388" s="21" t="n"/>
      <c r="P388" s="21" t="n"/>
      <c r="Q388" s="17">
        <f>IF(OR(A388="",B388=""),"",IF(AND(L388&lt;&gt;"",P388&lt;&gt;"",IF(L388="Wrong citation",AND(M388&lt;&gt;"",N388&lt;&gt;""),TRUE)),"Complete","Pending"))</f>
        <v/>
      </c>
    </row>
    <row r="389">
      <c r="A389" s="19" t="inlineStr">
        <is>
          <t>M057-Q01</t>
        </is>
      </c>
      <c r="B389" s="19" t="inlineStr">
        <is>
          <t>PROV-M057-002</t>
        </is>
      </c>
      <c r="C389" s="17" t="inlineStr">
        <is>
          <t>Notaries Ordinance No. 1 of 1907</t>
        </is>
      </c>
      <c r="D389" s="17" t="inlineStr">
        <is>
          <t>s.27(2)</t>
        </is>
      </c>
      <c r="E389" s="17" t="inlineStr">
        <is>
          <t>2021-10</t>
        </is>
      </c>
      <c r="F389" s="17" t="inlineStr">
        <is>
          <t>Current on reference date</t>
        </is>
      </c>
      <c r="G389" s="17" t="inlineStr">
        <is>
          <t>All such certificates shall be applied for and granted on or before the first day of April in every year, and shall be in force for one year and no longer: 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t>
        </is>
      </c>
      <c r="H389" s="17" t="inlineStr">
        <is>
          <t>https://www.rgd.gov.lk/web/images/ActsPDF/notary/Notaries-English.pdf</t>
        </is>
      </c>
      <c r="I389" s="17" t="inlineStr">
        <is>
          <t>Indispensable</t>
        </is>
      </c>
      <c r="J389" s="17" t="inlineStr">
        <is>
          <t>Section 30 punishes acting without "such certificate as aforesaid"; s.27 is what that phrase refers to. It creates the yearly certificate issued by the Registrar of the High Court of the zone, fixes the annual application deadline, limits the certificate to one year, and supplies the only statutory relief for a notary who missed the deadline through accident, misfortune or other unavoidable cause.
TEMPORAL: In force from 1907. Subsection (3) was substituted by Notaries (Amendment) Act No. 13 of 2013 s.2 (before the matter date). Subsection (2) was later amended by Notaries (Amendment) Act No. 31 of 2022 s.14, which substituted "April" for "March"; that change post-dates 2021-10, so at the matter date the deadline was the first day of March. The excerpt is taken from the consolidated corpus text and so shows "April". Nothing in the answer turns on which month it was: the notary obtained no certificate at all for the year.</t>
        </is>
      </c>
      <c r="K389" s="17" t="inlineStr">
        <is>
          <t>[partially_verified] Excerpt verified verbatim, but it reproduces the post-matter wording: 31-2022 s.14 substituted "April" for "March" in subsection (2), so at 2021-10 the deadline read the first day of March, and the corpus holds no as-at-2021 snapshot; the excerpt also covers subsection (2) only, while claim CL-M057-Q01-001 additionally rests on the subsection (1) duty of the Registrar of the High Court to issue the certificate.</t>
        </is>
      </c>
      <c r="L389" s="21" t="n"/>
      <c r="M389" s="21" t="n"/>
      <c r="N389" s="21" t="n"/>
      <c r="O389" s="21" t="n"/>
      <c r="P389" s="21" t="n"/>
      <c r="Q389" s="17">
        <f>IF(OR(A389="",B389=""),"",IF(AND(L389&lt;&gt;"",P389&lt;&gt;"",IF(L389="Wrong citation",AND(M389&lt;&gt;"",N389&lt;&gt;""),TRUE)),"Complete","Pending"))</f>
        <v/>
      </c>
    </row>
    <row r="390">
      <c r="A390" s="19" t="inlineStr">
        <is>
          <t>M057-Q01</t>
        </is>
      </c>
      <c r="B390" s="19" t="inlineStr">
        <is>
          <t>PROV-M057-003</t>
        </is>
      </c>
      <c r="C390" s="17" t="inlineStr">
        <is>
          <t>Notaries Ordinance No. 1 of 1907</t>
        </is>
      </c>
      <c r="D390" s="17" t="inlineStr">
        <is>
          <t>s.35(1)</t>
        </is>
      </c>
      <c r="E390" s="17" t="inlineStr">
        <is>
          <t>2021-10</t>
        </is>
      </c>
      <c r="F390" s="17" t="inlineStr">
        <is>
          <t>Current on reference date</t>
        </is>
      </c>
      <c r="G390" s="17" t="inlineStr">
        <is>
          <t>the Registrar-General may, if he thinks fit, instead of instituting criminal proceedings against such notary, accept from him such sum of money as he may consider proper in composition of the offence</t>
        </is>
      </c>
      <c r="H390" s="17" t="inlineStr">
        <is>
          <t>https://www.rgd.gov.lk/web/images/ActsPDF/notary/Notaries-English.pdf</t>
        </is>
      </c>
      <c r="I390" s="17" t="inlineStr">
        <is>
          <t>Supporting</t>
        </is>
      </c>
      <c r="J390" s="17" t="inlineStr">
        <is>
          <t>Section 35(1) names s.30 among the compoundable offences, so the liability is not necessarily a prosecution: the Registrar-General may accept a sum in composition, after which criminal proceedings shall not be taken or continued. It qualifies how the s.30 liability may be discharged.
TEMPORAL: In force from 1907 with no recorded amendment events, so the text applies unchanged at 2021-10.</t>
        </is>
      </c>
      <c r="K390" s="17" t="inlineStr">
        <is>
          <t>[verified]</t>
        </is>
      </c>
      <c r="L390" s="21" t="n"/>
      <c r="M390" s="21" t="n"/>
      <c r="N390" s="21" t="n"/>
      <c r="O390" s="21" t="n"/>
      <c r="P390" s="21" t="n"/>
      <c r="Q390" s="17">
        <f>IF(OR(A390="",B390=""),"",IF(AND(L390&lt;&gt;"",P390&lt;&gt;"",IF(L390="Wrong citation",AND(M390&lt;&gt;"",N390&lt;&gt;""),TRUE)),"Complete","Pending"))</f>
        <v/>
      </c>
    </row>
    <row r="391">
      <c r="A391" s="19" t="inlineStr">
        <is>
          <t>M057-Q01</t>
        </is>
      </c>
      <c r="B391" s="19" t="inlineStr">
        <is>
          <t>PROV-M057-004</t>
        </is>
      </c>
      <c r="C391" s="17" t="inlineStr">
        <is>
          <t>Notaries Ordinance No. 1 of 1907</t>
        </is>
      </c>
      <c r="D391" s="17" t="inlineStr">
        <is>
          <t>s.21(2)</t>
        </is>
      </c>
      <c r="E391" s="17" t="inlineStr">
        <is>
          <t>2021-10</t>
        </is>
      </c>
      <c r="F391" s="17" t="inlineStr">
        <is>
          <t>Current on reference date</t>
        </is>
      </c>
      <c r="G391" s="17" t="inlineStr">
        <is>
          <t>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t>
        </is>
      </c>
      <c r="H391" s="17" t="inlineStr">
        <is>
          <t>https://www.rgd.gov.lk/web/images/ActsPDF/notary/Notaries-English.pdf</t>
        </is>
      </c>
      <c r="I391" s="17" t="inlineStr">
        <is>
          <t>Supporting</t>
        </is>
      </c>
      <c r="J391" s="17" t="inlineStr">
        <is>
          <t>Beyond the fine, an offence committed in the capacity of a notary opens the disciplinary route: on a report by the High Court Judge after inquiry under s.21(1), the Minister may cancel the warrant or suspend the notary. This is a possible further liability, not an automatic one, so it is supporting rather than indispensable.
TEMPORAL: In force from 1907. Notaries (Amendment) Act No. 31 of 2022 s.11 substituted parts of the section after the matter date; the subsection (2) power to cancel or suspend relied on here is long-standing, but a verifier should confirm the 2022 substitution did not touch the quoted words before treating the excerpt as the as-at-2021 text. Marked supporting for that reason.</t>
        </is>
      </c>
      <c r="K391" s="17" t="inlineStr">
        <is>
          <t>[verified] Verifier resolved the researcher's open point: 31-2022 s.11 amends only s.21(1)(e) ("incompetence, age" to "incompetence") and s.21(4) (fine), so the quoted subsection (2) is unchanged as-at-2021 text; the supporting rather than indispensable role is nonetheless correct, since s.21(2) bites only on a High Court Judge's report under s.21(1).</t>
        </is>
      </c>
      <c r="L391" s="21" t="n"/>
      <c r="M391" s="21" t="n"/>
      <c r="N391" s="21" t="n"/>
      <c r="O391" s="21" t="n"/>
      <c r="P391" s="21" t="n"/>
      <c r="Q391" s="17">
        <f>IF(OR(A391="",B391=""),"",IF(AND(L391&lt;&gt;"",P391&lt;&gt;"",IF(L391="Wrong citation",AND(M391&lt;&gt;"",N391&lt;&gt;""),TRUE)),"Complete","Pending"))</f>
        <v/>
      </c>
    </row>
    <row r="392">
      <c r="A392" s="19" t="inlineStr">
        <is>
          <t>M057-Q01</t>
        </is>
      </c>
      <c r="B392" s="19" t="inlineStr">
        <is>
          <t>PROV-M057-005</t>
        </is>
      </c>
      <c r="C392" s="17" t="inlineStr">
        <is>
          <t>Prevention of Frauds Ordinance No. 7 of 1840</t>
        </is>
      </c>
      <c r="D392" s="17" t="inlineStr">
        <is>
          <t>s.2(1)</t>
        </is>
      </c>
      <c r="E392" s="17" t="inlineStr">
        <is>
          <t>2021-10</t>
        </is>
      </c>
      <c r="F392" s="17" t="inlineStr">
        <is>
          <t>Current on reference date</t>
        </is>
      </c>
      <c r="G392" s="17" t="inlineStr">
        <is>
          <t>no promise, bargain, contract, or agreement for effecting any such object, or for establishing any security, interest, or incumbrance affecting land or other immovable property (other than a lease at will, or for any period not exceeding one month)</t>
        </is>
      </c>
      <c r="H392" s="17" t="inlineStr">
        <is>
          <t>https://lankalaw.net/wp-content/uploads/2025/03/Prevention-of-Frauds-Consolidated-2024.pdf</t>
        </is>
      </c>
      <c r="I392" s="17" t="inlineStr">
        <is>
          <t>Supporting</t>
        </is>
      </c>
      <c r="J392" s="17" t="inlineStr">
        <is>
          <t>A lease of a commercial building for four years falls outside the carve-out for leases at will or for periods not exceeding one month, so it had to be executed before and attested by a notary. That is why Kamal Ratnayake was acting in his capacity as a notary when he attested it, which is the condition s.30 attaches its per-deed penalty to.
TEMPORAL: The requirement of notarial execution for leases exceeding one month dates from 1840. The corpus text is consolidated and carries amendments by Act No. 30 of 2022 and Act No. 4 of 2024, both after the matter date; only the carve-out wording, which predates them, is relied on. Kept supporting rather than indispensable for that reason.</t>
        </is>
      </c>
      <c r="K392" s="17" t="inlineStr">
        <is>
          <t>[partially_verified] Excerpt verified verbatim and the carve-out survives untouched at the matter date (30-2022 s.2 repealed only the words from "shall be of force" onward; 4-2024 s.2 edited paragraphs (a) and (b)), but the recorded subsection "1" is anachronistic: the renumbering of s.2 as subsection (1) was made by 4-2024 s.2, so at 2021-10 s.2 was undivided.</t>
        </is>
      </c>
      <c r="L392" s="21" t="n"/>
      <c r="M392" s="21" t="n"/>
      <c r="N392" s="21" t="n"/>
      <c r="O392" s="21" t="n"/>
      <c r="P392" s="21" t="n"/>
      <c r="Q392" s="17">
        <f>IF(OR(A392="",B392=""),"",IF(AND(L392&lt;&gt;"",P392&lt;&gt;"",IF(L392="Wrong citation",AND(M392&lt;&gt;"",N392&lt;&gt;""),TRUE)),"Complete","Pending"))</f>
        <v/>
      </c>
    </row>
    <row r="393">
      <c r="A393" s="19" t="inlineStr">
        <is>
          <t>M057-Q01</t>
        </is>
      </c>
      <c r="B393" s="19" t="inlineStr">
        <is>
          <t>PROV-M057-006</t>
        </is>
      </c>
      <c r="C393" s="17" t="inlineStr">
        <is>
          <t>Notaries Ordinance No. 1 of 1907</t>
        </is>
      </c>
      <c r="D393" s="17" t="inlineStr">
        <is>
          <t>s.13</t>
        </is>
      </c>
      <c r="E393" s="17" t="inlineStr">
        <is>
          <t>2021-10</t>
        </is>
      </c>
      <c r="F393" s="17" t="inlineStr">
        <is>
          <t>Current on reference date</t>
        </is>
      </c>
      <c r="G393" s="17" t="inlineStr">
        <is>
          <t>If any person shall practice or act as or exercise the office or functions of a notary without having obtained such warrant as aforesaid, or without having made and signed such declaration and given such bond as aforesaid, or without having filed an attested copy of his warrant, every such person shall be guilty of an offence</t>
        </is>
      </c>
      <c r="H393" s="17" t="inlineStr">
        <is>
          <t>https://www.rgd.gov.lk/web/images/ActsPDF/notary/Notaries-English.pdf</t>
        </is>
      </c>
      <c r="I393" s="17" t="inlineStr">
        <is>
          <t>Background</t>
        </is>
      </c>
      <c r="J393" s="17" t="inlineStr">
        <is>
          <t>Recorded to mark the boundary of the answer. Section 13 is the heavier offence of practising without a warrant, declaration, bond or filed copy of the warrant. Kamal Ratnayake holds a warrant and is missing only the yearly certificate, so s.13 does not apply and s.30 is the correct penal provision. Context only.
TEMPORAL: In force from 1907; fine increased by Act No. 12 of 2005 and the section substituted in part by Act No. 31 of 2022 after the matter date. Nothing turns on the text because the section is recorded only as an excluded alternative.</t>
        </is>
      </c>
      <c r="K393" s="17" t="inlineStr">
        <is>
          <t>[partially_verified] Excerpt verified verbatim against the consolidated text but is post-matter wording: 31-2022 s.4 substituted "given such bond" for "given such bond and security", so at 2021-10 s.13 read "given such bond and security as aforesaid"; nothing turns on it because s.13 is recorded only as an excluded alternative.</t>
        </is>
      </c>
      <c r="L393" s="21" t="n"/>
      <c r="M393" s="21" t="n"/>
      <c r="N393" s="21" t="n"/>
      <c r="O393" s="21" t="n"/>
      <c r="P393" s="21" t="n"/>
      <c r="Q393" s="17">
        <f>IF(OR(A393="",B393=""),"",IF(AND(L393&lt;&gt;"",P393&lt;&gt;"",IF(L393="Wrong citation",AND(M393&lt;&gt;"",N393&lt;&gt;""),TRUE)),"Complete","Pending"))</f>
        <v/>
      </c>
    </row>
    <row r="394">
      <c r="A394" s="19" t="inlineStr">
        <is>
          <t>M059-Q01</t>
        </is>
      </c>
      <c r="B394" s="19" t="inlineStr">
        <is>
          <t>PROV-M059-001</t>
        </is>
      </c>
      <c r="C394" s="17" t="inlineStr">
        <is>
          <t>Mortgage Act No. 6 of 1949</t>
        </is>
      </c>
      <c r="D394" s="17" t="inlineStr">
        <is>
          <t>s.47A (1)</t>
        </is>
      </c>
      <c r="E394" s="17" t="inlineStr">
        <is>
          <t>2021-10</t>
        </is>
      </c>
      <c r="F394" s="17" t="inlineStr">
        <is>
          <t>Current on reference date</t>
        </is>
      </c>
      <c r="G394" s="17" t="inlineStr">
        <is>
          <t>Where at the time of the execution of a mortgage bond in favour of a lending institution for the payment of a loan, the principal of which exceeds one hundred and fifty thousand rupees the mortgagor executes a separate instrument, attested by the notary attesting the bond and by the witnesses to the bond containing- (a) a special declaration on the part of the mortgagor that he renounces the benefit of section 46 and that the effect of such renunciation has been explained to him by the notary</t>
        </is>
      </c>
      <c r="H394" s="17" t="inlineStr">
        <is>
          <t>https://lankalaw.net/wp-content/uploads/2025/03/Mortgage-Act-Consolidated-2024.pdf</t>
        </is>
      </c>
      <c r="I394" s="17" t="inlineStr">
        <is>
          <t>Indispensable</t>
        </is>
      </c>
      <c r="J394" s="17" t="inlineStr">
        <is>
          <t>This is the provision the Bank's requested declaration is executed under. It is the only route by which a mortgagor's property other than the mortgaged land can be made liable under a decree on the mortgage: a separate instrument, executed at the time of the bond, containing a special declaration renouncing the benefit of section 46. It also sets the two gateway conditions - a lending institution as mortgagee and a loan principal exceeding Rs.150,000.
TEMPORAL: Inserted by Act No. 3 of 1990 and in force from 1990; no later amendment event is recorded on this section in the corpus. It is therefore in force at the matter reference date of October 2021. Subsection (6) excludes mortgages created before the section came into force, which does not affect a mortgage to be created in 2021.</t>
        </is>
      </c>
      <c r="K394" s="17" t="inlineStr">
        <is>
          <t>[verified]</t>
        </is>
      </c>
      <c r="L394" s="21" t="n"/>
      <c r="M394" s="21" t="n"/>
      <c r="N394" s="21" t="n"/>
      <c r="O394" s="21" t="n"/>
      <c r="P394" s="21" t="n"/>
      <c r="Q394" s="17">
        <f>IF(OR(A394="",B394=""),"",IF(AND(L394&lt;&gt;"",P394&lt;&gt;"",IF(L394="Wrong citation",AND(M394&lt;&gt;"",N394&lt;&gt;""),TRUE)),"Complete","Pending"))</f>
        <v/>
      </c>
    </row>
    <row r="395">
      <c r="A395" s="19" t="inlineStr">
        <is>
          <t>M059-Q01</t>
        </is>
      </c>
      <c r="B395" s="19" t="inlineStr">
        <is>
          <t>PROV-M059-002</t>
        </is>
      </c>
      <c r="C395" s="17" t="inlineStr">
        <is>
          <t>Mortgage Act No. 6 of 1949</t>
        </is>
      </c>
      <c r="D395" s="17" t="inlineStr">
        <is>
          <t>s.46</t>
        </is>
      </c>
      <c r="E395" s="17" t="inlineStr">
        <is>
          <t>2021-10</t>
        </is>
      </c>
      <c r="F395" s="17" t="inlineStr">
        <is>
          <t>Current on reference date</t>
        </is>
      </c>
      <c r="G395" s="17" t="inlineStr">
        <is>
          <t>No decree in any hypothecary action upon any mortgage of land which is created after the coming into force of this section, and no decree in any action for the recovery of any moneys due upon any such mortgage, shall order any property, whatsoever, other than the mortgaged property to be sold for the recovery of any money found to be due under the mortgage, and no property whatsoever, other than the mortgaged property, shall be sold or be liable to be sold in execution of any such decree.</t>
        </is>
      </c>
      <c r="H395" s="17" t="inlineStr">
        <is>
          <t>https://lankalaw.net/wp-content/uploads/2025/03/Mortgage-Act-Consolidated-2024.pdf</t>
        </is>
      </c>
      <c r="I395" s="17" t="inlineStr">
        <is>
          <t>Indispensable</t>
        </is>
      </c>
      <c r="J395" s="17" t="inlineStr">
        <is>
          <t>This is the benefit that the s.47A declaration renounces, and it explains the Bank's motive. Without a renunciation the Bank's recovery on a decree is confined to the mortgaged Rajagiriya land; if that land realises less than the debt, the shortfall cannot be recovered against the mortgagor's other property.
TEMPORAL: Substituted by Act No. 3 of 1990; latest recorded change 1990, so the substituted text is the text in force at October 2021.</t>
        </is>
      </c>
      <c r="K395" s="17" t="inlineStr">
        <is>
          <t>[verified]</t>
        </is>
      </c>
      <c r="L395" s="21" t="n"/>
      <c r="M395" s="21" t="n"/>
      <c r="N395" s="21" t="n"/>
      <c r="O395" s="21" t="n"/>
      <c r="P395" s="21" t="n"/>
      <c r="Q395" s="17">
        <f>IF(OR(A395="",B395=""),"",IF(AND(L395&lt;&gt;"",P395&lt;&gt;"",IF(L395="Wrong citation",AND(M395&lt;&gt;"",N395&lt;&gt;""),TRUE)),"Complete","Pending"))</f>
        <v/>
      </c>
    </row>
    <row r="396">
      <c r="A396" s="19" t="inlineStr">
        <is>
          <t>M059-Q01</t>
        </is>
      </c>
      <c r="B396" s="19" t="inlineStr">
        <is>
          <t>PROV-M059-003</t>
        </is>
      </c>
      <c r="C396" s="17" t="inlineStr">
        <is>
          <t>Mortgage Act No. 6 of 1949</t>
        </is>
      </c>
      <c r="D396" s="17" t="inlineStr">
        <is>
          <t>s.47A (7)</t>
        </is>
      </c>
      <c r="E396" s="17" t="inlineStr">
        <is>
          <t>2021-10</t>
        </is>
      </c>
      <c r="F396" s="17" t="inlineStr">
        <is>
          <t>Current on reference date</t>
        </is>
      </c>
      <c r="G396" s="17" t="inlineStr">
        <is>
          <t>For the purpose of this section 'lending institution' means- (a) a licensed Commercial Bank within the meaning of the Banking Act, No.30 of 1988; (b) the State Mortgage and Investment Bank established by the State Mortgage and Investment Bank Act, No. 13 of 1975; (c) the National Development Bank established by the National Development Bank of Sri Lanka Act, No. 2 of 1979; (d) the National Savings Bank established by the National Savings Bank Act, No. 30 of 1971;</t>
        </is>
      </c>
      <c r="H396" s="17" t="inlineStr">
        <is>
          <t>https://lankalaw.net/wp-content/uploads/2025/03/Mortgage-Act-Consolidated-2024.pdf</t>
        </is>
      </c>
      <c r="I396" s="17" t="inlineStr">
        <is>
          <t>Indispensable</t>
        </is>
      </c>
      <c r="J396" s="17" t="inlineStr">
        <is>
          <t>Section 47A is available only to a 'lending institution' as defined here. Paragraph (d) names the National Savings Bank expressly, so the mortgagee in this scenario falls squarely within the definition and the section is capable of applying to the proposed bond.
TEMPORAL: Part of s.47A as inserted in 1990; no later amendment event recorded. The footnote reference to section 2 of Act No. 23 of 1997 in paragraph (e) concerns the DFCC Bank only and does not bear on paragraph (d).</t>
        </is>
      </c>
      <c r="K396" s="17" t="inlineStr">
        <is>
          <t>[verified]</t>
        </is>
      </c>
      <c r="L396" s="21" t="n"/>
      <c r="M396" s="21" t="n"/>
      <c r="N396" s="21" t="n"/>
      <c r="O396" s="21" t="n"/>
      <c r="P396" s="21" t="n"/>
      <c r="Q396" s="17">
        <f>IF(OR(A396="",B396=""),"",IF(AND(L396&lt;&gt;"",P396&lt;&gt;"",IF(L396="Wrong citation",AND(M396&lt;&gt;"",N396&lt;&gt;""),TRUE)),"Complete","Pending"))</f>
        <v/>
      </c>
    </row>
    <row r="397">
      <c r="A397" s="19" t="inlineStr">
        <is>
          <t>M059-Q01</t>
        </is>
      </c>
      <c r="B397" s="19" t="inlineStr">
        <is>
          <t>PROV-M059-004</t>
        </is>
      </c>
      <c r="C397" s="17" t="inlineStr">
        <is>
          <t>Mortgage Act No. 6 of 1949</t>
        </is>
      </c>
      <c r="D397" s="17" t="inlineStr">
        <is>
          <t>s.47A (1) closing words</t>
        </is>
      </c>
      <c r="E397" s="17" t="inlineStr">
        <is>
          <t>2021-10</t>
        </is>
      </c>
      <c r="F397" s="17" t="inlineStr">
        <is>
          <t>Current on reference date</t>
        </is>
      </c>
      <c r="G397" s="17" t="inlineStr">
        <is>
          <t>then, in addition to the mortgaged property, any other property belonging to the mortgagor shall, subject To the provisions of subsection(2), be liable to be ordered to be sold and to be sold under the decree in an action upon the mortgage, and the provisions of section 218 of the Civil Procedure Code (Chapter 101) shall, mutatis mutandis, apply to the seizure and sale of such other property.</t>
        </is>
      </c>
      <c r="H397" s="17" t="inlineStr">
        <is>
          <t>https://lankalaw.net/wp-content/uploads/2025/03/Mortgage-Act-Consolidated-2024.pdf</t>
        </is>
      </c>
      <c r="I397" s="17" t="inlineStr">
        <is>
          <t>Indispensable</t>
        </is>
      </c>
      <c r="J397" s="17" t="inlineStr">
        <is>
          <t>States the consequence the Bank is buying with the declaration: property of the mortgagor beyond the mortgaged land becomes liable to be ordered sold under the decree, with Civil Procedure Code s.218 applied to the seizure and sale.
TEMPORAL: Same insertion by Act No. 3 of 1990; in force at October 2021. The corpus text reproduces the printed capitalisation 'subject To' and the unspaced 'subsection(2)'.</t>
        </is>
      </c>
      <c r="K397" s="17" t="inlineStr">
        <is>
          <t>[verified]</t>
        </is>
      </c>
      <c r="L397" s="21" t="n"/>
      <c r="M397" s="21" t="n"/>
      <c r="N397" s="21" t="n"/>
      <c r="O397" s="21" t="n"/>
      <c r="P397" s="21" t="n"/>
      <c r="Q397" s="17">
        <f>IF(OR(A397="",B397=""),"",IF(AND(L397&lt;&gt;"",P397&lt;&gt;"",IF(L397="Wrong citation",AND(M397&lt;&gt;"",N397&lt;&gt;""),TRUE)),"Complete","Pending"))</f>
        <v/>
      </c>
    </row>
    <row r="398">
      <c r="A398" s="19" t="inlineStr">
        <is>
          <t>M059-Q01</t>
        </is>
      </c>
      <c r="B398" s="19" t="inlineStr">
        <is>
          <t>PROV-M059-005</t>
        </is>
      </c>
      <c r="C398" s="17" t="inlineStr">
        <is>
          <t>Mortgage Act No. 6 of 1949</t>
        </is>
      </c>
      <c r="D398" s="17" t="inlineStr">
        <is>
          <t>s.47A (2)</t>
        </is>
      </c>
      <c r="E398" s="17" t="inlineStr">
        <is>
          <t>2021-10</t>
        </is>
      </c>
      <c r="F398" s="17" t="inlineStr">
        <is>
          <t>Current on reference date</t>
        </is>
      </c>
      <c r="G398" s="17" t="inlineStr">
        <is>
          <t>no process shall issue for the seizure and sale of any property of the mortgagor, other than the mortgaged property, until the mortgaged property is sold and the proceeds thereof applied in satisfaction of the decree.</t>
        </is>
      </c>
      <c r="H398" s="17" t="inlineStr">
        <is>
          <t>https://lankalaw.net/wp-content/uploads/2025/03/Mortgage-Act-Consolidated-2024.pdf</t>
        </is>
      </c>
      <c r="I398" s="17" t="inlineStr">
        <is>
          <t>Supporting</t>
        </is>
      </c>
      <c r="J398" s="17" t="inlineStr">
        <is>
          <t>Qualifies the extended remedy: the Bank must first sell the mortgaged land and apply the proceeds before touching other property. It confirms that the declaration is a shortfall-recovery device rather than a free choice of assets, which is why the Bank wants it at the outset.
TEMPORAL: Same insertion by Act No. 3 of 1990; in force at October 2021.</t>
        </is>
      </c>
      <c r="K398" s="17" t="inlineStr">
        <is>
          <t>[verified]</t>
        </is>
      </c>
      <c r="L398" s="21" t="n"/>
      <c r="M398" s="21" t="n"/>
      <c r="N398" s="21" t="n"/>
      <c r="O398" s="21" t="n"/>
      <c r="P398" s="21" t="n"/>
      <c r="Q398" s="17">
        <f>IF(OR(A398="",B398=""),"",IF(AND(L398&lt;&gt;"",P398&lt;&gt;"",IF(L398="Wrong citation",AND(M398&lt;&gt;"",N398&lt;&gt;""),TRUE)),"Complete","Pending"))</f>
        <v/>
      </c>
    </row>
    <row r="399">
      <c r="A399" s="19" t="inlineStr">
        <is>
          <t>M059-Q01</t>
        </is>
      </c>
      <c r="B399" s="19" t="inlineStr">
        <is>
          <t>PROV-M059-006</t>
        </is>
      </c>
      <c r="C399" s="17" t="inlineStr">
        <is>
          <t>Mortgage Act No. 6 of 1949</t>
        </is>
      </c>
      <c r="D399" s="17" t="inlineStr">
        <is>
          <t>s.47A (3)</t>
        </is>
      </c>
      <c r="E399" s="17" t="inlineStr">
        <is>
          <t>2021-10</t>
        </is>
      </c>
      <c r="F399" s="17" t="inlineStr">
        <is>
          <t>Current on reference date</t>
        </is>
      </c>
      <c r="G399" s="17" t="inlineStr">
        <is>
          <t>it shall be the duty of the notary to explain to the mortgagor, that the instrument provides for the renunciation of the benefit of section 46 and that the effect of such renunciation is that, in addition to the mortgaged property, other property of the mortgagor is liable to be sold in execution of a decree in an action upon the mortgage.</t>
        </is>
      </c>
      <c r="H399" s="17" t="inlineStr">
        <is>
          <t>https://lankalaw.net/wp-content/uploads/2025/03/Mortgage-Act-Consolidated-2024.pdf</t>
        </is>
      </c>
      <c r="I399" s="17" t="inlineStr">
        <is>
          <t>Supporting</t>
        </is>
      </c>
      <c r="J399" s="17" t="inlineStr">
        <is>
          <t>Explains why the Bank asks for a separate signed instrument attested and endorsed by the notary rather than a clause buried in the bond: the renunciation is only effective if the notary has explained it and endorsed that fact, so the formality is what makes the Bank's extended remedy secure.
TEMPORAL: Same insertion by Act No. 3 of 1990; in force at October 2021.</t>
        </is>
      </c>
      <c r="K399" s="17" t="inlineStr">
        <is>
          <t>[verified]</t>
        </is>
      </c>
      <c r="L399" s="21" t="n"/>
      <c r="M399" s="21" t="n"/>
      <c r="N399" s="21" t="n"/>
      <c r="O399" s="21" t="n"/>
      <c r="P399" s="21" t="n"/>
      <c r="Q399" s="17">
        <f>IF(OR(A399="",B399=""),"",IF(AND(L399&lt;&gt;"",P399&lt;&gt;"",IF(L399="Wrong citation",AND(M399&lt;&gt;"",N399&lt;&gt;""),TRUE)),"Complete","Pending"))</f>
        <v/>
      </c>
    </row>
    <row r="400">
      <c r="A400" s="19" t="inlineStr">
        <is>
          <t>M059-Q01</t>
        </is>
      </c>
      <c r="B400" s="19" t="inlineStr">
        <is>
          <t>PROV-M059-007</t>
        </is>
      </c>
      <c r="C400" s="17" t="inlineStr">
        <is>
          <t>Mortgage Act No. 6 of 1949</t>
        </is>
      </c>
      <c r="D400" s="17" t="inlineStr">
        <is>
          <t>s.47</t>
        </is>
      </c>
      <c r="E400" s="17" t="inlineStr">
        <is>
          <t>2021-10</t>
        </is>
      </c>
      <c r="F400" s="17" t="inlineStr">
        <is>
          <t>Current on reference date</t>
        </is>
      </c>
      <c r="G400" s="17" t="inlineStr">
        <is>
          <t>The provisions of section 46 shall have effect notwithstanding anything in any other law or in any mortgage bond or other instrument.</t>
        </is>
      </c>
      <c r="H400" s="17" t="inlineStr">
        <is>
          <t>https://lankalaw.net/wp-content/uploads/2025/03/Mortgage-Act-Consolidated-2024.pdf</t>
        </is>
      </c>
      <c r="I400" s="17" t="inlineStr">
        <is>
          <t>Supporting</t>
        </is>
      </c>
      <c r="J400" s="17" t="inlineStr">
        <is>
          <t>Shows that the section 46 restriction cannot be contracted out of by a term in the bond itself, which is why the Bank must use the specific statutory mechanism of a separate s.47A instrument instead of simply drafting a wider recovery clause into the mortgage bond.
TEMPORAL: In force from 1949 with no recorded later change; in force at October 2021.</t>
        </is>
      </c>
      <c r="K400" s="17" t="inlineStr">
        <is>
          <t>[verified]</t>
        </is>
      </c>
      <c r="L400" s="21" t="n"/>
      <c r="M400" s="21" t="n"/>
      <c r="N400" s="21" t="n"/>
      <c r="O400" s="21" t="n"/>
      <c r="P400" s="21" t="n"/>
      <c r="Q400" s="17">
        <f>IF(OR(A400="",B400=""),"",IF(AND(L400&lt;&gt;"",P400&lt;&gt;"",IF(L400="Wrong citation",AND(M400&lt;&gt;"",N400&lt;&gt;""),TRUE)),"Complete","Pending"))</f>
        <v/>
      </c>
    </row>
    <row r="401">
      <c r="A401" s="19" t="inlineStr">
        <is>
          <t>M059-Q01</t>
        </is>
      </c>
      <c r="B401" s="19" t="inlineStr">
        <is>
          <t>PROV-M059-901</t>
        </is>
      </c>
      <c r="C401" s="17" t="inlineStr">
        <is>
          <t>Mortgage Act No. 6 of 1949</t>
        </is>
      </c>
      <c r="D401" s="17" t="inlineStr">
        <is>
          <t>s.47A (1)(b)</t>
        </is>
      </c>
      <c r="E401" s="17" t="inlineStr">
        <is>
          <t>2021-10</t>
        </is>
      </c>
      <c r="F401" s="17" t="inlineStr">
        <is>
          <t>Current on reference date</t>
        </is>
      </c>
      <c r="G401" s="17" t="inlineStr">
        <is>
          <t>(b) an endorsement signed by the notary to the effect that he has explained to the mortgagor the effect of such renunciation</t>
        </is>
      </c>
      <c r="H401" s="17" t="inlineStr">
        <is>
          <t>https://lankalaw.net/wp-content/uploads/2025/03/Mortgage-Act-Consolidated-2024.pdf</t>
        </is>
      </c>
      <c r="I401" s="17" t="inlineStr">
        <is>
          <t>Supporting</t>
        </is>
      </c>
      <c r="J401" s="17" t="inlineStr">
        <is>
          <t>Added by the verifier. The separate instrument is effective only if it contains both the mortgagor's declaration in paragraph (a) and the notary's signed endorsement in paragraph (b). The researcher's excerpt for PROV-M059-001 stops at the end of paragraph (a), yet claim CL-M059-Q01-003 and the rule part of the gold answer both assert the endorsement requirement, so it needed its own cited text.
TEMPORAL: Part of section 47A as inserted by Act No. 3 of 1990; no later amendment event is recorded on the section in the corpus, so it is in force at October 2021.</t>
        </is>
      </c>
      <c r="K401" s="17" t="inlineStr">
        <is>
          <t>[verified]</t>
        </is>
      </c>
      <c r="L401" s="21" t="n"/>
      <c r="M401" s="21" t="n"/>
      <c r="N401" s="21" t="n"/>
      <c r="O401" s="21" t="n"/>
      <c r="P401" s="21" t="n"/>
      <c r="Q401" s="17">
        <f>IF(OR(A401="",B401=""),"",IF(AND(L401&lt;&gt;"",P401&lt;&gt;"",IF(L401="Wrong citation",AND(M401&lt;&gt;"",N401&lt;&gt;""),TRUE)),"Complete","Pending"))</f>
        <v/>
      </c>
    </row>
    <row r="402">
      <c r="A402" s="19" t="inlineStr">
        <is>
          <t>M059-Q01</t>
        </is>
      </c>
      <c r="B402" s="19" t="inlineStr">
        <is>
          <t>PROV-M059-008</t>
        </is>
      </c>
      <c r="C402" s="17" t="inlineStr">
        <is>
          <t>Civil Procedure Code No. 2 of 1889</t>
        </is>
      </c>
      <c r="D402" s="17" t="inlineStr">
        <is>
          <t>s.218</t>
        </is>
      </c>
      <c r="E402" s="17" t="inlineStr">
        <is>
          <t>2021-10</t>
        </is>
      </c>
      <c r="F402" s="17" t="inlineStr">
        <is>
          <t>Current on reference date</t>
        </is>
      </c>
      <c r="G402" s="17" t="inlineStr">
        <is>
          <t>the judgment-creditor has the power to seize, and to sell or realize in money by the hands of the Fiscal, except as hereinafter mentioned, all saleable property, movable or immovable, belonging to the judgment-debtor</t>
        </is>
      </c>
      <c r="H402" s="17" t="inlineStr">
        <is>
          <t>https://lankalaw.net/wp-content/uploads/2024/09/Consolidated-Civil-Procedure-Code-upto-Act-No.-43-of-2024.pdf</t>
        </is>
      </c>
      <c r="I402" s="17" t="inlineStr">
        <is>
          <t>Background</t>
        </is>
      </c>
      <c r="J402" s="17" t="inlineStr">
        <is>
          <t>Background only: the machinery that s.47A(1) applies mutatis mutandis to the seizure and sale of the mortgagor's other property once the benefit of s.46 has been renounced, together with the protected categories in its proviso.
TEMPORAL: In force from 1889, latest recorded change 1977; in force at October 2021.</t>
        </is>
      </c>
      <c r="K402" s="17" t="inlineStr">
        <is>
          <t>[partially_verified] Excerpt and background role confirmed, but it stops before the proviso to section 218, which exempts listed property from seizure and sale - including, under paragraph (n), an unmortgaged house that is the judgment-debtor's actual residence - so the extended remedy the declaration unlocks does not reach every asset of the mortgagor.</t>
        </is>
      </c>
      <c r="L402" s="21" t="n"/>
      <c r="M402" s="21" t="n"/>
      <c r="N402" s="21" t="n"/>
      <c r="O402" s="21" t="n"/>
      <c r="P402" s="21" t="n"/>
      <c r="Q402" s="17">
        <f>IF(OR(A402="",B402=""),"",IF(AND(L402&lt;&gt;"",P402&lt;&gt;"",IF(L402="Wrong citation",AND(M402&lt;&gt;"",N402&lt;&gt;""),TRUE)),"Complete","Pending"))</f>
        <v/>
      </c>
    </row>
    <row r="403">
      <c r="A403" s="19" t="inlineStr">
        <is>
          <t>M061-Q01</t>
        </is>
      </c>
      <c r="B403" s="19" t="inlineStr">
        <is>
          <t>PROV-M061-004</t>
        </is>
      </c>
      <c r="C403" s="17" t="inlineStr">
        <is>
          <t>Matrimonial Rights and Inheritance Ordinance No. 15 of 1876</t>
        </is>
      </c>
      <c r="D403" s="17" t="inlineStr">
        <is>
          <t>s.21 (1)</t>
        </is>
      </c>
      <c r="E403" s="17" t="inlineStr">
        <is>
          <t>2020-10</t>
        </is>
      </c>
      <c r="F403" s="17" t="inlineStr">
        <is>
          <t>Current on reference date</t>
        </is>
      </c>
      <c r="G403" s="17" t="inlineStr">
        <is>
          <t>Inheritance ab interstate to the immovable property in Sri Lanka of a person deceased shall be governed and regulated by the following provisions of this Ordinance wherever such person may have or have had his actual or matrimonial domicile.</t>
        </is>
      </c>
      <c r="H403" s="17" t="inlineStr">
        <is>
          <t>https://lankalaw.net/wp-content/uploads/2024/03/mrai69364.pdf</t>
        </is>
      </c>
      <c r="I403" s="17" t="inlineStr">
        <is>
          <t>Indispensable</t>
        </is>
      </c>
      <c r="J403" s="17" t="inlineStr">
        <is>
          <t>Makes the Ordinance the governing law for intestate succession to Lot A, immovable property in Sri Lanka, for each of the three intestacies in the chain.
TEMPORAL: In force from 1876; no amendment event recorded in the corpus.</t>
        </is>
      </c>
      <c r="K403" s="17" t="inlineStr">
        <is>
          <t>[verified]</t>
        </is>
      </c>
      <c r="L403" s="21" t="n"/>
      <c r="M403" s="21" t="n"/>
      <c r="N403" s="21" t="n"/>
      <c r="O403" s="21" t="n"/>
      <c r="P403" s="21" t="n"/>
      <c r="Q403" s="17">
        <f>IF(OR(A403="",B403=""),"",IF(AND(L403&lt;&gt;"",P403&lt;&gt;"",IF(L403="Wrong citation",AND(M403&lt;&gt;"",N403&lt;&gt;""),TRUE)),"Complete","Pending"))</f>
        <v/>
      </c>
    </row>
    <row r="404">
      <c r="A404" s="19" t="inlineStr">
        <is>
          <t>M061-Q01</t>
        </is>
      </c>
      <c r="B404" s="19" t="inlineStr">
        <is>
          <t>PROV-M061-005</t>
        </is>
      </c>
      <c r="C404" s="17" t="inlineStr">
        <is>
          <t>Matrimonial Rights and Inheritance Ordinance No. 15 of 1876</t>
        </is>
      </c>
      <c r="D404" s="17" t="inlineStr">
        <is>
          <t>s.22</t>
        </is>
      </c>
      <c r="E404" s="17" t="inlineStr">
        <is>
          <t>2020-10</t>
        </is>
      </c>
      <c r="F404" s="17" t="inlineStr">
        <is>
          <t>Current on reference date</t>
        </is>
      </c>
      <c r="G404" s="17" t="inlineStr">
        <is>
          <t>When any person shall die intestate as to any of his or her property, leaving a spouse surviving, the surviving spouse shall inherit one-half of the property of such person.</t>
        </is>
      </c>
      <c r="H404" s="17" t="inlineStr">
        <is>
          <t>https://lankalaw.net/wp-content/uploads/2024/03/mrai69364.pdf</t>
        </is>
      </c>
      <c r="I404" s="17" t="inlineStr">
        <is>
          <t>Indispensable</t>
        </is>
      </c>
      <c r="J404" s="17" t="inlineStr">
        <is>
          <t>Gives Lochana one-half of Dinesh's estate on 23 November 2009 and Rohan Jayaweera one-half of Neesha's estate on 20 May 2012. Removing it changes both the pedigree and every share.
TEMPORAL: In force from 1876; no amendment event recorded in the corpus.</t>
        </is>
      </c>
      <c r="K404" s="17" t="inlineStr">
        <is>
          <t>[verified]</t>
        </is>
      </c>
      <c r="L404" s="21" t="n"/>
      <c r="M404" s="21" t="n"/>
      <c r="N404" s="21" t="n"/>
      <c r="O404" s="21" t="n"/>
      <c r="P404" s="21" t="n"/>
      <c r="Q404" s="17">
        <f>IF(OR(A404="",B404=""),"",IF(AND(L404&lt;&gt;"",P404&lt;&gt;"",IF(L404="Wrong citation",AND(M404&lt;&gt;"",N404&lt;&gt;""),TRUE)),"Complete","Pending"))</f>
        <v/>
      </c>
    </row>
    <row r="405">
      <c r="A405" s="19" t="inlineStr">
        <is>
          <t>M061-Q01</t>
        </is>
      </c>
      <c r="B405" s="19" t="inlineStr">
        <is>
          <t>PROV-M061-007</t>
        </is>
      </c>
      <c r="C405" s="17" t="inlineStr">
        <is>
          <t>Matrimonial Rights and Inheritance Ordinance No. 15 of 1876</t>
        </is>
      </c>
      <c r="D405" s="17" t="inlineStr">
        <is>
          <t>s.24</t>
        </is>
      </c>
      <c r="E405" s="17" t="inlineStr">
        <is>
          <t>2020-10</t>
        </is>
      </c>
      <c r="F405" s="17" t="inlineStr">
        <is>
          <t>Current on reference date</t>
        </is>
      </c>
      <c r="G405" s="17" t="inlineStr">
        <is>
          <t>Children, grandchildren, and remoter descendants are preferent to all others in the estate of the parents; all the children take equally per capita, but the children or remoter issue of a deceased child take per stirpes or by representation.</t>
        </is>
      </c>
      <c r="H405" s="17" t="inlineStr">
        <is>
          <t>https://lankalaw.net/wp-content/uploads/2024/03/mrai69364.pdf</t>
        </is>
      </c>
      <c r="I405" s="17" t="inlineStr">
        <is>
          <t>Indispensable</t>
        </is>
      </c>
      <c r="J405" s="17" t="inlineStr">
        <is>
          <t>Divides the other half of Dinesh's estate equally among his four surviving children (Neesha, Kasun, Kavindu and Piyumi), and excludes his brother Iresh and any ascendant. Neesha, a child of the first marriage, takes on the same footing as the children of the second marriage.
TEMPORAL: In force from 1876; no amendment event recorded in the corpus.</t>
        </is>
      </c>
      <c r="K405" s="17" t="inlineStr">
        <is>
          <t>[verified]</t>
        </is>
      </c>
      <c r="L405" s="21" t="n"/>
      <c r="M405" s="21" t="n"/>
      <c r="N405" s="21" t="n"/>
      <c r="O405" s="21" t="n"/>
      <c r="P405" s="21" t="n"/>
      <c r="Q405" s="17">
        <f>IF(OR(A405="",B405=""),"",IF(AND(L405&lt;&gt;"",P405&lt;&gt;"",IF(L405="Wrong citation",AND(M405&lt;&gt;"",N405&lt;&gt;""),TRUE)),"Complete","Pending"))</f>
        <v/>
      </c>
    </row>
    <row r="406">
      <c r="A406" s="19" t="inlineStr">
        <is>
          <t>M061-Q01</t>
        </is>
      </c>
      <c r="B406" s="19" t="inlineStr">
        <is>
          <t>PROV-M061-008</t>
        </is>
      </c>
      <c r="C406" s="17" t="inlineStr">
        <is>
          <t>Matrimonial Rights and Inheritance Ordinance No. 15 of 1876</t>
        </is>
      </c>
      <c r="D406" s="17" t="inlineStr">
        <is>
          <t>s.25</t>
        </is>
      </c>
      <c r="E406" s="17" t="inlineStr">
        <is>
          <t>2020-10</t>
        </is>
      </c>
      <c r="F406" s="17" t="inlineStr">
        <is>
          <t>Current on reference date</t>
        </is>
      </c>
      <c r="G406"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406" s="17" t="inlineStr">
        <is>
          <t>https://lankalaw.net/wp-content/uploads/2024/03/mrai69364.pdf</t>
        </is>
      </c>
      <c r="I406" s="17" t="inlineStr">
        <is>
          <t>Indispensable</t>
        </is>
      </c>
      <c r="J406" s="17" t="inlineStr">
        <is>
          <t>Governs Kasun's estate on 5 July 2015: he died unmarried and issueless, his father Dinesh had predeceased him and his mother Lochana survived, so Lochana takes half of his share and his full brother and sister, Kavindu and Piyumi, take the other half.
TEMPORAL: In force from 1876; no amendment event recorded in the corpus.</t>
        </is>
      </c>
      <c r="K406" s="17" t="inlineStr">
        <is>
          <t>[partially_verified]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t>
        </is>
      </c>
      <c r="L406" s="21" t="n"/>
      <c r="M406" s="21" t="n"/>
      <c r="N406" s="21" t="n"/>
      <c r="O406" s="21" t="n"/>
      <c r="P406" s="21" t="n"/>
      <c r="Q406" s="17">
        <f>IF(OR(A406="",B406=""),"",IF(AND(L406&lt;&gt;"",P406&lt;&gt;"",IF(L406="Wrong citation",AND(M406&lt;&gt;"",N406&lt;&gt;""),TRUE)),"Complete","Pending"))</f>
        <v/>
      </c>
    </row>
    <row r="407">
      <c r="A407" s="19" t="inlineStr">
        <is>
          <t>M061-Q01</t>
        </is>
      </c>
      <c r="B407" s="19" t="inlineStr">
        <is>
          <t>PROV-M061-009</t>
        </is>
      </c>
      <c r="C407" s="17" t="inlineStr">
        <is>
          <t>Matrimonial Rights and Inheritance Ordinance No. 15 of 1876</t>
        </is>
      </c>
      <c r="D407" s="17" t="inlineStr">
        <is>
          <t>s.26</t>
        </is>
      </c>
      <c r="E407" s="17" t="inlineStr">
        <is>
          <t>2020-10</t>
        </is>
      </c>
      <c r="F407" s="17" t="inlineStr">
        <is>
          <t>Current on reference date</t>
        </is>
      </c>
      <c r="G407" s="17" t="inlineStr">
        <is>
          <t>Father and mother both failing, the property of the intestate goes to his brothers and sisters, whether of the whole or balf-blood, and their children and other issue by representation.</t>
        </is>
      </c>
      <c r="H407" s="17" t="inlineStr">
        <is>
          <t>https://lankalaw.net/wp-content/uploads/2024/03/mrai69364.pdf</t>
        </is>
      </c>
      <c r="I407" s="17" t="inlineStr">
        <is>
          <t>Indispensable</t>
        </is>
      </c>
      <c r="J407" s="17" t="inlineStr">
        <is>
          <t>Governs Neesha's estate on 20 May 2012: she left no descendants and both her parents had predeceased her (Dinesh in 2009, Nimali in 2010), so the collateral half of her share passes to her half-blood brothers and sister.
TEMPORAL: In force from 1876; no amendment event recorded in the corpus. The corpus text spells half-blood as "balf-blood", an artefact of the source scan; the excerpt is reproduced as it stands in the corpus.</t>
        </is>
      </c>
      <c r="K407" s="17" t="inlineStr">
        <is>
          <t>[verified]</t>
        </is>
      </c>
      <c r="L407" s="21" t="n"/>
      <c r="M407" s="21" t="n"/>
      <c r="N407" s="21" t="n"/>
      <c r="O407" s="21" t="n"/>
      <c r="P407" s="21" t="n"/>
      <c r="Q407" s="17">
        <f>IF(OR(A407="",B407=""),"",IF(AND(L407&lt;&gt;"",P407&lt;&gt;"",IF(L407="Wrong citation",AND(M407&lt;&gt;"",N407&lt;&gt;""),TRUE)),"Complete","Pending"))</f>
        <v/>
      </c>
    </row>
    <row r="408">
      <c r="A408" s="19" t="inlineStr">
        <is>
          <t>M061-Q01</t>
        </is>
      </c>
      <c r="B408" s="19" t="inlineStr">
        <is>
          <t>PROV-M061-010</t>
        </is>
      </c>
      <c r="C408" s="17" t="inlineStr">
        <is>
          <t>Matrimonial Rights and Inheritance Ordinance No. 15 of 1876</t>
        </is>
      </c>
      <c r="D408" s="17" t="inlineStr">
        <is>
          <t>s.29</t>
        </is>
      </c>
      <c r="E408" s="17" t="inlineStr">
        <is>
          <t>2020-10</t>
        </is>
      </c>
      <c r="F408" s="17" t="inlineStr">
        <is>
          <t>Current on reference date</t>
        </is>
      </c>
      <c r="G408"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408" s="17" t="inlineStr">
        <is>
          <t>https://lankalaw.net/wp-content/uploads/2024/03/mrai69364.pdf</t>
        </is>
      </c>
      <c r="I408" s="17" t="inlineStr">
        <is>
          <t>Indispensable</t>
        </is>
      </c>
      <c r="J408" s="17" t="inlineStr">
        <is>
          <t>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TEMPORAL: In force from 1876; no amendment event recorded in the corpus.</t>
        </is>
      </c>
      <c r="K408" s="17" t="inlineStr">
        <is>
          <t>[partially_verified]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t>
        </is>
      </c>
      <c r="L408" s="21" t="n"/>
      <c r="M408" s="21" t="n"/>
      <c r="N408" s="21" t="n"/>
      <c r="O408" s="21" t="n"/>
      <c r="P408" s="21" t="n"/>
      <c r="Q408" s="17">
        <f>IF(OR(A408="",B408=""),"",IF(AND(L408&lt;&gt;"",P408&lt;&gt;"",IF(L408="Wrong citation",AND(M408&lt;&gt;"",N408&lt;&gt;""),TRUE)),"Complete","Pending"))</f>
        <v/>
      </c>
    </row>
    <row r="409">
      <c r="A409" s="19" t="inlineStr">
        <is>
          <t>M061-Q01</t>
        </is>
      </c>
      <c r="B409" s="19" t="inlineStr">
        <is>
          <t>PROV-M061-001</t>
        </is>
      </c>
      <c r="C409" s="17" t="inlineStr">
        <is>
          <t>Matrimonial Rights and Inheritance Ordinance No. 15 of 1876</t>
        </is>
      </c>
      <c r="D409" s="17" t="inlineStr">
        <is>
          <t>s.2</t>
        </is>
      </c>
      <c r="E409" s="17" t="inlineStr">
        <is>
          <t>2020-10</t>
        </is>
      </c>
      <c r="F409" s="17" t="inlineStr">
        <is>
          <t>Current on reference date</t>
        </is>
      </c>
      <c r="G409" s="17" t="inlineStr">
        <is>
          <t>Save as aforesaid, this Ordinance shall not apply to Kandyans or Muslims, or to Tamils of the Northern Province who are or may become subject to the Tesawalamai.</t>
        </is>
      </c>
      <c r="H409" s="17" t="inlineStr">
        <is>
          <t>https://lankalaw.net/wp-content/uploads/2024/03/mrai69364.pdf</t>
        </is>
      </c>
      <c r="I409" s="17" t="inlineStr">
        <is>
          <t>Supporting</t>
        </is>
      </c>
      <c r="J409" s="17" t="inlineStr">
        <is>
          <t>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TEMPORAL: In force from 1876; no amendment event recorded in the corpus. In force at 2020-10 and at every death in the scenario (2007, 2009, 2012, 2015).</t>
        </is>
      </c>
      <c r="K409" s="17" t="inlineStr">
        <is>
          <t>[verified]</t>
        </is>
      </c>
      <c r="L409" s="21" t="n"/>
      <c r="M409" s="21" t="n"/>
      <c r="N409" s="21" t="n"/>
      <c r="O409" s="21" t="n"/>
      <c r="P409" s="21" t="n"/>
      <c r="Q409" s="17">
        <f>IF(OR(A409="",B409=""),"",IF(AND(L409&lt;&gt;"",P409&lt;&gt;"",IF(L409="Wrong citation",AND(M409&lt;&gt;"",N409&lt;&gt;""),TRUE)),"Complete","Pending"))</f>
        <v/>
      </c>
    </row>
    <row r="410">
      <c r="A410" s="19" t="inlineStr">
        <is>
          <t>M061-Q01</t>
        </is>
      </c>
      <c r="B410" s="19" t="inlineStr">
        <is>
          <t>PROV-M061-002</t>
        </is>
      </c>
      <c r="C410" s="17" t="inlineStr">
        <is>
          <t>Matrimonial Rights and Inheritance Ordinance No. 15 of 1876</t>
        </is>
      </c>
      <c r="D410" s="17" t="inlineStr">
        <is>
          <t>s.3</t>
        </is>
      </c>
      <c r="E410" s="17" t="inlineStr">
        <is>
          <t>2020-10</t>
        </is>
      </c>
      <c r="F410" s="17" t="inlineStr">
        <is>
          <t>Current on reference date</t>
        </is>
      </c>
      <c r="G410" s="17" t="inlineStr">
        <is>
          <t>includes land, incorporeal tenements, and things attached to the earth or permanently fastened to anything which is attached to the earth, and any interest in land except that of a mortgagee</t>
        </is>
      </c>
      <c r="H410" s="17" t="inlineStr">
        <is>
          <t>https://lankalaw.net/wp-content/uploads/2024/03/mrai69364.pdf</t>
        </is>
      </c>
      <c r="I410" s="17" t="inlineStr">
        <is>
          <t>Supporting</t>
        </is>
      </c>
      <c r="J410" s="17" t="inlineStr">
        <is>
          <t>Defines "immovable property" for the Ordinance. Lot A with the house at Assessment No.12 is land with a building attached to it, so the inheritance rules in s.21 onwards, not the movable-property conflict rule, govern its devolution.
TEMPORAL: In force from 1876; no amendment event recorded in the corpus.</t>
        </is>
      </c>
      <c r="K410" s="17" t="inlineStr">
        <is>
          <t>[partially_verified]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t>
        </is>
      </c>
      <c r="L410" s="21" t="n"/>
      <c r="M410" s="21" t="n"/>
      <c r="N410" s="21" t="n"/>
      <c r="O410" s="21" t="n"/>
      <c r="P410" s="21" t="n"/>
      <c r="Q410" s="17">
        <f>IF(OR(A410="",B410=""),"",IF(AND(L410&lt;&gt;"",P410&lt;&gt;"",IF(L410="Wrong citation",AND(M410&lt;&gt;"",N410&lt;&gt;""),TRUE)),"Complete","Pending"))</f>
        <v/>
      </c>
    </row>
    <row r="411">
      <c r="A411" s="19" t="inlineStr">
        <is>
          <t>M061-Q01</t>
        </is>
      </c>
      <c r="B411" s="19" t="inlineStr">
        <is>
          <t>PROV-M061-003</t>
        </is>
      </c>
      <c r="C411" s="17" t="inlineStr">
        <is>
          <t>Matrimonial Rights and Inheritance Ordinance No. 15 of 1876</t>
        </is>
      </c>
      <c r="D411" s="17" t="inlineStr">
        <is>
          <t>s.20</t>
        </is>
      </c>
      <c r="E411" s="17" t="inlineStr">
        <is>
          <t>2020-10</t>
        </is>
      </c>
      <c r="F411" s="17" t="inlineStr">
        <is>
          <t>Current on reference date</t>
        </is>
      </c>
      <c r="G411" s="17" t="inlineStr">
        <is>
          <t>The following sections of this Ordinance shall apply to the estates of such persons only as shall die after the proclamation of this Ordinance</t>
        </is>
      </c>
      <c r="H411" s="17" t="inlineStr">
        <is>
          <t>https://lankalaw.net/wp-content/uploads/2024/03/mrai69364.pdf</t>
        </is>
      </c>
      <c r="I411" s="17" t="inlineStr">
        <is>
          <t>Supporting</t>
        </is>
      </c>
      <c r="J411" s="17" t="inlineStr">
        <is>
          <t>Temporal gate on Part III. Every death in the scenario (2007, 2009, 2012, 2015) is long after the proclamation of the Ordinance, so the inheritance sections apply to each estate.
TEMPORAL: In force from 1876; no amendment event recorded in the corpus.</t>
        </is>
      </c>
      <c r="K411" s="17" t="inlineStr">
        <is>
          <t>[partially_verified]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t>
        </is>
      </c>
      <c r="L411" s="21" t="n"/>
      <c r="M411" s="21" t="n"/>
      <c r="N411" s="21" t="n"/>
      <c r="O411" s="21" t="n"/>
      <c r="P411" s="21" t="n"/>
      <c r="Q411" s="17">
        <f>IF(OR(A411="",B411=""),"",IF(AND(L411&lt;&gt;"",P411&lt;&gt;"",IF(L411="Wrong citation",AND(M411&lt;&gt;"",N411&lt;&gt;""),TRUE)),"Complete","Pending"))</f>
        <v/>
      </c>
    </row>
    <row r="412">
      <c r="A412" s="19" t="inlineStr">
        <is>
          <t>M061-Q01</t>
        </is>
      </c>
      <c r="B412" s="19" t="inlineStr">
        <is>
          <t>PROV-M061-006</t>
        </is>
      </c>
      <c r="C412" s="17" t="inlineStr">
        <is>
          <t>Matrimonial Rights and Inheritance Ordinance No. 15 of 1876</t>
        </is>
      </c>
      <c r="D412" s="17" t="inlineStr">
        <is>
          <t>s.23</t>
        </is>
      </c>
      <c r="E412" s="17" t="inlineStr">
        <is>
          <t>2020-10</t>
        </is>
      </c>
      <c r="F412" s="17" t="inlineStr">
        <is>
          <t>Current on reference date</t>
        </is>
      </c>
      <c r="G412" s="17" t="inlineStr">
        <is>
          <t>Subject to the right of the surviving spouse in the preceding section mentioned, the right of inheritance is divided in the following order as respects (a) descendants, (b) ascendants, (c) collaterals.</t>
        </is>
      </c>
      <c r="H412" s="17" t="inlineStr">
        <is>
          <t>https://lankalaw.net/wp-content/uploads/2024/03/mrai69364.pdf</t>
        </is>
      </c>
      <c r="I412" s="17" t="inlineStr">
        <is>
          <t>Supporting</t>
        </is>
      </c>
      <c r="J412" s="17" t="inlineStr">
        <is>
          <t>Sets the order in which the half not taken by the surviving spouse is distributed, and confirms that the spouse's half is carved out first. It is the link between s.22 and ss.24 to 29.
TEMPORAL: In force from 1876; no amendment event recorded in the corpus.</t>
        </is>
      </c>
      <c r="K412" s="17" t="inlineStr">
        <is>
          <t>[verified]</t>
        </is>
      </c>
      <c r="L412" s="21" t="n"/>
      <c r="M412" s="21" t="n"/>
      <c r="N412" s="21" t="n"/>
      <c r="O412" s="21" t="n"/>
      <c r="P412" s="21" t="n"/>
      <c r="Q412" s="17">
        <f>IF(OR(A412="",B412=""),"",IF(AND(L412&lt;&gt;"",P412&lt;&gt;"",IF(L412="Wrong citation",AND(M412&lt;&gt;"",N412&lt;&gt;""),TRUE)),"Complete","Pending"))</f>
        <v/>
      </c>
    </row>
    <row r="413">
      <c r="A413" s="19" t="inlineStr">
        <is>
          <t>M061-Q01</t>
        </is>
      </c>
      <c r="B413" s="19" t="inlineStr">
        <is>
          <t>PROV-M061-011</t>
        </is>
      </c>
      <c r="C413" s="17" t="inlineStr">
        <is>
          <t>Matrimonial Rights and Inheritance Ordinance No. 15 of 1876</t>
        </is>
      </c>
      <c r="D413" s="17" t="inlineStr">
        <is>
          <t>s.30</t>
        </is>
      </c>
      <c r="E413" s="17" t="inlineStr">
        <is>
          <t>2020-10</t>
        </is>
      </c>
      <c r="F413" s="17" t="inlineStr">
        <is>
          <t>Current on reference date</t>
        </is>
      </c>
      <c r="G413" s="17" t="inlineStr">
        <is>
          <t>if all those who succeed to the inheritance are equally near in degree to the intestate, they take per capita, and not per stirpes.</t>
        </is>
      </c>
      <c r="H413" s="17" t="inlineStr">
        <is>
          <t>https://lankalaw.net/wp-content/uploads/2024/03/mrai69364.pdf</t>
        </is>
      </c>
      <c r="I413" s="17" t="inlineStr">
        <is>
          <t>Supporting</t>
        </is>
      </c>
      <c r="J413" s="17" t="inlineStr">
        <is>
          <t>Confirms equal per capita division among the four children of Dinesh, among Neesha's three half-siblings, and between Kasun's two full siblings, since in each case the takers are equally near in degree.
TEMPORAL: In force from 1876; no amendment event recorded in the corpus.</t>
        </is>
      </c>
      <c r="K413" s="17" t="inlineStr">
        <is>
          <t>[partially_verified]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t>
        </is>
      </c>
      <c r="L413" s="21" t="n"/>
      <c r="M413" s="21" t="n"/>
      <c r="N413" s="21" t="n"/>
      <c r="O413" s="21" t="n"/>
      <c r="P413" s="21" t="n"/>
      <c r="Q413" s="17">
        <f>IF(OR(A413="",B413=""),"",IF(AND(L413&lt;&gt;"",P413&lt;&gt;"",IF(L413="Wrong citation",AND(M413&lt;&gt;"",N413&lt;&gt;""),TRUE)),"Complete","Pending"))</f>
        <v/>
      </c>
    </row>
    <row r="414">
      <c r="A414" s="19" t="inlineStr">
        <is>
          <t>M061-Q01</t>
        </is>
      </c>
      <c r="B414" s="19" t="inlineStr">
        <is>
          <t>PROV-M061-901</t>
        </is>
      </c>
      <c r="C414" s="17" t="inlineStr">
        <is>
          <t>Matrimonial Rights and Inheritance Ordinance No. 15 of 1876</t>
        </is>
      </c>
      <c r="D414" s="17" t="inlineStr">
        <is>
          <t>s.36</t>
        </is>
      </c>
      <c r="E414" s="17" t="inlineStr">
        <is>
          <t>2020-10</t>
        </is>
      </c>
      <c r="F414" s="17" t="inlineStr">
        <is>
          <t>Current on reference date</t>
        </is>
      </c>
      <c r="G414" s="17" t="inlineStr">
        <is>
          <t>In all questions relating to the distribution of the property of an intestate, if the present Ordinance is silent, the rules of the Roman-Dutch law as it prevailed in North Holland are to govern and be followed.</t>
        </is>
      </c>
      <c r="H414" s="17" t="inlineStr">
        <is>
          <t>https://lankalaw.net/wp-content/uploads/2024/03/mrai69364.pdf</t>
        </is>
      </c>
      <c r="I414" s="17" t="inlineStr">
        <is>
          <t>Supporting</t>
        </is>
      </c>
      <c r="J414" s="17" t="inlineStr">
        <is>
          <t>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TEMPORAL: In force from 1876; no amendment event recorded in the corpus. In force at 2020-10 and at every death in the scenario.</t>
        </is>
      </c>
      <c r="K414" s="17" t="inlineStr">
        <is>
          <t>[verified] Added by the verifier. Excerpt checked verbatim against 15-1876/s36.</t>
        </is>
      </c>
      <c r="L414" s="21" t="n"/>
      <c r="M414" s="21" t="n"/>
      <c r="N414" s="21" t="n"/>
      <c r="O414" s="21" t="n"/>
      <c r="P414" s="21" t="n"/>
      <c r="Q414" s="17">
        <f>IF(OR(A414="",B414=""),"",IF(AND(L414&lt;&gt;"",P414&lt;&gt;"",IF(L414="Wrong citation",AND(M414&lt;&gt;"",N414&lt;&gt;""),TRUE)),"Complete","Pending"))</f>
        <v/>
      </c>
    </row>
    <row r="415">
      <c r="A415" s="19" t="inlineStr">
        <is>
          <t>M061-Q01</t>
        </is>
      </c>
      <c r="B415" s="19" t="inlineStr">
        <is>
          <t>PROV-M061-012</t>
        </is>
      </c>
      <c r="C415" s="17" t="inlineStr">
        <is>
          <t>Prevention of Frauds Ordinance No. 7 of 1840</t>
        </is>
      </c>
      <c r="D415" s="17" t="inlineStr">
        <is>
          <t>s.2 (1)</t>
        </is>
      </c>
      <c r="E415" s="17" t="inlineStr">
        <is>
          <t>2020-10</t>
        </is>
      </c>
      <c r="F415" s="17" t="inlineStr">
        <is>
          <t>Current on reference date</t>
        </is>
      </c>
      <c r="G415" s="17" t="inlineStr">
        <is>
          <t>shall be in force or avail in law unless - (a) the relevant deed or instrument shall be in writing, signed by every executant</t>
        </is>
      </c>
      <c r="H415" s="17" t="inlineStr">
        <is>
          <t>https://lankalaw.net/wp-content/uploads/2025/03/Prevention-of-Frauds-Consolidated-2024.pdf</t>
        </is>
      </c>
      <c r="I415" s="17" t="inlineStr">
        <is>
          <t>Background</t>
        </is>
      </c>
      <c r="J415" s="17" t="inlineStr">
        <is>
          <t>Background only: it explains why the transfer of Lot A to Dinesh had to be, and was, effected by a notarially attested deed (Deed of Gift No.1100 attested by Asanka Silva, Notary Public). It does not decide any share.
TEMPORAL: In force from 1840; the corpus records amendment events in 1947, 2022 and 2024. The text shown is the consolidated text including changes made after the deed was executed in 2006, so it is used for background only and is not relied on as the operative text at the date of the deed.</t>
        </is>
      </c>
      <c r="K415" s="17" t="inlineStr">
        <is>
          <t>[partially_verified]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t>
        </is>
      </c>
      <c r="L415" s="21" t="n"/>
      <c r="M415" s="21" t="n"/>
      <c r="N415" s="21" t="n"/>
      <c r="O415" s="21" t="n"/>
      <c r="P415" s="21" t="n"/>
      <c r="Q415" s="17">
        <f>IF(OR(A415="",B415=""),"",IF(AND(L415&lt;&gt;"",P415&lt;&gt;"",IF(L415="Wrong citation",AND(M415&lt;&gt;"",N415&lt;&gt;""),TRUE)),"Complete","Pending"))</f>
        <v/>
      </c>
    </row>
    <row r="416">
      <c r="A416" s="19" t="inlineStr">
        <is>
          <t>M061-Q02</t>
        </is>
      </c>
      <c r="B416" s="19" t="inlineStr">
        <is>
          <t>PROV-M061-005</t>
        </is>
      </c>
      <c r="C416" s="17" t="inlineStr">
        <is>
          <t>Matrimonial Rights and Inheritance Ordinance No. 15 of 1876</t>
        </is>
      </c>
      <c r="D416" s="17" t="inlineStr">
        <is>
          <t>s.22</t>
        </is>
      </c>
      <c r="E416" s="17" t="inlineStr">
        <is>
          <t>2020-10</t>
        </is>
      </c>
      <c r="F416" s="17" t="inlineStr">
        <is>
          <t>Current on reference date</t>
        </is>
      </c>
      <c r="G416" s="17" t="inlineStr">
        <is>
          <t>When any person shall die intestate as to any of his or her property, leaving a spouse surviving, the surviving spouse shall inherit one-half of the property of such person.</t>
        </is>
      </c>
      <c r="H416" s="17" t="inlineStr">
        <is>
          <t>https://lankalaw.net/wp-content/uploads/2024/03/mrai69364.pdf</t>
        </is>
      </c>
      <c r="I416" s="17" t="inlineStr">
        <is>
          <t>Indispensable</t>
        </is>
      </c>
      <c r="J416" s="17" t="inlineStr">
        <is>
          <t>Gives Lochana one-half of Dinesh's estate on 23 November 2009 and Rohan Jayaweera one-half of Neesha's estate on 20 May 2012. Removing it changes both the pedigree and every share.
TEMPORAL: In force from 1876; no amendment event recorded in the corpus.</t>
        </is>
      </c>
      <c r="K416" s="17" t="inlineStr">
        <is>
          <t>[verified]</t>
        </is>
      </c>
      <c r="L416" s="21" t="n"/>
      <c r="M416" s="21" t="n"/>
      <c r="N416" s="21" t="n"/>
      <c r="O416" s="21" t="n"/>
      <c r="P416" s="21" t="n"/>
      <c r="Q416" s="17">
        <f>IF(OR(A416="",B416=""),"",IF(AND(L416&lt;&gt;"",P416&lt;&gt;"",IF(L416="Wrong citation",AND(M416&lt;&gt;"",N416&lt;&gt;""),TRUE)),"Complete","Pending"))</f>
        <v/>
      </c>
    </row>
    <row r="417">
      <c r="A417" s="19" t="inlineStr">
        <is>
          <t>M061-Q02</t>
        </is>
      </c>
      <c r="B417" s="19" t="inlineStr">
        <is>
          <t>PROV-M061-007</t>
        </is>
      </c>
      <c r="C417" s="17" t="inlineStr">
        <is>
          <t>Matrimonial Rights and Inheritance Ordinance No. 15 of 1876</t>
        </is>
      </c>
      <c r="D417" s="17" t="inlineStr">
        <is>
          <t>s.24</t>
        </is>
      </c>
      <c r="E417" s="17" t="inlineStr">
        <is>
          <t>2020-10</t>
        </is>
      </c>
      <c r="F417" s="17" t="inlineStr">
        <is>
          <t>Current on reference date</t>
        </is>
      </c>
      <c r="G417" s="17" t="inlineStr">
        <is>
          <t>Children, grandchildren, and remoter descendants are preferent to all others in the estate of the parents; all the children take equally per capita, but the children or remoter issue of a deceased child take per stirpes or by representation.</t>
        </is>
      </c>
      <c r="H417" s="17" t="inlineStr">
        <is>
          <t>https://lankalaw.net/wp-content/uploads/2024/03/mrai69364.pdf</t>
        </is>
      </c>
      <c r="I417" s="17" t="inlineStr">
        <is>
          <t>Indispensable</t>
        </is>
      </c>
      <c r="J417" s="17" t="inlineStr">
        <is>
          <t>Divides the other half of Dinesh's estate equally among his four surviving children (Neesha, Kasun, Kavindu and Piyumi), and excludes his brother Iresh and any ascendant. Neesha, a child of the first marriage, takes on the same footing as the children of the second marriage.
TEMPORAL: In force from 1876; no amendment event recorded in the corpus.</t>
        </is>
      </c>
      <c r="K417" s="17" t="inlineStr">
        <is>
          <t>[verified]</t>
        </is>
      </c>
      <c r="L417" s="21" t="n"/>
      <c r="M417" s="21" t="n"/>
      <c r="N417" s="21" t="n"/>
      <c r="O417" s="21" t="n"/>
      <c r="P417" s="21" t="n"/>
      <c r="Q417" s="17">
        <f>IF(OR(A417="",B417=""),"",IF(AND(L417&lt;&gt;"",P417&lt;&gt;"",IF(L417="Wrong citation",AND(M417&lt;&gt;"",N417&lt;&gt;""),TRUE)),"Complete","Pending"))</f>
        <v/>
      </c>
    </row>
    <row r="418">
      <c r="A418" s="19" t="inlineStr">
        <is>
          <t>M061-Q02</t>
        </is>
      </c>
      <c r="B418" s="19" t="inlineStr">
        <is>
          <t>PROV-M061-008</t>
        </is>
      </c>
      <c r="C418" s="17" t="inlineStr">
        <is>
          <t>Matrimonial Rights and Inheritance Ordinance No. 15 of 1876</t>
        </is>
      </c>
      <c r="D418" s="17" t="inlineStr">
        <is>
          <t>s.25</t>
        </is>
      </c>
      <c r="E418" s="17" t="inlineStr">
        <is>
          <t>2020-10</t>
        </is>
      </c>
      <c r="F418" s="17" t="inlineStr">
        <is>
          <t>Current on reference date</t>
        </is>
      </c>
      <c r="G418"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418" s="17" t="inlineStr">
        <is>
          <t>https://lankalaw.net/wp-content/uploads/2024/03/mrai69364.pdf</t>
        </is>
      </c>
      <c r="I418" s="17" t="inlineStr">
        <is>
          <t>Indispensable</t>
        </is>
      </c>
      <c r="J418" s="17" t="inlineStr">
        <is>
          <t>Governs Kasun's estate on 5 July 2015: he died unmarried and issueless, his father Dinesh had predeceased him and his mother Lochana survived, so Lochana takes half of his share and his full brother and sister, Kavindu and Piyumi, take the other half.
TEMPORAL: In force from 1876; no amendment event recorded in the corpus.</t>
        </is>
      </c>
      <c r="K418" s="17" t="inlineStr">
        <is>
          <t>[partially_verified]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t>
        </is>
      </c>
      <c r="L418" s="21" t="n"/>
      <c r="M418" s="21" t="n"/>
      <c r="N418" s="21" t="n"/>
      <c r="O418" s="21" t="n"/>
      <c r="P418" s="21" t="n"/>
      <c r="Q418" s="17">
        <f>IF(OR(A418="",B418=""),"",IF(AND(L418&lt;&gt;"",P418&lt;&gt;"",IF(L418="Wrong citation",AND(M418&lt;&gt;"",N418&lt;&gt;""),TRUE)),"Complete","Pending"))</f>
        <v/>
      </c>
    </row>
    <row r="419">
      <c r="A419" s="19" t="inlineStr">
        <is>
          <t>M061-Q02</t>
        </is>
      </c>
      <c r="B419" s="19" t="inlineStr">
        <is>
          <t>PROV-M061-009</t>
        </is>
      </c>
      <c r="C419" s="17" t="inlineStr">
        <is>
          <t>Matrimonial Rights and Inheritance Ordinance No. 15 of 1876</t>
        </is>
      </c>
      <c r="D419" s="17" t="inlineStr">
        <is>
          <t>s.26</t>
        </is>
      </c>
      <c r="E419" s="17" t="inlineStr">
        <is>
          <t>2020-10</t>
        </is>
      </c>
      <c r="F419" s="17" t="inlineStr">
        <is>
          <t>Current on reference date</t>
        </is>
      </c>
      <c r="G419" s="17" t="inlineStr">
        <is>
          <t>Father and mother both failing, the property of the intestate goes to his brothers and sisters, whether of the whole or balf-blood, and their children and other issue by representation.</t>
        </is>
      </c>
      <c r="H419" s="17" t="inlineStr">
        <is>
          <t>https://lankalaw.net/wp-content/uploads/2024/03/mrai69364.pdf</t>
        </is>
      </c>
      <c r="I419" s="17" t="inlineStr">
        <is>
          <t>Indispensable</t>
        </is>
      </c>
      <c r="J419" s="17" t="inlineStr">
        <is>
          <t>Governs Neesha's estate on 20 May 2012: she left no descendants and both her parents had predeceased her (Dinesh in 2009, Nimali in 2010), so the collateral half of her share passes to her half-blood brothers and sister.
TEMPORAL: In force from 1876; no amendment event recorded in the corpus. The corpus text spells half-blood as "balf-blood", an artefact of the source scan; the excerpt is reproduced as it stands in the corpus.</t>
        </is>
      </c>
      <c r="K419" s="17" t="inlineStr">
        <is>
          <t>[verified]</t>
        </is>
      </c>
      <c r="L419" s="21" t="n"/>
      <c r="M419" s="21" t="n"/>
      <c r="N419" s="21" t="n"/>
      <c r="O419" s="21" t="n"/>
      <c r="P419" s="21" t="n"/>
      <c r="Q419" s="17">
        <f>IF(OR(A419="",B419=""),"",IF(AND(L419&lt;&gt;"",P419&lt;&gt;"",IF(L419="Wrong citation",AND(M419&lt;&gt;"",N419&lt;&gt;""),TRUE)),"Complete","Pending"))</f>
        <v/>
      </c>
    </row>
    <row r="420">
      <c r="A420" s="19" t="inlineStr">
        <is>
          <t>M061-Q02</t>
        </is>
      </c>
      <c r="B420" s="19" t="inlineStr">
        <is>
          <t>PROV-M061-010</t>
        </is>
      </c>
      <c r="C420" s="17" t="inlineStr">
        <is>
          <t>Matrimonial Rights and Inheritance Ordinance No. 15 of 1876</t>
        </is>
      </c>
      <c r="D420" s="17" t="inlineStr">
        <is>
          <t>s.29</t>
        </is>
      </c>
      <c r="E420" s="17" t="inlineStr">
        <is>
          <t>2020-10</t>
        </is>
      </c>
      <c r="F420" s="17" t="inlineStr">
        <is>
          <t>Current on reference date</t>
        </is>
      </c>
      <c r="G420"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420" s="17" t="inlineStr">
        <is>
          <t>https://lankalaw.net/wp-content/uploads/2024/03/mrai69364.pdf</t>
        </is>
      </c>
      <c r="I420" s="17" t="inlineStr">
        <is>
          <t>Indispensable</t>
        </is>
      </c>
      <c r="J420" s="17" t="inlineStr">
        <is>
          <t>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TEMPORAL: In force from 1876; no amendment event recorded in the corpus.</t>
        </is>
      </c>
      <c r="K420" s="17" t="inlineStr">
        <is>
          <t>[partially_verified]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t>
        </is>
      </c>
      <c r="L420" s="21" t="n"/>
      <c r="M420" s="21" t="n"/>
      <c r="N420" s="21" t="n"/>
      <c r="O420" s="21" t="n"/>
      <c r="P420" s="21" t="n"/>
      <c r="Q420" s="17">
        <f>IF(OR(A420="",B420=""),"",IF(AND(L420&lt;&gt;"",P420&lt;&gt;"",IF(L420="Wrong citation",AND(M420&lt;&gt;"",N420&lt;&gt;""),TRUE)),"Complete","Pending"))</f>
        <v/>
      </c>
    </row>
    <row r="421">
      <c r="A421" s="19" t="inlineStr">
        <is>
          <t>M061-Q02</t>
        </is>
      </c>
      <c r="B421" s="19" t="inlineStr">
        <is>
          <t>PROV-M061-011</t>
        </is>
      </c>
      <c r="C421" s="17" t="inlineStr">
        <is>
          <t>Matrimonial Rights and Inheritance Ordinance No. 15 of 1876</t>
        </is>
      </c>
      <c r="D421" s="17" t="inlineStr">
        <is>
          <t>s.30</t>
        </is>
      </c>
      <c r="E421" s="17" t="inlineStr">
        <is>
          <t>2020-10</t>
        </is>
      </c>
      <c r="F421" s="17" t="inlineStr">
        <is>
          <t>Current on reference date</t>
        </is>
      </c>
      <c r="G421" s="17" t="inlineStr">
        <is>
          <t>if all those who succeed to the inheritance are equally near in degree to the intestate, they take per capita, and not per stirpes.</t>
        </is>
      </c>
      <c r="H421" s="17" t="inlineStr">
        <is>
          <t>https://lankalaw.net/wp-content/uploads/2024/03/mrai69364.pdf</t>
        </is>
      </c>
      <c r="I421" s="17" t="inlineStr">
        <is>
          <t>Indispensable</t>
        </is>
      </c>
      <c r="J421" s="17" t="inlineStr">
        <is>
          <t>Confirms equal per capita division among the four children of Dinesh, among Neesha's three half-siblings, and between Kasun's two full siblings, since in each case the takers are equally near in degree.
TEMPORAL: In force from 1876; no amendment event recorded in the corpus.</t>
        </is>
      </c>
      <c r="K421" s="17" t="inlineStr">
        <is>
          <t>[partially_verified]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t>
        </is>
      </c>
      <c r="L421" s="21" t="n"/>
      <c r="M421" s="21" t="n"/>
      <c r="N421" s="21" t="n"/>
      <c r="O421" s="21" t="n"/>
      <c r="P421" s="21" t="n"/>
      <c r="Q421" s="17">
        <f>IF(OR(A421="",B421=""),"",IF(AND(L421&lt;&gt;"",P421&lt;&gt;"",IF(L421="Wrong citation",AND(M421&lt;&gt;"",N421&lt;&gt;""),TRUE)),"Complete","Pending"))</f>
        <v/>
      </c>
    </row>
    <row r="422">
      <c r="A422" s="19" t="inlineStr">
        <is>
          <t>M061-Q02</t>
        </is>
      </c>
      <c r="B422" s="19" t="inlineStr">
        <is>
          <t>PROV-M061-001</t>
        </is>
      </c>
      <c r="C422" s="17" t="inlineStr">
        <is>
          <t>Matrimonial Rights and Inheritance Ordinance No. 15 of 1876</t>
        </is>
      </c>
      <c r="D422" s="17" t="inlineStr">
        <is>
          <t>s.2</t>
        </is>
      </c>
      <c r="E422" s="17" t="inlineStr">
        <is>
          <t>2020-10</t>
        </is>
      </c>
      <c r="F422" s="17" t="inlineStr">
        <is>
          <t>Current on reference date</t>
        </is>
      </c>
      <c r="G422" s="17" t="inlineStr">
        <is>
          <t>Save as aforesaid, this Ordinance shall not apply to Kandyans or Muslims, or to Tamils of the Northern Province who are or may become subject to the Tesawalamai.</t>
        </is>
      </c>
      <c r="H422" s="17" t="inlineStr">
        <is>
          <t>https://lankalaw.net/wp-content/uploads/2024/03/mrai69364.pdf</t>
        </is>
      </c>
      <c r="I422" s="17" t="inlineStr">
        <is>
          <t>Supporting</t>
        </is>
      </c>
      <c r="J422" s="17" t="inlineStr">
        <is>
          <t>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TEMPORAL: In force from 1876; no amendment event recorded in the corpus. In force at 2020-10 and at every death in the scenario (2007, 2009, 2012, 2015).</t>
        </is>
      </c>
      <c r="K422" s="17" t="inlineStr">
        <is>
          <t>[verified]</t>
        </is>
      </c>
      <c r="L422" s="21" t="n"/>
      <c r="M422" s="21" t="n"/>
      <c r="N422" s="21" t="n"/>
      <c r="O422" s="21" t="n"/>
      <c r="P422" s="21" t="n"/>
      <c r="Q422" s="17">
        <f>IF(OR(A422="",B422=""),"",IF(AND(L422&lt;&gt;"",P422&lt;&gt;"",IF(L422="Wrong citation",AND(M422&lt;&gt;"",N422&lt;&gt;""),TRUE)),"Complete","Pending"))</f>
        <v/>
      </c>
    </row>
    <row r="423">
      <c r="A423" s="19" t="inlineStr">
        <is>
          <t>M061-Q02</t>
        </is>
      </c>
      <c r="B423" s="19" t="inlineStr">
        <is>
          <t>PROV-M061-002</t>
        </is>
      </c>
      <c r="C423" s="17" t="inlineStr">
        <is>
          <t>Matrimonial Rights and Inheritance Ordinance No. 15 of 1876</t>
        </is>
      </c>
      <c r="D423" s="17" t="inlineStr">
        <is>
          <t>s.3</t>
        </is>
      </c>
      <c r="E423" s="17" t="inlineStr">
        <is>
          <t>2020-10</t>
        </is>
      </c>
      <c r="F423" s="17" t="inlineStr">
        <is>
          <t>Current on reference date</t>
        </is>
      </c>
      <c r="G423" s="17" t="inlineStr">
        <is>
          <t>includes land, incorporeal tenements, and things attached to the earth or permanently fastened to anything which is attached to the earth, and any interest in land except that of a mortgagee</t>
        </is>
      </c>
      <c r="H423" s="17" t="inlineStr">
        <is>
          <t>https://lankalaw.net/wp-content/uploads/2024/03/mrai69364.pdf</t>
        </is>
      </c>
      <c r="I423" s="17" t="inlineStr">
        <is>
          <t>Supporting</t>
        </is>
      </c>
      <c r="J423" s="17" t="inlineStr">
        <is>
          <t>Defines "immovable property" for the Ordinance. Lot A with the house at Assessment No.12 is land with a building attached to it, so the inheritance rules in s.21 onwards, not the movable-property conflict rule, govern its devolution.
TEMPORAL: In force from 1876; no amendment event recorded in the corpus.</t>
        </is>
      </c>
      <c r="K423" s="17" t="inlineStr">
        <is>
          <t>[partially_verified]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t>
        </is>
      </c>
      <c r="L423" s="21" t="n"/>
      <c r="M423" s="21" t="n"/>
      <c r="N423" s="21" t="n"/>
      <c r="O423" s="21" t="n"/>
      <c r="P423" s="21" t="n"/>
      <c r="Q423" s="17">
        <f>IF(OR(A423="",B423=""),"",IF(AND(L423&lt;&gt;"",P423&lt;&gt;"",IF(L423="Wrong citation",AND(M423&lt;&gt;"",N423&lt;&gt;""),TRUE)),"Complete","Pending"))</f>
        <v/>
      </c>
    </row>
    <row r="424">
      <c r="A424" s="19" t="inlineStr">
        <is>
          <t>M061-Q02</t>
        </is>
      </c>
      <c r="B424" s="19" t="inlineStr">
        <is>
          <t>PROV-M061-003</t>
        </is>
      </c>
      <c r="C424" s="17" t="inlineStr">
        <is>
          <t>Matrimonial Rights and Inheritance Ordinance No. 15 of 1876</t>
        </is>
      </c>
      <c r="D424" s="17" t="inlineStr">
        <is>
          <t>s.20</t>
        </is>
      </c>
      <c r="E424" s="17" t="inlineStr">
        <is>
          <t>2020-10</t>
        </is>
      </c>
      <c r="F424" s="17" t="inlineStr">
        <is>
          <t>Current on reference date</t>
        </is>
      </c>
      <c r="G424" s="17" t="inlineStr">
        <is>
          <t>The following sections of this Ordinance shall apply to the estates of such persons only as shall die after the proclamation of this Ordinance</t>
        </is>
      </c>
      <c r="H424" s="17" t="inlineStr">
        <is>
          <t>https://lankalaw.net/wp-content/uploads/2024/03/mrai69364.pdf</t>
        </is>
      </c>
      <c r="I424" s="17" t="inlineStr">
        <is>
          <t>Supporting</t>
        </is>
      </c>
      <c r="J424" s="17" t="inlineStr">
        <is>
          <t>Temporal gate on Part III. Every death in the scenario (2007, 2009, 2012, 2015) is long after the proclamation of the Ordinance, so the inheritance sections apply to each estate.
TEMPORAL: In force from 1876; no amendment event recorded in the corpus.</t>
        </is>
      </c>
      <c r="K424" s="17" t="inlineStr">
        <is>
          <t>[partially_verified]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t>
        </is>
      </c>
      <c r="L424" s="21" t="n"/>
      <c r="M424" s="21" t="n"/>
      <c r="N424" s="21" t="n"/>
      <c r="O424" s="21" t="n"/>
      <c r="P424" s="21" t="n"/>
      <c r="Q424" s="17">
        <f>IF(OR(A424="",B424=""),"",IF(AND(L424&lt;&gt;"",P424&lt;&gt;"",IF(L424="Wrong citation",AND(M424&lt;&gt;"",N424&lt;&gt;""),TRUE)),"Complete","Pending"))</f>
        <v/>
      </c>
    </row>
    <row r="425">
      <c r="A425" s="19" t="inlineStr">
        <is>
          <t>M061-Q02</t>
        </is>
      </c>
      <c r="B425" s="19" t="inlineStr">
        <is>
          <t>PROV-M061-004</t>
        </is>
      </c>
      <c r="C425" s="17" t="inlineStr">
        <is>
          <t>Matrimonial Rights and Inheritance Ordinance No. 15 of 1876</t>
        </is>
      </c>
      <c r="D425" s="17" t="inlineStr">
        <is>
          <t>s.21 (1)</t>
        </is>
      </c>
      <c r="E425" s="17" t="inlineStr">
        <is>
          <t>2020-10</t>
        </is>
      </c>
      <c r="F425" s="17" t="inlineStr">
        <is>
          <t>Current on reference date</t>
        </is>
      </c>
      <c r="G425" s="17" t="inlineStr">
        <is>
          <t>Inheritance ab interstate to the immovable property in Sri Lanka of a person deceased shall be governed and regulated by the following provisions of this Ordinance wherever such person may have or have had his actual or matrimonial domicile.</t>
        </is>
      </c>
      <c r="H425" s="17" t="inlineStr">
        <is>
          <t>https://lankalaw.net/wp-content/uploads/2024/03/mrai69364.pdf</t>
        </is>
      </c>
      <c r="I425" s="17" t="inlineStr">
        <is>
          <t>Supporting</t>
        </is>
      </c>
      <c r="J425" s="17" t="inlineStr">
        <is>
          <t>Makes the Ordinance the governing law for intestate succession to Lot A, immovable property in Sri Lanka, for each of the three intestacies in the chain.
TEMPORAL: In force from 1876; no amendment event recorded in the corpus.</t>
        </is>
      </c>
      <c r="K425" s="17" t="inlineStr">
        <is>
          <t>[verified]</t>
        </is>
      </c>
      <c r="L425" s="21" t="n"/>
      <c r="M425" s="21" t="n"/>
      <c r="N425" s="21" t="n"/>
      <c r="O425" s="21" t="n"/>
      <c r="P425" s="21" t="n"/>
      <c r="Q425" s="17">
        <f>IF(OR(A425="",B425=""),"",IF(AND(L425&lt;&gt;"",P425&lt;&gt;"",IF(L425="Wrong citation",AND(M425&lt;&gt;"",N425&lt;&gt;""),TRUE)),"Complete","Pending"))</f>
        <v/>
      </c>
    </row>
    <row r="426">
      <c r="A426" s="19" t="inlineStr">
        <is>
          <t>M061-Q02</t>
        </is>
      </c>
      <c r="B426" s="19" t="inlineStr">
        <is>
          <t>PROV-M061-006</t>
        </is>
      </c>
      <c r="C426" s="17" t="inlineStr">
        <is>
          <t>Matrimonial Rights and Inheritance Ordinance No. 15 of 1876</t>
        </is>
      </c>
      <c r="D426" s="17" t="inlineStr">
        <is>
          <t>s.23</t>
        </is>
      </c>
      <c r="E426" s="17" t="inlineStr">
        <is>
          <t>2020-10</t>
        </is>
      </c>
      <c r="F426" s="17" t="inlineStr">
        <is>
          <t>Current on reference date</t>
        </is>
      </c>
      <c r="G426" s="17" t="inlineStr">
        <is>
          <t>Subject to the right of the surviving spouse in the preceding section mentioned, the right of inheritance is divided in the following order as respects (a) descendants, (b) ascendants, (c) collaterals.</t>
        </is>
      </c>
      <c r="H426" s="17" t="inlineStr">
        <is>
          <t>https://lankalaw.net/wp-content/uploads/2024/03/mrai69364.pdf</t>
        </is>
      </c>
      <c r="I426" s="17" t="inlineStr">
        <is>
          <t>Supporting</t>
        </is>
      </c>
      <c r="J426" s="17" t="inlineStr">
        <is>
          <t>Sets the order in which the half not taken by the surviving spouse is distributed, and confirms that the spouse's half is carved out first. It is the link between s.22 and ss.24 to 29.
TEMPORAL: In force from 1876; no amendment event recorded in the corpus.</t>
        </is>
      </c>
      <c r="K426" s="17" t="inlineStr">
        <is>
          <t>[verified]</t>
        </is>
      </c>
      <c r="L426" s="21" t="n"/>
      <c r="M426" s="21" t="n"/>
      <c r="N426" s="21" t="n"/>
      <c r="O426" s="21" t="n"/>
      <c r="P426" s="21" t="n"/>
      <c r="Q426" s="17">
        <f>IF(OR(A426="",B426=""),"",IF(AND(L426&lt;&gt;"",P426&lt;&gt;"",IF(L426="Wrong citation",AND(M426&lt;&gt;"",N426&lt;&gt;""),TRUE)),"Complete","Pending"))</f>
        <v/>
      </c>
    </row>
    <row r="427">
      <c r="A427" s="19" t="inlineStr">
        <is>
          <t>M061-Q02</t>
        </is>
      </c>
      <c r="B427" s="19" t="inlineStr">
        <is>
          <t>PROV-M061-901</t>
        </is>
      </c>
      <c r="C427" s="17" t="inlineStr">
        <is>
          <t>Matrimonial Rights and Inheritance Ordinance No. 15 of 1876</t>
        </is>
      </c>
      <c r="D427" s="17" t="inlineStr">
        <is>
          <t>s.36</t>
        </is>
      </c>
      <c r="E427" s="17" t="inlineStr">
        <is>
          <t>2020-10</t>
        </is>
      </c>
      <c r="F427" s="17" t="inlineStr">
        <is>
          <t>Current on reference date</t>
        </is>
      </c>
      <c r="G427" s="17" t="inlineStr">
        <is>
          <t>In all questions relating to the distribution of the property of an intestate, if the present Ordinance is silent, the rules of the Roman-Dutch law as it prevailed in North Holland are to govern and be followed.</t>
        </is>
      </c>
      <c r="H427" s="17" t="inlineStr">
        <is>
          <t>https://lankalaw.net/wp-content/uploads/2024/03/mrai69364.pdf</t>
        </is>
      </c>
      <c r="I427" s="17" t="inlineStr">
        <is>
          <t>Supporting</t>
        </is>
      </c>
      <c r="J427" s="17" t="inlineStr">
        <is>
          <t>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TEMPORAL: In force from 1876; no amendment event recorded in the corpus. In force at 2020-10 and at every death in the scenario.</t>
        </is>
      </c>
      <c r="K427" s="17" t="inlineStr">
        <is>
          <t>[verified] Added by the verifier. Excerpt checked verbatim against 15-1876/s36.</t>
        </is>
      </c>
      <c r="L427" s="21" t="n"/>
      <c r="M427" s="21" t="n"/>
      <c r="N427" s="21" t="n"/>
      <c r="O427" s="21" t="n"/>
      <c r="P427" s="21" t="n"/>
      <c r="Q427" s="17">
        <f>IF(OR(A427="",B427=""),"",IF(AND(L427&lt;&gt;"",P427&lt;&gt;"",IF(L427="Wrong citation",AND(M427&lt;&gt;"",N427&lt;&gt;""),TRUE)),"Complete","Pending"))</f>
        <v/>
      </c>
    </row>
    <row r="428">
      <c r="A428" s="19" t="inlineStr">
        <is>
          <t>M061-Q02</t>
        </is>
      </c>
      <c r="B428" s="19" t="inlineStr">
        <is>
          <t>PROV-M061-012</t>
        </is>
      </c>
      <c r="C428" s="17" t="inlineStr">
        <is>
          <t>Prevention of Frauds Ordinance No. 7 of 1840</t>
        </is>
      </c>
      <c r="D428" s="17" t="inlineStr">
        <is>
          <t>s.2 (1)</t>
        </is>
      </c>
      <c r="E428" s="17" t="inlineStr">
        <is>
          <t>2020-10</t>
        </is>
      </c>
      <c r="F428" s="17" t="inlineStr">
        <is>
          <t>Current on reference date</t>
        </is>
      </c>
      <c r="G428" s="17" t="inlineStr">
        <is>
          <t>shall be in force or avail in law unless - (a) the relevant deed or instrument shall be in writing, signed by every executant</t>
        </is>
      </c>
      <c r="H428" s="17" t="inlineStr">
        <is>
          <t>https://lankalaw.net/wp-content/uploads/2025/03/Prevention-of-Frauds-Consolidated-2024.pdf</t>
        </is>
      </c>
      <c r="I428" s="17" t="inlineStr">
        <is>
          <t>Background</t>
        </is>
      </c>
      <c r="J428" s="17" t="inlineStr">
        <is>
          <t>Background only: it explains why the transfer of Lot A to Dinesh had to be, and was, effected by a notarially attested deed (Deed of Gift No.1100 attested by Asanka Silva, Notary Public). It does not decide any share.
TEMPORAL: In force from 1840; the corpus records amendment events in 1947, 2022 and 2024. The text shown is the consolidated text including changes made after the deed was executed in 2006, so it is used for background only and is not relied on as the operative text at the date of the deed.</t>
        </is>
      </c>
      <c r="K428" s="17" t="inlineStr">
        <is>
          <t>[partially_verified]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t>
        </is>
      </c>
      <c r="L428" s="21" t="n"/>
      <c r="M428" s="21" t="n"/>
      <c r="N428" s="21" t="n"/>
      <c r="O428" s="21" t="n"/>
      <c r="P428" s="21" t="n"/>
      <c r="Q428" s="17">
        <f>IF(OR(A428="",B428=""),"",IF(AND(L428&lt;&gt;"",P428&lt;&gt;"",IF(L428="Wrong citation",AND(M428&lt;&gt;"",N428&lt;&gt;""),TRUE)),"Complete","Pending"))</f>
        <v/>
      </c>
    </row>
    <row r="429">
      <c r="A429" s="19" t="inlineStr">
        <is>
          <t>M064-Q01</t>
        </is>
      </c>
      <c r="B429" s="19" t="inlineStr">
        <is>
          <t>PROV-M064-001</t>
        </is>
      </c>
      <c r="C429" s="17" t="inlineStr">
        <is>
          <t>Notaries Ordinance No. 1 of 1907</t>
        </is>
      </c>
      <c r="D429" s="17" t="inlineStr">
        <is>
          <t>s.31 rule (1)</t>
        </is>
      </c>
      <c r="E429" s="17" t="inlineStr">
        <is>
          <t>2020-10</t>
        </is>
      </c>
      <c r="F429" s="17" t="inlineStr">
        <is>
          <t>Current on reference date</t>
        </is>
      </c>
      <c r="G429" s="17" t="inlineStr">
        <is>
          <t>He shall not divulge the secrets confided to him or of which he becomes possessed in the execution of his office, unless with the express permission of his employer or when required to do so by law.</t>
        </is>
      </c>
      <c r="H429" s="17" t="inlineStr">
        <is>
          <t>https://www.rgd.gov.lk/web/images/ActsPDF/notary/Notaries-English.pdf</t>
        </is>
      </c>
      <c r="I429" s="17" t="inlineStr">
        <is>
          <t>Indispensable</t>
        </is>
      </c>
      <c r="J429" s="17" t="inlineStr">
        <is>
          <t>This is the statutory duty of secrecy of a notary. It settles the question directly: a notary may not disclose what he learned in the execution of his office, and the only two gateways to disclosure are the express permission of his employer (here, the testator who instructed and executed the will before him) or a legal requirement to disclose. Whether the notary attested a particular will, and what that will contains, is a secret of exactly this kind.
TEMPORAL: Rule (1) has stood since the Ordinance came into force in 1907 and is in force at 2020-10. The section as a whole shows amendment events for 2011, 2022 and 2024, but Notaries (Amendment) Act No. 31 of 2022 s.16 and Notaries (Amendment) Act No. 47 of 2011 were read and neither substitutes, amends or repeals rule (1); the 2024 amendment (6-2024 s.3) is in any event after the matter date and so cannot bear on the October 2020 text.</t>
        </is>
      </c>
      <c r="K429" s="17" t="inlineStr">
        <is>
          <t>[verified]</t>
        </is>
      </c>
      <c r="L429" s="21" t="n"/>
      <c r="M429" s="21" t="n"/>
      <c r="N429" s="21" t="n"/>
      <c r="O429" s="21" t="n"/>
      <c r="P429" s="21" t="n"/>
      <c r="Q429" s="17">
        <f>IF(OR(A429="",B429=""),"",IF(AND(L429&lt;&gt;"",P429&lt;&gt;"",IF(L429="Wrong citation",AND(M429&lt;&gt;"",N429&lt;&gt;""),TRUE)),"Complete","Pending"))</f>
        <v/>
      </c>
    </row>
    <row r="430">
      <c r="A430" s="19" t="inlineStr">
        <is>
          <t>M064-Q01</t>
        </is>
      </c>
      <c r="B430" s="19" t="inlineStr">
        <is>
          <t>PROV-M064-002</t>
        </is>
      </c>
      <c r="C430" s="17" t="inlineStr">
        <is>
          <t>Notaries Ordinance No. 1 of 1907</t>
        </is>
      </c>
      <c r="D430" s="17" t="inlineStr">
        <is>
          <t>s.34 (1)(a)</t>
        </is>
      </c>
      <c r="E430" s="17" t="inlineStr">
        <is>
          <t>2020-10</t>
        </is>
      </c>
      <c r="F430" s="17" t="inlineStr">
        <is>
          <t>Unclear</t>
        </is>
      </c>
      <c r="G430" s="17" t="inlineStr">
        <is>
          <t>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t>
        </is>
      </c>
      <c r="H430" s="17" t="inlineStr">
        <is>
          <t>https://www.rgd.gov.lk/web/images/ActsPDF/notary/Notaries-English.pdf</t>
        </is>
      </c>
      <c r="I430" s="17" t="inlineStr">
        <is>
          <t>Supporting</t>
        </is>
      </c>
      <c r="J430" s="17" t="inlineStr">
        <is>
          <t>Shows that breach of the duty of secrecy in rule (1) is not merely a matter of etiquette but a criminal offence, and that criminal liability is in addition to any civil liability. It supports the strength of the advice but is not needed to reach the answer.
TEMPORAL: The corpus text of s.34 is the section substituted by Notaries (Amendment) Act No. 31 of 2022 s.17, which post-dates the matter reference date of 2020-10. A penal provision for breach of the s.31 rules existed before 2022, but its text and the fine then applicable are not in the corpus, so this provision is recorded as supporting only and is not relied on for the conclusion.</t>
        </is>
      </c>
      <c r="K430" s="17" t="inlineStr">
        <is>
          <t>[partially_verified] Excerpt is verbatim, but the corpus text of s.34 is the whole section repealed and substituted by Notaries (Amendment) Act No. 31 of 2022 s.17, so no penalty for breach of rule (1) can be stated from the corpus as at 2020-10; correctly held to supporting only and not relied on for the conclusion.</t>
        </is>
      </c>
      <c r="L430" s="21" t="n"/>
      <c r="M430" s="21" t="n"/>
      <c r="N430" s="21" t="n"/>
      <c r="O430" s="21" t="n"/>
      <c r="P430" s="21" t="n"/>
      <c r="Q430" s="17">
        <f>IF(OR(A430="",B430=""),"",IF(AND(L430&lt;&gt;"",P430&lt;&gt;"",IF(L430="Wrong citation",AND(M430&lt;&gt;"",N430&lt;&gt;""),TRUE)),"Complete","Pending"))</f>
        <v/>
      </c>
    </row>
    <row r="431">
      <c r="A431" s="19" t="inlineStr">
        <is>
          <t>M064-Q01</t>
        </is>
      </c>
      <c r="B431" s="19" t="inlineStr">
        <is>
          <t>PROV-M064-003</t>
        </is>
      </c>
      <c r="C431" s="17" t="inlineStr">
        <is>
          <t>Notaries Ordinance No. 1 of 1907</t>
        </is>
      </c>
      <c r="D431" s="17" t="inlineStr">
        <is>
          <t>s.21 (1)(b) and (1)(c)</t>
        </is>
      </c>
      <c r="E431" s="17" t="inlineStr">
        <is>
          <t>2020-10</t>
        </is>
      </c>
      <c r="F431" s="17" t="inlineStr">
        <is>
          <t>Current on reference date</t>
        </is>
      </c>
      <c r="G431" s="17" t="inlineStr">
        <is>
          <t>has grossly misconducted himself in the discharge of the duties of his office; or (c) has so conducted himself by repeated breaches of any of the rules made by or under this Ordinance that he ought not to be any longer entrusted with the performance of the said duties</t>
        </is>
      </c>
      <c r="H431" s="17" t="inlineStr">
        <is>
          <t>https://www.rgd.gov.lk/web/images/ActsPDF/notary/Notaries-English.pdf</t>
        </is>
      </c>
      <c r="I431" s="17" t="inlineStr">
        <is>
          <t>Supporting</t>
        </is>
      </c>
      <c r="J431" s="17" t="inlineStr">
        <is>
          <t>Gives the disciplinary consequence of breaching the notarial rules: gross misconduct in the discharge of the office, or repeated breaches of the rules, can lead to an inquiry and to cancellation or suspension of the warrant. Supporting context for why the duty must be observed; not a step in the reasoning.
TEMPORAL: Section 21 dates from 1907. The only later changes recorded are Notaries (Amendment) Act No. 31 of 2022 s.11, which alters wording in subsection (1)(e) and raises the fine in subsection (4); neither touches subsection (1)(b) or (1)(c), which are the parts relied on here.</t>
        </is>
      </c>
      <c r="K431" s="17" t="inlineStr">
        <is>
          <t>[partially_verified] Excerpt is verbatim and subsections (1)(b) and (1)(c) are untouched at the matter date, but the temporal note is incomplete: the corpus also records an unmapped amendment event 'unknown by 12-2005 s.5 (2005)' on s.21, which is not mentioned.</t>
        </is>
      </c>
      <c r="L431" s="21" t="n"/>
      <c r="M431" s="21" t="n"/>
      <c r="N431" s="21" t="n"/>
      <c r="O431" s="21" t="n"/>
      <c r="P431" s="21" t="n"/>
      <c r="Q431" s="17">
        <f>IF(OR(A431="",B431=""),"",IF(AND(L431&lt;&gt;"",P431&lt;&gt;"",IF(L431="Wrong citation",AND(M431&lt;&gt;"",N431&lt;&gt;""),TRUE)),"Complete","Pending"))</f>
        <v/>
      </c>
    </row>
    <row r="432">
      <c r="A432" s="19" t="inlineStr">
        <is>
          <t>M065-Q01</t>
        </is>
      </c>
      <c r="B432" s="19" t="inlineStr">
        <is>
          <t>PROV-M065-001</t>
        </is>
      </c>
      <c r="C432" s="17" t="inlineStr">
        <is>
          <t>Notaries Ordinance No. 1 of 1907</t>
        </is>
      </c>
      <c r="D432" s="17" t="inlineStr">
        <is>
          <t>s.31 rule (25)(a)</t>
        </is>
      </c>
      <c r="E432" s="17" t="inlineStr">
        <is>
          <t>2020-10</t>
        </is>
      </c>
      <c r="F432" s="17" t="inlineStr">
        <is>
          <t>Current on reference date</t>
        </is>
      </c>
      <c r="G432"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t>
        </is>
      </c>
      <c r="H432" s="17" t="inlineStr">
        <is>
          <t>https://www.rgd.gov.lk/web/images/ActsPDF/notary/Notaries-English.pdf</t>
        </is>
      </c>
      <c r="I432" s="17" t="inlineStr">
        <is>
          <t>Indispensable</t>
        </is>
      </c>
      <c r="J432" s="17" t="inlineStr">
        <is>
          <t>This is the provision that expressly permits one deed to be executed or acknowledged before more than one notary and allocates the attestation duties between the notary who attests first and every other attesting notary. It is the direct answer to how two parties who will not meet can execute the same lease, and it fixes the heavier duty on Ruwan Perera as first notary.
TEMPORAL: Rule (25) has not been touched by Notaries (Amendment) Act No. 47 of 2011, No. 13 of 2013, No. 31 of 2022 or No. 6 of 2024, none of which lists rule (25) among the rules amended. The text was therefore in force at October 2020.</t>
        </is>
      </c>
      <c r="K432" s="17" t="inlineStr">
        <is>
          <t>[verified]</t>
        </is>
      </c>
      <c r="L432" s="21" t="n"/>
      <c r="M432" s="21" t="n"/>
      <c r="N432" s="21" t="n"/>
      <c r="O432" s="21" t="n"/>
      <c r="P432" s="21" t="n"/>
      <c r="Q432" s="17">
        <f>IF(OR(A432="",B432=""),"",IF(AND(L432&lt;&gt;"",P432&lt;&gt;"",IF(L432="Wrong citation",AND(M432&lt;&gt;"",N432&lt;&gt;""),TRUE)),"Complete","Pending"))</f>
        <v/>
      </c>
    </row>
    <row r="433">
      <c r="A433" s="19" t="inlineStr">
        <is>
          <t>M065-Q01</t>
        </is>
      </c>
      <c r="B433" s="19" t="inlineStr">
        <is>
          <t>PROV-M065-002</t>
        </is>
      </c>
      <c r="C433" s="17" t="inlineStr">
        <is>
          <t>Notaries Ordinance No. 1 of 1907</t>
        </is>
      </c>
      <c r="D433" s="17" t="inlineStr">
        <is>
          <t>s.32 (2)</t>
        </is>
      </c>
      <c r="E433" s="17" t="inlineStr">
        <is>
          <t>2020-10</t>
        </is>
      </c>
      <c r="F433" s="17" t="inlineStr">
        <is>
          <t>Current on reference date</t>
        </is>
      </c>
      <c r="G433" s="17" t="inlineStr">
        <is>
          <t>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433" s="17" t="inlineStr">
        <is>
          <t>https://www.rgd.gov.lk/web/images/ActsPDF/notary/Notaries-English.pdf</t>
        </is>
      </c>
      <c r="I433" s="17" t="inlineStr">
        <is>
          <t>Indispensable</t>
        </is>
      </c>
      <c r="J433" s="17" t="inlineStr">
        <is>
          <t>Section 32(2) is the statutory recognition that the parties to one deed may sign at different times and in different places, and it fixes the deemed date of execution for the purposes of rule (25). Without it the split signing in Galle and Colombo would have no statutory footing.
TEMPORAL: Section 32 carries in_force_from_year 1907 and no amendment events in the corpus, so the text was in force at October 2020.</t>
        </is>
      </c>
      <c r="K433" s="17" t="inlineStr">
        <is>
          <t>[verified]</t>
        </is>
      </c>
      <c r="L433" s="21" t="n"/>
      <c r="M433" s="21" t="n"/>
      <c r="N433" s="21" t="n"/>
      <c r="O433" s="21" t="n"/>
      <c r="P433" s="21" t="n"/>
      <c r="Q433" s="17">
        <f>IF(OR(A433="",B433=""),"",IF(AND(L433&lt;&gt;"",P433&lt;&gt;"",IF(L433="Wrong citation",AND(M433&lt;&gt;"",N433&lt;&gt;""),TRUE)),"Complete","Pending"))</f>
        <v/>
      </c>
    </row>
    <row r="434">
      <c r="A434" s="19" t="inlineStr">
        <is>
          <t>M065-Q01</t>
        </is>
      </c>
      <c r="B434" s="19" t="inlineStr">
        <is>
          <t>PROV-M065-003</t>
        </is>
      </c>
      <c r="C434" s="17" t="inlineStr">
        <is>
          <t>Notaries Ordinance No. 1 of 1907</t>
        </is>
      </c>
      <c r="D434" s="17" t="inlineStr">
        <is>
          <t>s.31 rule (22)</t>
        </is>
      </c>
      <c r="E434" s="17" t="inlineStr">
        <is>
          <t>2020-10</t>
        </is>
      </c>
      <c r="F434" s="17" t="inlineStr">
        <is>
          <t>Current on reference date</t>
        </is>
      </c>
      <c r="G434"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434" s="17" t="inlineStr">
        <is>
          <t>https://www.rgd.gov.lk/web/images/ActsPDF/notary/Notaries-English.pdf</t>
        </is>
      </c>
      <c r="I434" s="17" t="inlineStr">
        <is>
          <t>Indispensable</t>
        </is>
      </c>
      <c r="J434" s="17" t="inlineStr">
        <is>
          <t>Rule (22) is why the problem exists at all: Anil Fernando cannot attest in Galle and Ruwan Perera cannot attest in Colombo, so a single notary cannot take both signatures unless one party travels. It makes execution before two notaries the necessary route.
TEMPORAL: Rule (22) is not among the rules amended by the 2011, 2013, 2022 or 2024 amending Acts and was in force at October 2020. Section 4A (inserted 1976) should be read with it: a warrant to practise in a judicial division is deemed to authorise practice in the judicial zone in which the notary resides.</t>
        </is>
      </c>
      <c r="K434" s="17" t="inlineStr">
        <is>
          <t>[verified]</t>
        </is>
      </c>
      <c r="L434" s="21" t="n"/>
      <c r="M434" s="21" t="n"/>
      <c r="N434" s="21" t="n"/>
      <c r="O434" s="21" t="n"/>
      <c r="P434" s="21" t="n"/>
      <c r="Q434" s="17">
        <f>IF(OR(A434="",B434=""),"",IF(AND(L434&lt;&gt;"",P434&lt;&gt;"",IF(L434="Wrong citation",AND(M434&lt;&gt;"",N434&lt;&gt;""),TRUE)),"Complete","Pending"))</f>
        <v/>
      </c>
    </row>
    <row r="435">
      <c r="A435" s="19" t="inlineStr">
        <is>
          <t>M065-Q01</t>
        </is>
      </c>
      <c r="B435" s="19" t="inlineStr">
        <is>
          <t>PROV-M065-004</t>
        </is>
      </c>
      <c r="C435" s="17" t="inlineStr">
        <is>
          <t>Notaries Ordinance No. 1 of 1907</t>
        </is>
      </c>
      <c r="D435" s="17" t="inlineStr">
        <is>
          <t>s.31 rule (2)</t>
        </is>
      </c>
      <c r="E435" s="17" t="inlineStr">
        <is>
          <t>2020-10</t>
        </is>
      </c>
      <c r="F435" s="17" t="inlineStr">
        <is>
          <t>Current on reference date</t>
        </is>
      </c>
      <c r="G435" s="17" t="inlineStr">
        <is>
          <t>He shall not authenticate or attest a deed or instrument drawn in Sri Lanka by any other person, unless there shall be endorsed thereon a certificate signed by a notary certifying that such deed or instrument has been drawn by himself.</t>
        </is>
      </c>
      <c r="H435" s="17" t="inlineStr">
        <is>
          <t>https://www.rgd.gov.lk/web/images/ActsPDF/notary/Notaries-English.pdf</t>
        </is>
      </c>
      <c r="I435" s="17" t="inlineStr">
        <is>
          <t>Indispensable</t>
        </is>
      </c>
      <c r="J435" s="17" t="inlineStr">
        <is>
          <t>Ruwan Perera is to draft the lease. Anil Fernando, who will attest the company's signature, is therefore attesting a deed drawn by another person and may do so only if a certificate signed by the notary who drew it is endorsed on the deed.
TEMPORAL: Rule (2) is not among the rules amended by the 2011, 2013, 2022 or 2024 amending Acts and was in force at October 2020.</t>
        </is>
      </c>
      <c r="K435" s="17" t="inlineStr">
        <is>
          <t>[verified]</t>
        </is>
      </c>
      <c r="L435" s="21" t="n"/>
      <c r="M435" s="21" t="n"/>
      <c r="N435" s="21" t="n"/>
      <c r="O435" s="21" t="n"/>
      <c r="P435" s="21" t="n"/>
      <c r="Q435" s="17">
        <f>IF(OR(A435="",B435=""),"",IF(AND(L435&lt;&gt;"",P435&lt;&gt;"",IF(L435="Wrong citation",AND(M435&lt;&gt;"",N435&lt;&gt;""),TRUE)),"Complete","Pending"))</f>
        <v/>
      </c>
    </row>
    <row r="436">
      <c r="A436" s="19" t="inlineStr">
        <is>
          <t>M065-Q01</t>
        </is>
      </c>
      <c r="B436" s="19" t="inlineStr">
        <is>
          <t>PROV-M065-005</t>
        </is>
      </c>
      <c r="C436" s="17" t="inlineStr">
        <is>
          <t>Notaries Ordinance No. 1 of 1907</t>
        </is>
      </c>
      <c r="D436" s="17" t="inlineStr">
        <is>
          <t>s.31 rule (12)</t>
        </is>
      </c>
      <c r="E436" s="17" t="inlineStr">
        <is>
          <t>2020-10</t>
        </is>
      </c>
      <c r="F436" s="17" t="inlineStr">
        <is>
          <t>Current on reference date</t>
        </is>
      </c>
      <c r="G436"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436" s="17" t="inlineStr">
        <is>
          <t>https://www.rgd.gov.lk/web/images/ActsPDF/notary/Notaries-English.pdf</t>
        </is>
      </c>
      <c r="I436" s="17" t="inlineStr">
        <is>
          <t>Indispensable</t>
        </is>
      </c>
      <c r="J436" s="17" t="inlineStr">
        <is>
          <t>Rule (12) forbids attestation of a signature not made in the notary's presence. It rules out any arrangement by which one notary attests both parties on the strength of a signature obtained elsewhere, and so requires each party to sign before the notary who attests that party.
TEMPORAL: Rule (12) is not among the rules amended by the 2011, 2013, 2022 or 2024 amending Acts and was in force at October 2020.</t>
        </is>
      </c>
      <c r="K436" s="17" t="inlineStr">
        <is>
          <t>[verified]</t>
        </is>
      </c>
      <c r="L436" s="21" t="n"/>
      <c r="M436" s="21" t="n"/>
      <c r="N436" s="21" t="n"/>
      <c r="O436" s="21" t="n"/>
      <c r="P436" s="21" t="n"/>
      <c r="Q436" s="17">
        <f>IF(OR(A436="",B436=""),"",IF(AND(L436&lt;&gt;"",P436&lt;&gt;"",IF(L436="Wrong citation",AND(M436&lt;&gt;"",N436&lt;&gt;""),TRUE)),"Complete","Pending"))</f>
        <v/>
      </c>
    </row>
    <row r="437">
      <c r="A437" s="19" t="inlineStr">
        <is>
          <t>M065-Q01</t>
        </is>
      </c>
      <c r="B437" s="19" t="inlineStr">
        <is>
          <t>PROV-M065-007</t>
        </is>
      </c>
      <c r="C437" s="17" t="inlineStr">
        <is>
          <t>Companies Act No. 7 of 2007</t>
        </is>
      </c>
      <c r="D437" s="17" t="inlineStr">
        <is>
          <t>s.19 (1)(a)</t>
        </is>
      </c>
      <c r="E437" s="17" t="inlineStr">
        <is>
          <t>2020-10</t>
        </is>
      </c>
      <c r="F437" s="17" t="inlineStr">
        <is>
          <t>Current on reference date</t>
        </is>
      </c>
      <c r="G437" s="17" t="inlineStr">
        <is>
          <t>an obligation which, if entered into by a natural person is required by law to be in writing signed by that person and be notarially attested, may be entered into on behalf of the company in writing signed under the name of the company by - (i) two directors of the company; (ii) if there be only one director, by that director; (iii) if the articles of the company so provide, by any other person or class of persons; or (iv) one or more attorneys appointed by the company, and be notarially executed;</t>
        </is>
      </c>
      <c r="H437" s="17" t="inlineStr">
        <is>
          <t>https://www.drc.gov.lk/en/wp-content/uploads/2018/04/Act-7-of-2007-English.pdf</t>
        </is>
      </c>
      <c r="I437" s="17" t="inlineStr">
        <is>
          <t>Indispensable</t>
        </is>
      </c>
      <c r="J437" s="17" t="inlineStr">
        <is>
          <t>Cyril &amp; Cyril (Private) Limited is a body corporate and cannot sign personally. Section 19(1)(a) states how the company signs a notarially attested obligation such as this lease, and it is the provision that lets the company's directors (whom Anil Fernando knows) execute in Colombo.
TEMPORAL: Section 19 carries in_force_from_year 2007 and no amendment events in the corpus; the Companies (Amendment) Act No. 13 of 2019 in the corpus does not touch it. In force at October 2020.</t>
        </is>
      </c>
      <c r="K437" s="17" t="inlineStr">
        <is>
          <t>[verified]</t>
        </is>
      </c>
      <c r="L437" s="21" t="n"/>
      <c r="M437" s="21" t="n"/>
      <c r="N437" s="21" t="n"/>
      <c r="O437" s="21" t="n"/>
      <c r="P437" s="21" t="n"/>
      <c r="Q437" s="17">
        <f>IF(OR(A437="",B437=""),"",IF(AND(L437&lt;&gt;"",P437&lt;&gt;"",IF(L437="Wrong citation",AND(M437&lt;&gt;"",N437&lt;&gt;""),TRUE)),"Complete","Pending"))</f>
        <v/>
      </c>
    </row>
    <row r="438">
      <c r="A438" s="19" t="inlineStr">
        <is>
          <t>M065-Q01</t>
        </is>
      </c>
      <c r="B438" s="19" t="inlineStr">
        <is>
          <t>PROV-M065-006</t>
        </is>
      </c>
      <c r="C438" s="17" t="inlineStr">
        <is>
          <t>Notaries Ordinance No. 1 of 1907</t>
        </is>
      </c>
      <c r="D438" s="17" t="inlineStr">
        <is>
          <t>s.31 rule (8)</t>
        </is>
      </c>
      <c r="E438" s="17" t="inlineStr">
        <is>
          <t>2020-10</t>
        </is>
      </c>
      <c r="F438" s="17" t="inlineStr">
        <is>
          <t>Current on reference date</t>
        </is>
      </c>
      <c r="G438" s="17" t="inlineStr">
        <is>
          <t>He shall not authenticate or attest any deed or instrument to which at least two witnesses have not subscribed their signatures in letters.</t>
        </is>
      </c>
      <c r="H438" s="17" t="inlineStr">
        <is>
          <t>https://www.rgd.gov.lk/web/images/ActsPDF/notary/Notaries-English.pdf</t>
        </is>
      </c>
      <c r="I438" s="17" t="inlineStr">
        <is>
          <t>Supporting</t>
        </is>
      </c>
      <c r="J438" s="17" t="inlineStr">
        <is>
          <t>Each attestation must be supported by at least two subscribing witnesses, so witnesses must be available at each of the two signings rather than only at the first.
TEMPORAL: Rule (8) is not among the rules amended by the 2011, 2013, 2022 or 2024 amending Acts and was in force at October 2020.</t>
        </is>
      </c>
      <c r="K438" s="17" t="inlineStr">
        <is>
          <t>[verified]</t>
        </is>
      </c>
      <c r="L438" s="21" t="n"/>
      <c r="M438" s="21" t="n"/>
      <c r="N438" s="21" t="n"/>
      <c r="O438" s="21" t="n"/>
      <c r="P438" s="21" t="n"/>
      <c r="Q438" s="17">
        <f>IF(OR(A438="",B438=""),"",IF(AND(L438&lt;&gt;"",P438&lt;&gt;"",IF(L438="Wrong citation",AND(M438&lt;&gt;"",N438&lt;&gt;""),TRUE)),"Complete","Pending"))</f>
        <v/>
      </c>
    </row>
    <row r="439">
      <c r="A439" s="19" t="inlineStr">
        <is>
          <t>M065-Q01</t>
        </is>
      </c>
      <c r="B439" s="19" t="inlineStr">
        <is>
          <t>PROV-M065-008</t>
        </is>
      </c>
      <c r="C439" s="17" t="inlineStr">
        <is>
          <t>Prevention of Frauds Ordinance No. 7 of 1840</t>
        </is>
      </c>
      <c r="D439" s="17" t="inlineStr">
        <is>
          <t>s.2 (1)</t>
        </is>
      </c>
      <c r="E439" s="17" t="inlineStr">
        <is>
          <t>2020-10</t>
        </is>
      </c>
      <c r="F439" s="17" t="inlineStr">
        <is>
          <t>Unclear</t>
        </is>
      </c>
      <c r="G439" s="17" t="inlineStr">
        <is>
          <t>no promise, bargain, contract, or agreement for effecting any such object, or for establishing any security, interest, or incumbrance affecting land or other immovable property (other than a lease at will, or for any period not exceeding one month)</t>
        </is>
      </c>
      <c r="H439" s="17" t="inlineStr">
        <is>
          <t>https://lankalaw.net/wp-content/uploads/2025/03/Prevention-of-Frauds-Consolidated-2024.pdf</t>
        </is>
      </c>
      <c r="I439" s="17" t="inlineStr">
        <is>
          <t>Supporting</t>
        </is>
      </c>
      <c r="J439" s="17" t="inlineStr">
        <is>
          <t>This is why a notary is needed at all: a lease of immovable property other than a lease at will or for a period not exceeding one month creates an interest in land and is of no force in law unless it is in writing and notarially attested.
TEMPORAL: The corpus text of section 2 is the consolidated text carrying amendment events 60-1947 s.2, 30-2022 s.2 and 4-2024 s.2, so the quoted wording is post-matter-date. The requirement of notarial execution for leases exceeding one month long predates October 2020, but that October 2020 wording is not quotable from this corpus, so the provision is used as supporting context only and is not treated as indispensable.</t>
        </is>
      </c>
      <c r="K439" s="17" t="inlineStr">
        <is>
          <t>[partially_verified] Temporal note needs correction: Prevention of Frauds (Amendment) Act No. 30 of 2022 s.2 repealed only the words from "shall be of force" to the end of section 2, and No. 4 of 2024 s.2 renumbered the section and rewrote paragraphs (a) and (b), so the words actually quoted here (the classes of transaction caught, including the carve-out for a lease at will or for a period not exceeding one month) stood unchanged at October 2020 and applicable_to_matter_date should read true; what is not quotable at the matter date is the notarial-execution limb in the tail of the section, and the subsection label "(1)" is itself the 2024 renumbering.</t>
        </is>
      </c>
      <c r="L439" s="21" t="n"/>
      <c r="M439" s="21" t="n"/>
      <c r="N439" s="21" t="n"/>
      <c r="O439" s="21" t="n"/>
      <c r="P439" s="21" t="n"/>
      <c r="Q439" s="17">
        <f>IF(OR(A439="",B439=""),"",IF(AND(L439&lt;&gt;"",P439&lt;&gt;"",IF(L439="Wrong citation",AND(M439&lt;&gt;"",N439&lt;&gt;""),TRUE)),"Complete","Pending"))</f>
        <v/>
      </c>
    </row>
    <row r="440">
      <c r="A440" s="19" t="inlineStr">
        <is>
          <t>M065-Q01</t>
        </is>
      </c>
      <c r="B440" s="19" t="inlineStr">
        <is>
          <t>PROV-M065-009</t>
        </is>
      </c>
      <c r="C440" s="17" t="inlineStr">
        <is>
          <t>Notaries Ordinance No. 1 of 1907</t>
        </is>
      </c>
      <c r="D440" s="17" t="inlineStr">
        <is>
          <t>s.31 rule (25)(b) and (c)</t>
        </is>
      </c>
      <c r="E440" s="17" t="inlineStr">
        <is>
          <t>2020-10</t>
        </is>
      </c>
      <c r="F440" s="17" t="inlineStr">
        <is>
          <t>Current on reference date</t>
        </is>
      </c>
      <c r="G440" s="17" t="inlineStr">
        <is>
          <t>(b) every notary attesting the deed or instrument shall number such deed or instrument in accordance with the provisions of rule (23); (c)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t>
        </is>
      </c>
      <c r="H440" s="17" t="inlineStr">
        <is>
          <t>https://www.rgd.gov.lk/web/images/ActsPDF/notary/Notaries-English.pdf</t>
        </is>
      </c>
      <c r="I440" s="17" t="inlineStr">
        <is>
          <t>Supporting</t>
        </is>
      </c>
      <c r="J440" s="17" t="inlineStr">
        <is>
          <t>Completes the mechanics of a two-notary execution: each notary gives the deed a number in his own series, the first notary keeps the protocol, and the second notary keeps a certified copy as his protocol.
TEMPORAL: Rule (25) is not among the rules amended by the 2011, 2013, 2022 or 2024 amending Acts and was in force at October 2020.</t>
        </is>
      </c>
      <c r="K440" s="17" t="inlineStr">
        <is>
          <t>[verified]</t>
        </is>
      </c>
      <c r="L440" s="21" t="n"/>
      <c r="M440" s="21" t="n"/>
      <c r="N440" s="21" t="n"/>
      <c r="O440" s="21" t="n"/>
      <c r="P440" s="21" t="n"/>
      <c r="Q440" s="17">
        <f>IF(OR(A440="",B440=""),"",IF(AND(L440&lt;&gt;"",P440&lt;&gt;"",IF(L440="Wrong citation",AND(M440&lt;&gt;"",N440&lt;&gt;""),TRUE)),"Complete","Pending"))</f>
        <v/>
      </c>
    </row>
    <row r="441">
      <c r="A441" s="19" t="inlineStr">
        <is>
          <t>M065-Q01</t>
        </is>
      </c>
      <c r="B441" s="19" t="inlineStr">
        <is>
          <t>PROV-M065-010</t>
        </is>
      </c>
      <c r="C441" s="17" t="inlineStr">
        <is>
          <t>Notaries Ordinance No. 1 of 1907</t>
        </is>
      </c>
      <c r="D441" s="17" t="inlineStr">
        <is>
          <t>s.31 rule (28)</t>
        </is>
      </c>
      <c r="E441" s="17" t="inlineStr">
        <is>
          <t>2020-10</t>
        </is>
      </c>
      <c r="F441" s="17" t="inlineStr">
        <is>
          <t>Current on reference date</t>
        </is>
      </c>
      <c r="G441" s="17" t="inlineStr">
        <is>
          <t>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t>
        </is>
      </c>
      <c r="H441" s="17" t="inlineStr">
        <is>
          <t>https://www.rgd.gov.lk/web/images/ActsPDF/notary/Notaries-English.pdf</t>
        </is>
      </c>
      <c r="I441" s="17" t="inlineStr">
        <is>
          <t>Supporting</t>
        </is>
      </c>
      <c r="J441" s="17" t="inlineStr">
        <is>
          <t>Allocates the duty of transmitting the duplicate to the Registrar of Lands to the first attesting notary and relieves the second notary of it, which matters once the parties choose which notary attests first.
TEMPORAL: Rule (28) is not among the rules amended by the 2011, 2013, 2022 or 2024 amending Acts and was in force at October 2020.</t>
        </is>
      </c>
      <c r="K441" s="17" t="inlineStr">
        <is>
          <t>[verified]</t>
        </is>
      </c>
      <c r="L441" s="21" t="n"/>
      <c r="M441" s="21" t="n"/>
      <c r="N441" s="21" t="n"/>
      <c r="O441" s="21" t="n"/>
      <c r="P441" s="21" t="n"/>
      <c r="Q441" s="17">
        <f>IF(OR(A441="",B441=""),"",IF(AND(L441&lt;&gt;"",P441&lt;&gt;"",IF(L441="Wrong citation",AND(M441&lt;&gt;"",N441&lt;&gt;""),TRUE)),"Complete","Pending"))</f>
        <v/>
      </c>
    </row>
    <row r="442">
      <c r="A442" s="19" t="inlineStr">
        <is>
          <t>M065-Q01</t>
        </is>
      </c>
      <c r="B442" s="19" t="inlineStr">
        <is>
          <t>PROV-M065-021</t>
        </is>
      </c>
      <c r="C442" s="17" t="inlineStr">
        <is>
          <t>Notaries Ordinance No. 1 of 1907</t>
        </is>
      </c>
      <c r="D442" s="17" t="inlineStr">
        <is>
          <t>s.31 rule (14)</t>
        </is>
      </c>
      <c r="E442" s="17" t="inlineStr">
        <is>
          <t>2020-10</t>
        </is>
      </c>
      <c r="F442" s="17" t="inlineStr">
        <is>
          <t>Unclear</t>
        </is>
      </c>
      <c r="G442" s="17" t="inlineStr">
        <is>
          <t>if an executant to any deed or instrument is a corporate body, cause to be affixed the seal of the corporate body and obtain the signatures of the board of directors or any person authorized by the board by resolution to sign such deed or instrument</t>
        </is>
      </c>
      <c r="H442" s="17" t="inlineStr">
        <is>
          <t>https://www.rgd.gov.lk/web/images/ActsPDF/notary/Notaries-English.pdf</t>
        </is>
      </c>
      <c r="I442" s="17" t="inlineStr">
        <is>
          <t>Supporting</t>
        </is>
      </c>
      <c r="J442" s="17" t="inlineStr">
        <is>
          <t>Bears on how the notary in Colombo takes the company's execution and on the material he must keep, and on describing in the attestation an executant whose name differs from his identification document. The quoted text is the current wording.
TEMPORAL: Rule (14) was substituted by Notaries (Amendment) Act No. 31 of 2022 s.16(7) and so was not in force in October 2020; the repealed wording is not recited in the amending Act and is not recoverable from this corpus. Recorded as supporting only. Companies Act s.19(1)(a) supplies the in-force authority for how the company signs.</t>
        </is>
      </c>
      <c r="K442" s="17" t="inlineStr">
        <is>
          <t>[partially_verified] Excerpt is verbatim but is the rule substituted by Notaries (Amendment) Act No. 31 of 2022 s.16(7); the duty to cause the corporate seal to be affixed and to obtain the signatures of the board is therefore post-date text and must not be used to state how the company executed in October 2020. No claim in fact relies on it and its role is correctly supporting only.</t>
        </is>
      </c>
      <c r="L442" s="21" t="n"/>
      <c r="M442" s="21" t="n"/>
      <c r="N442" s="21" t="n"/>
      <c r="O442" s="21" t="n"/>
      <c r="P442" s="21" t="n"/>
      <c r="Q442" s="17">
        <f>IF(OR(A442="",B442=""),"",IF(AND(L442&lt;&gt;"",P442&lt;&gt;"",IF(L442="Wrong citation",AND(M442&lt;&gt;"",N442&lt;&gt;""),TRUE)),"Complete","Pending"))</f>
        <v/>
      </c>
    </row>
    <row r="443">
      <c r="A443" s="19" t="inlineStr">
        <is>
          <t>M065-Q01</t>
        </is>
      </c>
      <c r="B443" s="19" t="inlineStr">
        <is>
          <t>PROV-M065-022</t>
        </is>
      </c>
      <c r="C443" s="17" t="inlineStr">
        <is>
          <t>Notaries Ordinance No. 1 of 1907</t>
        </is>
      </c>
      <c r="D443" s="17" t="inlineStr">
        <is>
          <t>s.31 rule (9)</t>
        </is>
      </c>
      <c r="E443" s="17" t="inlineStr">
        <is>
          <t>2020-10</t>
        </is>
      </c>
      <c r="F443" s="17" t="inlineStr">
        <is>
          <t>Unclear</t>
        </is>
      </c>
      <c r="G443"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443" s="17" t="inlineStr">
        <is>
          <t>https://www.rgd.gov.lk/web/images/ActsPDF/notary/Notaries-English.pdf</t>
        </is>
      </c>
      <c r="I443" s="17" t="inlineStr">
        <is>
          <t>Supporting</t>
        </is>
      </c>
      <c r="J443" s="17" t="inlineStr">
        <is>
          <t>Explains why it matters that Anil Fernando knows the directors but not Russel Perera: a notary may not attest unless the executant before him is known to him or to the attesting witnesses, or is identified from a prescribed document.
TEMPORAL: This is the wording substituted by Notaries (Amendment) Act No. 31 of 2022 s.16(6) and further amended by No. 6 of 2024 s.3(3), so it was not in force in October 2020. The pre-2022 wording survives verbatim in the recital in 31-2022/s16: the notary could not attest unless the person executing the deed was known to him or to at least two of the attesting witnesses. Recorded as supporting only.</t>
        </is>
      </c>
      <c r="K443" s="17" t="inlineStr">
        <is>
          <t>[partially_verified] Excerpt is verbatim but is the post-2022/2024 wording. Unlike rule (20)(b) and (e), the repealed wording of rule (9) is recoverable: Notaries (Amendment) Act No. 31 of 2022 s.16(6) recites it verbatim, and it is added here as PROV-M065-903 so that the identification point in question 1 rests on matter-date text.</t>
        </is>
      </c>
      <c r="L443" s="21" t="n"/>
      <c r="M443" s="21" t="n"/>
      <c r="N443" s="21" t="n"/>
      <c r="O443" s="21" t="n"/>
      <c r="P443" s="21" t="n"/>
      <c r="Q443" s="17">
        <f>IF(OR(A443="",B443=""),"",IF(AND(L443&lt;&gt;"",P443&lt;&gt;"",IF(L443="Wrong citation",AND(M443&lt;&gt;"",N443&lt;&gt;""),TRUE)),"Complete","Pending"))</f>
        <v/>
      </c>
    </row>
    <row r="444">
      <c r="A444" s="19" t="inlineStr">
        <is>
          <t>M065-Q01</t>
        </is>
      </c>
      <c r="B444" s="19" t="inlineStr">
        <is>
          <t>PROV-M065-901</t>
        </is>
      </c>
      <c r="C444" s="17" t="inlineStr">
        <is>
          <t>Notaries Ordinance No. 1 of 1907</t>
        </is>
      </c>
      <c r="D444" s="17" t="inlineStr">
        <is>
          <t>s.31 rule (27)</t>
        </is>
      </c>
      <c r="E444" s="17" t="inlineStr">
        <is>
          <t>2020-10</t>
        </is>
      </c>
      <c r="F444" s="17" t="inlineStr">
        <is>
          <t>Current on reference date</t>
        </is>
      </c>
      <c r="G444" s="17" t="inlineStr">
        <is>
          <t>(i)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t>
        </is>
      </c>
      <c r="H444" s="17" t="inlineStr">
        <is>
          <t>https://www.rgd.gov.lk/web/images/ActsPDF/notary/Notaries-English.pdf</t>
        </is>
      </c>
      <c r="I444" s="17" t="inlineStr">
        <is>
          <t>Supporting</t>
        </is>
      </c>
      <c r="J444" s="17" t="inlineStr">
        <is>
          <t>Rule (27) is the rule written for exactly this situation: a deed that two or more parties are to execute but that only one of them has signed. It obliges the notary who took the first signature to list the part-executed deed in his monthly return anyway, to produce the duplicate for inspection if the Registrar of Lands calls for it, and, if the deed is still not signed by all the parties three months after it was first signed, to deliver the duplicate to the registrar, with a right to have it back within two years to complete the deed. It therefore puts a practical limit on the gap between Ruwan Perera taking Russel Perera's signature in Galle and Anil Fernando taking the company's signature in Colombo, which the researcher's map did not record.
TEMPORAL: Rule (27) was in force at October 2020 and was repealed only later, by Notaries (Amendment) Act No. 31 of 2022 s.16(12). The consolidated corpus text of section 31 still carries the rule verbatim, so the October 2020 wording is quotable; that the consolidation retained repealed text is itself a corpus defect and is recorded as a corpus gap.</t>
        </is>
      </c>
      <c r="K444" s="17" t="inlineStr">
        <is>
          <t>[verified] Added by the verifier. Excerpt checked verbatim against 1-1907/s31.</t>
        </is>
      </c>
      <c r="L444" s="21" t="n"/>
      <c r="M444" s="21" t="n"/>
      <c r="N444" s="21" t="n"/>
      <c r="O444" s="21" t="n"/>
      <c r="P444" s="21" t="n"/>
      <c r="Q444" s="17">
        <f>IF(OR(A444="",B444=""),"",IF(AND(L444&lt;&gt;"",P444&lt;&gt;"",IF(L444="Wrong citation",AND(M444&lt;&gt;"",N444&lt;&gt;""),TRUE)),"Complete","Pending"))</f>
        <v/>
      </c>
    </row>
    <row r="445">
      <c r="A445" s="19" t="inlineStr">
        <is>
          <t>M065-Q01</t>
        </is>
      </c>
      <c r="B445" s="19" t="inlineStr">
        <is>
          <t>PROV-M065-903</t>
        </is>
      </c>
      <c r="C445" s="17" t="inlineStr">
        <is>
          <t>Notaries (Amendment) Act No. 31 of 2022</t>
        </is>
      </c>
      <c r="D445" s="17" t="inlineStr">
        <is>
          <t>s.16(s.16(6), reciting the pre-2022 wording of Notaries Ordinance s.31 rule (9))</t>
        </is>
      </c>
      <c r="E445" s="17" t="inlineStr">
        <is>
          <t>2020-10</t>
        </is>
      </c>
      <c r="F445" s="17" t="inlineStr">
        <is>
          <t>Current on reference date</t>
        </is>
      </c>
      <c r="G445" s="17" t="inlineStr">
        <is>
          <t>He shall not authenticate or attest any deed or instrument unless the person executing the same be known to him or to at least two of the attesting witnesses thereto;</t>
        </is>
      </c>
      <c r="H445" s="17" t="inlineStr">
        <is>
          <t>data/legal-sources/library/finalized/1-1907-notaries-ordinance/31-2022-notaries-ordinance-amendment.json</t>
        </is>
      </c>
      <c r="I445" s="17" t="inlineStr">
        <is>
          <t>Supporting</t>
        </is>
      </c>
      <c r="J445" s="17" t="inlineStr">
        <is>
          <t>This is the October 2020 wording of rule (9), which the scenario turns on: Anil Fernando knows the directors of the company but does not know Russel Perera, and Ruwan Perera is Russel Perera's own notary. On this wording a notary could not attest unless the executant before him was known to him or to at least two of the attesting witnesses, so splitting the execution and letting each party sign before the notary who knows him is not merely convenient, it is how each notary satisfies rule (9). PROV-M065-022 quotes only the post-2022 replacement.
TEMPORAL: The section_id is the 2022 amending provision, which was not itself in force at October 2020. What is quoted is the wording that Notaries (Amendment) Act No. 31 of 2022 s.16(6) recites as the words being replaced, that is, the text of Notaries Ordinance s.31 rule (9) as it stood immediately before 2022 and therefore at October 2020. It is the only route by which the matter-date wording of rule (9) can be quoted from this corpus.</t>
        </is>
      </c>
      <c r="K445" s="17" t="inlineStr">
        <is>
          <t>[verified] Added by the verifier. Excerpt checked verbatim against 31-2022/s16.</t>
        </is>
      </c>
      <c r="L445" s="21" t="n"/>
      <c r="M445" s="21" t="n"/>
      <c r="N445" s="21" t="n"/>
      <c r="O445" s="21" t="n"/>
      <c r="P445" s="21" t="n"/>
      <c r="Q445" s="17">
        <f>IF(OR(A445="",B445=""),"",IF(AND(L445&lt;&gt;"",P445&lt;&gt;"",IF(L445="Wrong citation",AND(M445&lt;&gt;"",N445&lt;&gt;""),TRUE)),"Complete","Pending"))</f>
        <v/>
      </c>
    </row>
    <row r="446">
      <c r="A446" s="19" t="inlineStr">
        <is>
          <t>M065-Q01</t>
        </is>
      </c>
      <c r="B446" s="19" t="inlineStr">
        <is>
          <t>PROV-M065-011</t>
        </is>
      </c>
      <c r="C446" s="17" t="inlineStr">
        <is>
          <t>Notaries Ordinance No. 1 of 1907</t>
        </is>
      </c>
      <c r="D446" s="17" t="inlineStr">
        <is>
          <t>s.31 rule (29)</t>
        </is>
      </c>
      <c r="E446" s="17" t="inlineStr">
        <is>
          <t>2020-10</t>
        </is>
      </c>
      <c r="F446" s="17" t="inlineStr">
        <is>
          <t>Current on reference date</t>
        </is>
      </c>
      <c r="G446" s="17" t="inlineStr">
        <is>
          <t>If a deed or instrument other than a will or codicil affects a land situated in a district other than that in which the notary before whom it is signed, and by whom it is attested,</t>
        </is>
      </c>
      <c r="H446" s="17" t="inlineStr">
        <is>
          <t>https://www.rgd.gov.lk/web/images/ActsPDF/notary/Notaries-English.pdf</t>
        </is>
      </c>
      <c r="I446" s="17" t="inlineStr">
        <is>
          <t>Background</t>
        </is>
      </c>
      <c r="J446" s="17" t="inlineStr">
        <is>
          <t>Background on registration logistics: because the warehouse is in Galle and Ruwan Perera practises in Galle, making him the first attesting notary keeps the duplicate and the land in the same district and avoids the extra certified copy this rule would otherwise require.
TEMPORAL: Rule (29) was substituted by Notaries (Amendment) Law No. 20 of 1976 s.10(1) and thereafter only as to the reference to Form F (No. 6 of 2024 s.3(9)). The quoted words are unaffected by the 2024 change and were in force at October 2020.</t>
        </is>
      </c>
      <c r="K446" s="17" t="inlineStr">
        <is>
          <t>[verified] Confirmed: Notaries (Amendment) Law No. 20 of 1976 s.10(1) substituted rule (29) in the terms quoted and No. 6 of 2024 s.3(9) changed only "in the Form F" to "in the Form F 1"; the excerpt stops well before that phrase.</t>
        </is>
      </c>
      <c r="L446" s="21" t="n"/>
      <c r="M446" s="21" t="n"/>
      <c r="N446" s="21" t="n"/>
      <c r="O446" s="21" t="n"/>
      <c r="P446" s="21" t="n"/>
      <c r="Q446" s="17">
        <f>IF(OR(A446="",B446=""),"",IF(AND(L446&lt;&gt;"",P446&lt;&gt;"",IF(L446="Wrong citation",AND(M446&lt;&gt;"",N446&lt;&gt;""),TRUE)),"Complete","Pending"))</f>
        <v/>
      </c>
    </row>
    <row r="447">
      <c r="A447" s="19" t="inlineStr">
        <is>
          <t>M065-Q01</t>
        </is>
      </c>
      <c r="B447" s="19" t="inlineStr">
        <is>
          <t>PROV-M065-904</t>
        </is>
      </c>
      <c r="C447" s="17" t="inlineStr">
        <is>
          <t>Notaries Ordinance No. 1 of 1907</t>
        </is>
      </c>
      <c r="D447" s="17" t="inlineStr">
        <is>
          <t>s.2</t>
        </is>
      </c>
      <c r="E447" s="17" t="inlineStr">
        <is>
          <t>2020-10</t>
        </is>
      </c>
      <c r="F447" s="17" t="inlineStr">
        <is>
          <t>Current on reference date</t>
        </is>
      </c>
      <c r="G447" s="17" t="inlineStr">
        <is>
          <t>Every appointment to the office of notary shall be by warrant granted by the Minister, and shall specify the area within which, and the language or languages in which, the person appointed is authorized to practice.</t>
        </is>
      </c>
      <c r="H447" s="17" t="inlineStr">
        <is>
          <t>https://www.rgd.gov.lk/web/images/ActsPDF/notary/Notaries-English.pdf</t>
        </is>
      </c>
      <c r="I447" s="17" t="inlineStr">
        <is>
          <t>Background</t>
        </is>
      </c>
      <c r="J447" s="17" t="inlineStr">
        <is>
          <t>Rule (22) forbids a notary to attest in any area "other than that in which he is authorized to practice", and this is the provision that gives that phrase its content: the area and the language are fixed by the warrant of appointment. It is the definitional anchor for the whole of question 1, and the map carried no provision supplying it. It is to be read with section 4A, which deems a warrant for a judicial division to authorise practice in the judicial zone in which the notary resides, so that Anil Fernando's Colombo warrant does not reach Galle.
TEMPORAL: Section 2 carries in_force_from_year 1907 and no amendment events in the corpus, so the text was in force at October 2020.</t>
        </is>
      </c>
      <c r="K447" s="17" t="inlineStr">
        <is>
          <t>[verified] Added by the verifier. Excerpt checked verbatim against 1-1907/s2.</t>
        </is>
      </c>
      <c r="L447" s="21" t="n"/>
      <c r="M447" s="21" t="n"/>
      <c r="N447" s="21" t="n"/>
      <c r="O447" s="21" t="n"/>
      <c r="P447" s="21" t="n"/>
      <c r="Q447" s="17">
        <f>IF(OR(A447="",B447=""),"",IF(AND(L447&lt;&gt;"",P447&lt;&gt;"",IF(L447="Wrong citation",AND(M447&lt;&gt;"",N447&lt;&gt;""),TRUE)),"Complete","Pending"))</f>
        <v/>
      </c>
    </row>
    <row r="448">
      <c r="A448" s="19" t="inlineStr">
        <is>
          <t>M068-Q02</t>
        </is>
      </c>
      <c r="B448" s="19" t="inlineStr">
        <is>
          <t>PROV-M068-002</t>
        </is>
      </c>
      <c r="C448" s="17" t="inlineStr">
        <is>
          <t>Matrimonial Rights and Inheritance Ordinance No. 15 of 1876</t>
        </is>
      </c>
      <c r="D448" s="17" t="inlineStr">
        <is>
          <t>s.21 (1)</t>
        </is>
      </c>
      <c r="E448" s="17" t="inlineStr">
        <is>
          <t>2020-04</t>
        </is>
      </c>
      <c r="F448" s="17" t="inlineStr">
        <is>
          <t>Current on reference date</t>
        </is>
      </c>
      <c r="G448" s="17" t="inlineStr">
        <is>
          <t>Inheritance ab interstate to the immovable property in Sri Lanka of a person deceased shall be governed and regulated by the following provisions of this Ordinance wherever such person may have or have had his actual or matrimonial domicile.</t>
        </is>
      </c>
      <c r="H448" s="17" t="inlineStr">
        <is>
          <t>https://lankalaw.net/wp-content/uploads/2024/03/mrai69364.pdf</t>
        </is>
      </c>
      <c r="I448" s="17" t="inlineStr">
        <is>
          <t>Indispensable</t>
        </is>
      </c>
      <c r="J448" s="17" t="inlineStr">
        <is>
          <t>Lot B and the undivided one-third share of Lot R are immovable property in Sri Lanka, so devolution on Sunil Peiris's intestacy is governed by this Ordinance rather than by any other system of personal law.
TEMPORAL: Section stands as originally enacted; the corpus records no amendment event, so the text was in force at the date of death (6 December 2016) and at the matter reference date 2020-04.</t>
        </is>
      </c>
      <c r="K448" s="17" t="inlineStr">
        <is>
          <t>[verified]</t>
        </is>
      </c>
      <c r="L448" s="21" t="n"/>
      <c r="M448" s="21" t="n"/>
      <c r="N448" s="21" t="n"/>
      <c r="O448" s="21" t="n"/>
      <c r="P448" s="21" t="n"/>
      <c r="Q448" s="17">
        <f>IF(OR(A448="",B448=""),"",IF(AND(L448&lt;&gt;"",P448&lt;&gt;"",IF(L448="Wrong citation",AND(M448&lt;&gt;"",N448&lt;&gt;""),TRUE)),"Complete","Pending"))</f>
        <v/>
      </c>
    </row>
    <row r="449">
      <c r="A449" s="19" t="inlineStr">
        <is>
          <t>M068-Q02</t>
        </is>
      </c>
      <c r="B449" s="19" t="inlineStr">
        <is>
          <t>PROV-M068-003</t>
        </is>
      </c>
      <c r="C449" s="17" t="inlineStr">
        <is>
          <t>Matrimonial Rights and Inheritance Ordinance No. 15 of 1876</t>
        </is>
      </c>
      <c r="D449" s="17" t="inlineStr">
        <is>
          <t>s.22</t>
        </is>
      </c>
      <c r="E449" s="17" t="inlineStr">
        <is>
          <t>2020-04</t>
        </is>
      </c>
      <c r="F449" s="17" t="inlineStr">
        <is>
          <t>Current on reference date</t>
        </is>
      </c>
      <c r="G449" s="17" t="inlineStr">
        <is>
          <t>When any person shall die intestate as to any of his or her property, leaving a spouse surviving, the surviving spouse shall inherit one-half of the property of such person.</t>
        </is>
      </c>
      <c r="H449" s="17" t="inlineStr">
        <is>
          <t>https://lankalaw.net/wp-content/uploads/2024/03/mrai69364.pdf</t>
        </is>
      </c>
      <c r="I449" s="17" t="inlineStr">
        <is>
          <t>Indispensable</t>
        </is>
      </c>
      <c r="J449" s="17" t="inlineStr">
        <is>
          <t>Gives the widow Kusum Peiris one-half of Sunil Peiris's estate, which is the first and largest step in the devolution of Lot B after his death.
TEMPORAL: Section stands as originally enacted; the corpus records no amendment event, so the text was in force at the date of death (6 December 2016) and at the matter reference date 2020-04.</t>
        </is>
      </c>
      <c r="K449" s="17" t="inlineStr">
        <is>
          <t>[verified]</t>
        </is>
      </c>
      <c r="L449" s="21" t="n"/>
      <c r="M449" s="21" t="n"/>
      <c r="N449" s="21" t="n"/>
      <c r="O449" s="21" t="n"/>
      <c r="P449" s="21" t="n"/>
      <c r="Q449" s="17">
        <f>IF(OR(A449="",B449=""),"",IF(AND(L449&lt;&gt;"",P449&lt;&gt;"",IF(L449="Wrong citation",AND(M449&lt;&gt;"",N449&lt;&gt;""),TRUE)),"Complete","Pending"))</f>
        <v/>
      </c>
    </row>
    <row r="450">
      <c r="A450" s="19" t="inlineStr">
        <is>
          <t>M068-Q02</t>
        </is>
      </c>
      <c r="B450" s="19" t="inlineStr">
        <is>
          <t>PROV-M068-006</t>
        </is>
      </c>
      <c r="C450" s="17" t="inlineStr">
        <is>
          <t>Matrimonial Rights and Inheritance Ordinance No. 15 of 1876</t>
        </is>
      </c>
      <c r="D450" s="17" t="inlineStr">
        <is>
          <t>s.25</t>
        </is>
      </c>
      <c r="E450" s="17" t="inlineStr">
        <is>
          <t>2020-04</t>
        </is>
      </c>
      <c r="F450" s="17" t="inlineStr">
        <is>
          <t>Current on reference date</t>
        </is>
      </c>
      <c r="G450"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450" s="17" t="inlineStr">
        <is>
          <t>https://lankalaw.net/wp-content/uploads/2024/03/mrai69364.pdf</t>
        </is>
      </c>
      <c r="I450" s="17" t="inlineStr">
        <is>
          <t>Indispensable</t>
        </is>
      </c>
      <c r="J450" s="17" t="inlineStr">
        <is>
          <t>The operative rule. Sunil's father Charles Peiris predeceased him and his mother Pushpa Peiris survived, so Pushpa takes half of the remaining half and the full siblings together with the half-siblings related through the deceased father take the other half. It is also the provision that excludes Keerthi Perera, who is related only through the surviving parent.
TEMPORAL: Section stands as originally enacted; the corpus records no amendment event, so the text was in force at the date of death (6 December 2016) and at the matter reference date 2020-04.</t>
        </is>
      </c>
      <c r="K450" s="17" t="inlineStr">
        <is>
          <t>[verified]</t>
        </is>
      </c>
      <c r="L450" s="21" t="n"/>
      <c r="M450" s="21" t="n"/>
      <c r="N450" s="21" t="n"/>
      <c r="O450" s="21" t="n"/>
      <c r="P450" s="21" t="n"/>
      <c r="Q450" s="17">
        <f>IF(OR(A450="",B450=""),"",IF(AND(L450&lt;&gt;"",P450&lt;&gt;"",IF(L450="Wrong citation",AND(M450&lt;&gt;"",N450&lt;&gt;""),TRUE)),"Complete","Pending"))</f>
        <v/>
      </c>
    </row>
    <row r="451">
      <c r="A451" s="19" t="inlineStr">
        <is>
          <t>M068-Q02</t>
        </is>
      </c>
      <c r="B451" s="19" t="inlineStr">
        <is>
          <t>PROV-M068-007</t>
        </is>
      </c>
      <c r="C451" s="17" t="inlineStr">
        <is>
          <t>Matrimonial Rights and Inheritance Ordinance No. 15 of 1876</t>
        </is>
      </c>
      <c r="D451" s="17" t="inlineStr">
        <is>
          <t>s.27</t>
        </is>
      </c>
      <c r="E451" s="17" t="inlineStr">
        <is>
          <t>2020-04</t>
        </is>
      </c>
      <c r="F451" s="17" t="inlineStr">
        <is>
          <t>Current on reference date</t>
        </is>
      </c>
      <c r="G451"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451" s="17" t="inlineStr">
        <is>
          <t>https://lankalaw.net/wp-content/uploads/2024/03/mrai69364.pdf</t>
        </is>
      </c>
      <c r="I451" s="17" t="inlineStr">
        <is>
          <t>Indispensable</t>
        </is>
      </c>
      <c r="J451" s="17" t="inlineStr">
        <is>
          <t>Governs how the collateral portion is split where the qualifying half-siblings are all on one side. Here only the paternal half-siblings Upul and Wimal qualify, so the full sisters Kanthi and Manel take one-half of the collateral portion first and share the balance with Upul and Wimal.
TEMPORAL: Section stands as originally enacted; the corpus records no amendment event, so the text was in force at the date of death (6 December 2016) and at the matter reference date 2020-04.</t>
        </is>
      </c>
      <c r="K451" s="17" t="inlineStr">
        <is>
          <t>[verified] Excerpt and role confirmed against 15-1876/s27; the final limb was applied on the footing that section 25 admits only the paternal half-blood where the mother survives, so within the collateral half there are half-siblings of one side only. An alternative reading that divides the collateral half equally among all four siblings is arguable and would change the fractions; raised for the lawyer, not treated as a defect.</t>
        </is>
      </c>
      <c r="L451" s="21" t="n"/>
      <c r="M451" s="21" t="n"/>
      <c r="N451" s="21" t="n"/>
      <c r="O451" s="21" t="n"/>
      <c r="P451" s="21" t="n"/>
      <c r="Q451" s="17">
        <f>IF(OR(A451="",B451=""),"",IF(AND(L451&lt;&gt;"",P451&lt;&gt;"",IF(L451="Wrong citation",AND(M451&lt;&gt;"",N451&lt;&gt;""),TRUE)),"Complete","Pending"))</f>
        <v/>
      </c>
    </row>
    <row r="452">
      <c r="A452" s="19" t="inlineStr">
        <is>
          <t>M068-Q02</t>
        </is>
      </c>
      <c r="B452" s="19" t="inlineStr">
        <is>
          <t>PROV-M068-004</t>
        </is>
      </c>
      <c r="C452" s="17" t="inlineStr">
        <is>
          <t>Matrimonial Rights and Inheritance Ordinance No. 15 of 1876</t>
        </is>
      </c>
      <c r="D452" s="17" t="inlineStr">
        <is>
          <t>s.23</t>
        </is>
      </c>
      <c r="E452" s="17" t="inlineStr">
        <is>
          <t>2020-04</t>
        </is>
      </c>
      <c r="F452" s="17" t="inlineStr">
        <is>
          <t>Current on reference date</t>
        </is>
      </c>
      <c r="G452" s="17" t="inlineStr">
        <is>
          <t>Subject to the right of the surviving spouse in the preceding section mentioned, the right of inheritance is divided in the following order as respects (a) descendants, (b) ascendants, (c) collaterals.</t>
        </is>
      </c>
      <c r="H452" s="17" t="inlineStr">
        <is>
          <t>https://lankalaw.net/wp-content/uploads/2024/03/mrai69364.pdf</t>
        </is>
      </c>
      <c r="I452" s="17" t="inlineStr">
        <is>
          <t>Supporting</t>
        </is>
      </c>
      <c r="J452" s="17" t="inlineStr">
        <is>
          <t>Sets the order in which the remaining half devolves and confirms that the widow's half is taken off the top before descendants, ascendants and collaterals are considered.
TEMPORAL: Section stands as originally enacted; the corpus records no amendment event, so the text was in force at the date of death (6 December 2016) and at the matter reference date 2020-04.</t>
        </is>
      </c>
      <c r="K452" s="17" t="inlineStr">
        <is>
          <t>[verified]</t>
        </is>
      </c>
      <c r="L452" s="21" t="n"/>
      <c r="M452" s="21" t="n"/>
      <c r="N452" s="21" t="n"/>
      <c r="O452" s="21" t="n"/>
      <c r="P452" s="21" t="n"/>
      <c r="Q452" s="17">
        <f>IF(OR(A452="",B452=""),"",IF(AND(L452&lt;&gt;"",P452&lt;&gt;"",IF(L452="Wrong citation",AND(M452&lt;&gt;"",N452&lt;&gt;""),TRUE)),"Complete","Pending"))</f>
        <v/>
      </c>
    </row>
    <row r="453">
      <c r="A453" s="19" t="inlineStr">
        <is>
          <t>M068-Q02</t>
        </is>
      </c>
      <c r="B453" s="19" t="inlineStr">
        <is>
          <t>PROV-M068-005</t>
        </is>
      </c>
      <c r="C453" s="17" t="inlineStr">
        <is>
          <t>Matrimonial Rights and Inheritance Ordinance No. 15 of 1876</t>
        </is>
      </c>
      <c r="D453" s="17" t="inlineStr">
        <is>
          <t>s.24</t>
        </is>
      </c>
      <c r="E453" s="17" t="inlineStr">
        <is>
          <t>2020-04</t>
        </is>
      </c>
      <c r="F453" s="17" t="inlineStr">
        <is>
          <t>Current on reference date</t>
        </is>
      </c>
      <c r="G453" s="17" t="inlineStr">
        <is>
          <t>Children, grandchildren, and remoter descendants are preferent to all others in the estate of the parents; all the children take equally per capita</t>
        </is>
      </c>
      <c r="H453" s="17" t="inlineStr">
        <is>
          <t>https://lankalaw.net/wp-content/uploads/2024/03/mrai69364.pdf</t>
        </is>
      </c>
      <c r="I453" s="17" t="inlineStr">
        <is>
          <t>Supporting</t>
        </is>
      </c>
      <c r="J453" s="17" t="inlineStr">
        <is>
          <t>Establishes that descendants would exclude everyone else. Sunil Peiris died without children, so the descendant class fails and the next class must be reached.
TEMPORAL: Section stands as originally enacted; the corpus records no amendment event, so the text was in force at the date of death (6 December 2016) and at the matter reference date 2020-04.</t>
        </is>
      </c>
      <c r="K453" s="17" t="inlineStr">
        <is>
          <t>[verified]</t>
        </is>
      </c>
      <c r="L453" s="21" t="n"/>
      <c r="M453" s="21" t="n"/>
      <c r="N453" s="21" t="n"/>
      <c r="O453" s="21" t="n"/>
      <c r="P453" s="21" t="n"/>
      <c r="Q453" s="17">
        <f>IF(OR(A453="",B453=""),"",IF(AND(L453&lt;&gt;"",P453&lt;&gt;"",IF(L453="Wrong citation",AND(M453&lt;&gt;"",N453&lt;&gt;""),TRUE)),"Complete","Pending"))</f>
        <v/>
      </c>
    </row>
    <row r="454">
      <c r="A454" s="19" t="inlineStr">
        <is>
          <t>M068-Q02</t>
        </is>
      </c>
      <c r="B454" s="19" t="inlineStr">
        <is>
          <t>PROV-M068-008</t>
        </is>
      </c>
      <c r="C454" s="17" t="inlineStr">
        <is>
          <t>Matrimonial Rights and Inheritance Ordinance No. 15 of 1876</t>
        </is>
      </c>
      <c r="D454" s="17" t="inlineStr">
        <is>
          <t>s.30</t>
        </is>
      </c>
      <c r="E454" s="17" t="inlineStr">
        <is>
          <t>2020-04</t>
        </is>
      </c>
      <c r="F454" s="17" t="inlineStr">
        <is>
          <t>Current on reference date</t>
        </is>
      </c>
      <c r="G454" s="17" t="inlineStr">
        <is>
          <t>if all those who succeed to the inheritance are equally near in degree to the intestate, they take per capita, and not per stirpes</t>
        </is>
      </c>
      <c r="H454" s="17" t="inlineStr">
        <is>
          <t>https://lankalaw.net/wp-content/uploads/2024/03/mrai69364.pdf</t>
        </is>
      </c>
      <c r="I454" s="17" t="inlineStr">
        <is>
          <t>Supporting</t>
        </is>
      </c>
      <c r="J454" s="17" t="inlineStr">
        <is>
          <t>Supplies the per capita basis on which the four surviving siblings divide the portion they share under section 27, all of them being in the same degree and all taking in their own right.
TEMPORAL: Section stands as originally enacted; the corpus records no amendment event, so the text was in force at the date of death (6 December 2016) and at the matter reference date 2020-04.</t>
        </is>
      </c>
      <c r="K454" s="17" t="inlineStr">
        <is>
          <t>[verified]</t>
        </is>
      </c>
      <c r="L454" s="21" t="n"/>
      <c r="M454" s="21" t="n"/>
      <c r="N454" s="21" t="n"/>
      <c r="O454" s="21" t="n"/>
      <c r="P454" s="21" t="n"/>
      <c r="Q454" s="17">
        <f>IF(OR(A454="",B454=""),"",IF(AND(L454&lt;&gt;"",P454&lt;&gt;"",IF(L454="Wrong citation",AND(M454&lt;&gt;"",N454&lt;&gt;""),TRUE)),"Complete","Pending"))</f>
        <v/>
      </c>
    </row>
    <row r="455">
      <c r="A455" s="19" t="inlineStr">
        <is>
          <t>M068-Q02</t>
        </is>
      </c>
      <c r="B455" s="19" t="inlineStr">
        <is>
          <t>PROV-M068-001</t>
        </is>
      </c>
      <c r="C455" s="17" t="inlineStr">
        <is>
          <t>Matrimonial Rights and Inheritance Ordinance No. 15 of 1876</t>
        </is>
      </c>
      <c r="D455" s="17" t="inlineStr">
        <is>
          <t>s.20</t>
        </is>
      </c>
      <c r="E455" s="17" t="inlineStr">
        <is>
          <t>2020-04</t>
        </is>
      </c>
      <c r="F455" s="17" t="inlineStr">
        <is>
          <t>Current on reference date</t>
        </is>
      </c>
      <c r="G455" s="17" t="inlineStr">
        <is>
          <t>The following sections of this Ordinance shall apply to the estates of such persons only as shall die after the proclamation of this Ordinance</t>
        </is>
      </c>
      <c r="H455" s="17" t="inlineStr">
        <is>
          <t>https://lankalaw.net/wp-content/uploads/2024/03/mrai69364.pdf</t>
        </is>
      </c>
      <c r="I455" s="17" t="inlineStr">
        <is>
          <t>Background</t>
        </is>
      </c>
      <c r="J455" s="17" t="inlineStr">
        <is>
          <t>Fixes the temporal scope of Part III. Sunil Peiris died in 2016, long after the proclamation, so the intestacy rules in sections 21 to 36 apply to his estate.
TEMPORAL: Section stands as originally enacted; the corpus records no amendment event, so the text was in force at the date of death (6 December 2016) and at the matter reference date 2020-04.</t>
        </is>
      </c>
      <c r="K455" s="17" t="inlineStr">
        <is>
          <t>[verified]</t>
        </is>
      </c>
      <c r="L455" s="21" t="n"/>
      <c r="M455" s="21" t="n"/>
      <c r="N455" s="21" t="n"/>
      <c r="O455" s="21" t="n"/>
      <c r="P455" s="21" t="n"/>
      <c r="Q455" s="17">
        <f>IF(OR(A455="",B455=""),"",IF(AND(L455&lt;&gt;"",P455&lt;&gt;"",IF(L455="Wrong citation",AND(M455&lt;&gt;"",N455&lt;&gt;""),TRUE)),"Complete","Pending"))</f>
        <v/>
      </c>
    </row>
    <row r="456">
      <c r="A456" s="19" t="inlineStr">
        <is>
          <t>M068-Q02</t>
        </is>
      </c>
      <c r="B456" s="19" t="inlineStr">
        <is>
          <t>PROV-M068-902</t>
        </is>
      </c>
      <c r="C456" s="17" t="inlineStr">
        <is>
          <t>Matrimonial Rights and Inheritance Ordinance No. 15 of 1876</t>
        </is>
      </c>
      <c r="D456" s="17" t="inlineStr">
        <is>
          <t>s.36</t>
        </is>
      </c>
      <c r="E456" s="17" t="inlineStr">
        <is>
          <t>2020-04</t>
        </is>
      </c>
      <c r="F456" s="17" t="inlineStr">
        <is>
          <t>Current on reference date</t>
        </is>
      </c>
      <c r="G456" s="17" t="inlineStr">
        <is>
          <t>if the present Ordinance is silent, the rules of the Roman-Dutch law as it prevailed in North Holland are to govern and be followed</t>
        </is>
      </c>
      <c r="H456" s="17" t="inlineStr">
        <is>
          <t>https://lankalaw.net/wp-content/uploads/2024/03/mrai69364.pdf</t>
        </is>
      </c>
      <c r="I456" s="17" t="inlineStr">
        <is>
          <t>Background</t>
        </is>
      </c>
      <c r="J456" s="17" t="inlineStr">
        <is>
          <t>Added by the verifier because M068-Q02's authority_requirement_reason turns on it but no provision entry carried it. It is the provision that makes Roman-Dutch law residual only, and so the provision on which the statute_only classification of Q02 depends: the Ordinance is not silent on any step of this distribution, so the enquiry never leaves the statute.
TEMPORAL: Section stands as originally enacted; the corpus records no amendment event, so it was in force at the date of death and at 2020-04.</t>
        </is>
      </c>
      <c r="K456" s="17" t="inlineStr">
        <is>
          <t>[verified] Excerpt checked verbatim against 15-1876/s36.</t>
        </is>
      </c>
      <c r="L456" s="21" t="n"/>
      <c r="M456" s="21" t="n"/>
      <c r="N456" s="21" t="n"/>
      <c r="O456" s="21" t="n"/>
      <c r="P456" s="21" t="n"/>
      <c r="Q456" s="17">
        <f>IF(OR(A456="",B456=""),"",IF(AND(L456&lt;&gt;"",P456&lt;&gt;"",IF(L456="Wrong citation",AND(M456&lt;&gt;"",N456&lt;&gt;""),TRUE)),"Complete","Pending"))</f>
        <v/>
      </c>
    </row>
    <row r="457">
      <c r="A457" s="19" t="inlineStr">
        <is>
          <t>M071-Q01</t>
        </is>
      </c>
      <c r="B457" s="19" t="inlineStr">
        <is>
          <t>PROV-M071-001</t>
        </is>
      </c>
      <c r="C457" s="17" t="inlineStr">
        <is>
          <t>Notaries Ordinance No. 1 of 1907</t>
        </is>
      </c>
      <c r="D457" s="17" t="inlineStr">
        <is>
          <t>s.31 rule (12)</t>
        </is>
      </c>
      <c r="E457" s="17" t="inlineStr">
        <is>
          <t>2020-04</t>
        </is>
      </c>
      <c r="F457" s="17" t="inlineStr">
        <is>
          <t>Current on reference date</t>
        </is>
      </c>
      <c r="G457"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457" s="17" t="inlineStr">
        <is>
          <t>https://www.rgd.gov.lk/web/images/ActsPDF/notary/Notaries-English.pdf</t>
        </is>
      </c>
      <c r="I457" s="17" t="inlineStr">
        <is>
          <t>Indispensable</t>
        </is>
      </c>
      <c r="J457" s="17" t="inlineStr">
        <is>
          <t>The core rule. A notary may attest only signatures placed before him: the executant and the witnesses must sign in his presence and in the presence of one another, and he must sign in their presence. Nimal Perera therefore cannot attest the bedridden father's signature placed in Kandy before another notary.
TEMPORAL: Section 31 is held in the corpus as a consolidated text carrying later amendments, but this rule was not touched by Notaries (Amendment) Act No. 31 of 2022 s.16 or No. 6 of 2024 s.3; the wording relied on was in force in April 2020.</t>
        </is>
      </c>
      <c r="K457" s="17" t="inlineStr">
        <is>
          <t>[verified]</t>
        </is>
      </c>
      <c r="L457" s="21" t="n"/>
      <c r="M457" s="21" t="n"/>
      <c r="N457" s="21" t="n"/>
      <c r="O457" s="21" t="n"/>
      <c r="P457" s="21" t="n"/>
      <c r="Q457" s="17">
        <f>IF(OR(A457="",B457=""),"",IF(AND(L457&lt;&gt;"",P457&lt;&gt;"",IF(L457="Wrong citation",AND(M457&lt;&gt;"",N457&lt;&gt;""),TRUE)),"Complete","Pending"))</f>
        <v/>
      </c>
    </row>
    <row r="458">
      <c r="A458" s="19" t="inlineStr">
        <is>
          <t>M071-Q01</t>
        </is>
      </c>
      <c r="B458" s="19" t="inlineStr">
        <is>
          <t>PROV-M071-002</t>
        </is>
      </c>
      <c r="C458" s="17" t="inlineStr">
        <is>
          <t>Notaries Ordinance No. 1 of 1907</t>
        </is>
      </c>
      <c r="D458" s="17" t="inlineStr">
        <is>
          <t>s.31 rule (22)</t>
        </is>
      </c>
      <c r="E458" s="17" t="inlineStr">
        <is>
          <t>2020-04</t>
        </is>
      </c>
      <c r="F458" s="17" t="inlineStr">
        <is>
          <t>Current on reference date</t>
        </is>
      </c>
      <c r="G458" s="17" t="inlineStr">
        <is>
          <t>(22)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458" s="17" t="inlineStr">
        <is>
          <t>https://www.rgd.gov.lk/web/images/ActsPDF/notary/Notaries-English.pdf</t>
        </is>
      </c>
      <c r="I458" s="17" t="inlineStr">
        <is>
          <t>Indispensable</t>
        </is>
      </c>
      <c r="J458" s="17" t="inlineStr">
        <is>
          <t>Territorial limit on attestation. A notary authorised for Colombo cannot attest in Kandy, so Nimal Perera cannot cure the problem by travelling to the father.
TEMPORAL: Section 31 is held in the corpus as a consolidated text carrying later amendments, but this rule was not touched by Notaries (Amendment) Act No. 31 of 2022 s.16 or No. 6 of 2024 s.3; the wording relied on was in force in April 2020.</t>
        </is>
      </c>
      <c r="K458" s="17" t="inlineStr">
        <is>
          <t>[verified]</t>
        </is>
      </c>
      <c r="L458" s="21" t="n"/>
      <c r="M458" s="21" t="n"/>
      <c r="N458" s="21" t="n"/>
      <c r="O458" s="21" t="n"/>
      <c r="P458" s="21" t="n"/>
      <c r="Q458" s="17">
        <f>IF(OR(A458="",B458=""),"",IF(AND(L458&lt;&gt;"",P458&lt;&gt;"",IF(L458="Wrong citation",AND(M458&lt;&gt;"",N458&lt;&gt;""),TRUE)),"Complete","Pending"))</f>
        <v/>
      </c>
    </row>
    <row r="459">
      <c r="A459" s="19" t="inlineStr">
        <is>
          <t>M071-Q01</t>
        </is>
      </c>
      <c r="B459" s="19" t="inlineStr">
        <is>
          <t>PROV-M071-003</t>
        </is>
      </c>
      <c r="C459" s="17" t="inlineStr">
        <is>
          <t>Notaries Ordinance No. 1 of 1907</t>
        </is>
      </c>
      <c r="D459" s="17" t="inlineStr">
        <is>
          <t>s.31 rule (25)(a)</t>
        </is>
      </c>
      <c r="E459" s="17" t="inlineStr">
        <is>
          <t>2020-04</t>
        </is>
      </c>
      <c r="F459" s="17" t="inlineStr">
        <is>
          <t>Current on reference date</t>
        </is>
      </c>
      <c r="G459"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t>
        </is>
      </c>
      <c r="H459" s="17" t="inlineStr">
        <is>
          <t>https://www.rgd.gov.lk/web/images/ActsPDF/notary/Notaries-English.pdf</t>
        </is>
      </c>
      <c r="I459" s="17" t="inlineStr">
        <is>
          <t>Indispensable</t>
        </is>
      </c>
      <c r="J459" s="17" t="inlineStr">
        <is>
          <t>The Ordinance expressly contemplates one deed executed before more than one notary, and allocates the attestation duties between the notary who first attests and every other attesting notary. This is the mechanism that makes the proposed two-notary execution lawful.
TEMPORAL: Section 31 is held in the corpus as a consolidated text carrying later amendments, but this rule was not touched by Notaries (Amendment) Act No. 31 of 2022 s.16 or No. 6 of 2024 s.3; the wording relied on was in force in April 2020.</t>
        </is>
      </c>
      <c r="K459" s="17" t="inlineStr">
        <is>
          <t>[verified]</t>
        </is>
      </c>
      <c r="L459" s="21" t="n"/>
      <c r="M459" s="21" t="n"/>
      <c r="N459" s="21" t="n"/>
      <c r="O459" s="21" t="n"/>
      <c r="P459" s="21" t="n"/>
      <c r="Q459" s="17">
        <f>IF(OR(A459="",B459=""),"",IF(AND(L459&lt;&gt;"",P459&lt;&gt;"",IF(L459="Wrong citation",AND(M459&lt;&gt;"",N459&lt;&gt;""),TRUE)),"Complete","Pending"))</f>
        <v/>
      </c>
    </row>
    <row r="460">
      <c r="A460" s="19" t="inlineStr">
        <is>
          <t>M071-Q01</t>
        </is>
      </c>
      <c r="B460" s="19" t="inlineStr">
        <is>
          <t>PROV-M071-005</t>
        </is>
      </c>
      <c r="C460" s="17" t="inlineStr">
        <is>
          <t>Notaries Ordinance No. 1 of 1907</t>
        </is>
      </c>
      <c r="D460" s="17" t="inlineStr">
        <is>
          <t>s.31 rule (25)(c)-(d)</t>
        </is>
      </c>
      <c r="E460" s="17" t="inlineStr">
        <is>
          <t>2020-04</t>
        </is>
      </c>
      <c r="F460" s="17" t="inlineStr">
        <is>
          <t>Current on reference date</t>
        </is>
      </c>
      <c r="G460" s="17" t="inlineStr">
        <is>
          <t>(c)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 (d) every notary attesting such deed shall, in addition, as far as possible, comply with the other provisions of section 31.</t>
        </is>
      </c>
      <c r="H460" s="17" t="inlineStr">
        <is>
          <t>https://www.rgd.gov.lk/web/images/ActsPDF/notary/Notaries-English.pdf</t>
        </is>
      </c>
      <c r="I460" s="17" t="inlineStr">
        <is>
          <t>Indispensable</t>
        </is>
      </c>
      <c r="J460" s="17" t="inlineStr">
        <is>
          <t>Allocates the protocol: the notary who first attests keeps the protocol under rule (24); the other notary must supply himself with a certified copy which is deemed his protocol. Both must otherwise comply with section 31 as far as possible.
TEMPORAL: Section 31 is held in the corpus as a consolidated text carrying later amendments, but this rule was not touched by Notaries (Amendment) Act No. 31 of 2022 s.16 or No. 6 of 2024 s.3; the wording relied on was in force in April 2020.</t>
        </is>
      </c>
      <c r="K460" s="17" t="inlineStr">
        <is>
          <t>[verified]</t>
        </is>
      </c>
      <c r="L460" s="21" t="n"/>
      <c r="M460" s="21" t="n"/>
      <c r="N460" s="21" t="n"/>
      <c r="O460" s="21" t="n"/>
      <c r="P460" s="21" t="n"/>
      <c r="Q460" s="17">
        <f>IF(OR(A460="",B460=""),"",IF(AND(L460&lt;&gt;"",P460&lt;&gt;"",IF(L460="Wrong citation",AND(M460&lt;&gt;"",N460&lt;&gt;""),TRUE)),"Complete","Pending"))</f>
        <v/>
      </c>
    </row>
    <row r="461">
      <c r="A461" s="19" t="inlineStr">
        <is>
          <t>M071-Q01</t>
        </is>
      </c>
      <c r="B461" s="19" t="inlineStr">
        <is>
          <t>PROV-M071-006</t>
        </is>
      </c>
      <c r="C461" s="17" t="inlineStr">
        <is>
          <t>Notaries Ordinance No. 1 of 1907</t>
        </is>
      </c>
      <c r="D461" s="17" t="inlineStr">
        <is>
          <t>s.32 (2) chapeau and (i)</t>
        </is>
      </c>
      <c r="E461" s="17" t="inlineStr">
        <is>
          <t>2020-04</t>
        </is>
      </c>
      <c r="F461" s="17" t="inlineStr">
        <is>
          <t>Current on reference date</t>
        </is>
      </c>
      <c r="G461" s="17" t="inlineStr">
        <is>
          <t>(2)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461" s="17" t="inlineStr">
        <is>
          <t>https://www.rgd.gov.lk/web/images/ActsPDF/notary/Notaries-English.pdf</t>
        </is>
      </c>
      <c r="I461" s="17" t="inlineStr">
        <is>
          <t>Indispensable</t>
        </is>
      </c>
      <c r="J461" s="17" t="inlineStr">
        <is>
          <t>The special-case provision for exactly this fact pattern: parties who do not sign at the same time and place. It fixes the time of execution for rules (6), (7), (23) and (25) at the first signing.
TEMPORAL: Section unamended since enactment (no amendment events in the corpus); in force at April 2020.</t>
        </is>
      </c>
      <c r="K461" s="17" t="inlineStr">
        <is>
          <t>[verified]</t>
        </is>
      </c>
      <c r="L461" s="21" t="n"/>
      <c r="M461" s="21" t="n"/>
      <c r="N461" s="21" t="n"/>
      <c r="O461" s="21" t="n"/>
      <c r="P461" s="21" t="n"/>
      <c r="Q461" s="17">
        <f>IF(OR(A461="",B461=""),"",IF(AND(L461&lt;&gt;"",P461&lt;&gt;"",IF(L461="Wrong citation",AND(M461&lt;&gt;"",N461&lt;&gt;""),TRUE)),"Complete","Pending"))</f>
        <v/>
      </c>
    </row>
    <row r="462">
      <c r="A462" s="19" t="inlineStr">
        <is>
          <t>M071-Q01</t>
        </is>
      </c>
      <c r="B462" s="19" t="inlineStr">
        <is>
          <t>PROV-M071-007</t>
        </is>
      </c>
      <c r="C462" s="17" t="inlineStr">
        <is>
          <t>Notaries Ordinance No. 1 of 1907</t>
        </is>
      </c>
      <c r="D462" s="17" t="inlineStr">
        <is>
          <t>s.32 (2)(ii)-(iii)</t>
        </is>
      </c>
      <c r="E462" s="17" t="inlineStr">
        <is>
          <t>2020-04</t>
        </is>
      </c>
      <c r="F462" s="17" t="inlineStr">
        <is>
          <t>Current on reference date</t>
        </is>
      </c>
      <c r="G462" s="17" t="inlineStr">
        <is>
          <t>(ii) the deed or instrument shall, for the purposes of the application of rules (18) and (20) set out in section 31, be deemed to be executed or acknowledged whenever it is signed by a party, or by two or more parties at the same time and place; and (iii) the provisions of rule (19) set out in section 31, shall apply after the deed or instrument is first signed by a party, or by two or more parties at the same time and place.</t>
        </is>
      </c>
      <c r="H462" s="17" t="inlineStr">
        <is>
          <t>https://www.rgd.gov.lk/web/images/ActsPDF/notary/Notaries-English.pdf</t>
        </is>
      </c>
      <c r="I462" s="17" t="inlineStr">
        <is>
          <t>Indispensable</t>
        </is>
      </c>
      <c r="J462" s="17" t="inlineStr">
        <is>
          <t>For the date and place rule (18) and the attestation rule (20) the deed is deemed executed on each occasion of signing, so each notary dates and attests his own execution; rule (19), which bars alteration after signature, bites from the first signing.
TEMPORAL: Section unamended since enactment (no amendment events in the corpus); in force at April 2020.</t>
        </is>
      </c>
      <c r="K462" s="17" t="inlineStr">
        <is>
          <t>[verified]</t>
        </is>
      </c>
      <c r="L462" s="21" t="n"/>
      <c r="M462" s="21" t="n"/>
      <c r="N462" s="21" t="n"/>
      <c r="O462" s="21" t="n"/>
      <c r="P462" s="21" t="n"/>
      <c r="Q462" s="17">
        <f>IF(OR(A462="",B462=""),"",IF(AND(L462&lt;&gt;"",P462&lt;&gt;"",IF(L462="Wrong citation",AND(M462&lt;&gt;"",N462&lt;&gt;""),TRUE)),"Complete","Pending"))</f>
        <v/>
      </c>
    </row>
    <row r="463">
      <c r="A463" s="19" t="inlineStr">
        <is>
          <t>M071-Q01</t>
        </is>
      </c>
      <c r="B463" s="19" t="inlineStr">
        <is>
          <t>PROV-M071-012</t>
        </is>
      </c>
      <c r="C463" s="17" t="inlineStr">
        <is>
          <t>Notaries Ordinance No. 1 of 1907</t>
        </is>
      </c>
      <c r="D463" s="17" t="inlineStr">
        <is>
          <t>s.31 rule (20) chapeau and (a)</t>
        </is>
      </c>
      <c r="E463" s="17" t="inlineStr">
        <is>
          <t>2020-04</t>
        </is>
      </c>
      <c r="F463" s="17" t="inlineStr">
        <is>
          <t>Current on reference date</t>
        </is>
      </c>
      <c r="G463" s="17" t="inlineStr">
        <is>
          <t>(20) 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t>
        </is>
      </c>
      <c r="H463" s="17" t="inlineStr">
        <is>
          <t>https://www.rgd.gov.lk/web/images/ActsPDF/notary/Notaries-English.pdf</t>
        </is>
      </c>
      <c r="I463" s="17" t="inlineStr">
        <is>
          <t>Indispensable</t>
        </is>
      </c>
      <c r="J463" s="17" t="inlineStr">
        <is>
          <t>Each notary must attest without delay, sign and seal, and state that the party and the witnesses signed in his presence and in the presence of one another. Each notary can only certify the execution he actually witnessed.
TEMPORAL: Section 31 is held in the corpus as a consolidated text carrying later amendments, but this rule was not touched by Notaries (Amendment) Act No. 31 of 2022 s.16 or No. 6 of 2024 s.3; the wording relied on was in force in April 2020.</t>
        </is>
      </c>
      <c r="K463" s="17" t="inlineStr">
        <is>
          <t>[verified]</t>
        </is>
      </c>
      <c r="L463" s="21" t="n"/>
      <c r="M463" s="21" t="n"/>
      <c r="N463" s="21" t="n"/>
      <c r="O463" s="21" t="n"/>
      <c r="P463" s="21" t="n"/>
      <c r="Q463" s="17">
        <f>IF(OR(A463="",B463=""),"",IF(AND(L463&lt;&gt;"",P463&lt;&gt;"",IF(L463="Wrong citation",AND(M463&lt;&gt;"",N463&lt;&gt;""),TRUE)),"Complete","Pending"))</f>
        <v/>
      </c>
    </row>
    <row r="464">
      <c r="A464" s="19" t="inlineStr">
        <is>
          <t>M071-Q01</t>
        </is>
      </c>
      <c r="B464" s="19" t="inlineStr">
        <is>
          <t>PROV-M071-004</t>
        </is>
      </c>
      <c r="C464" s="17" t="inlineStr">
        <is>
          <t>Notaries Ordinance No. 1 of 1907</t>
        </is>
      </c>
      <c r="D464" s="17" t="inlineStr">
        <is>
          <t>s.31 rule (25)(b)</t>
        </is>
      </c>
      <c r="E464" s="17" t="inlineStr">
        <is>
          <t>2020-04</t>
        </is>
      </c>
      <c r="F464" s="17" t="inlineStr">
        <is>
          <t>Current on reference date</t>
        </is>
      </c>
      <c r="G464" s="17" t="inlineStr">
        <is>
          <t>(b) every notary attesting the deed or instrument shall number such deed or instrument in accordance with the provisions of rule (23);</t>
        </is>
      </c>
      <c r="H464" s="17" t="inlineStr">
        <is>
          <t>https://www.rgd.gov.lk/web/images/ActsPDF/notary/Notaries-English.pdf</t>
        </is>
      </c>
      <c r="I464" s="17" t="inlineStr">
        <is>
          <t>Supporting</t>
        </is>
      </c>
      <c r="J464" s="17" t="inlineStr">
        <is>
          <t>Each attesting notary must give the deed a number in his own consecutive series, so the deed will bear two numbers, one from the Colombo notary and one from the Kandy notary.
TEMPORAL: Section 31 is held in the corpus as a consolidated text carrying later amendments, but this rule was not touched by Notaries (Amendment) Act No. 31 of 2022 s.16 or No. 6 of 2024 s.3; the wording relied on was in force in April 2020.</t>
        </is>
      </c>
      <c r="K464" s="17" t="inlineStr">
        <is>
          <t>[verified]</t>
        </is>
      </c>
      <c r="L464" s="21" t="n"/>
      <c r="M464" s="21" t="n"/>
      <c r="N464" s="21" t="n"/>
      <c r="O464" s="21" t="n"/>
      <c r="P464" s="21" t="n"/>
      <c r="Q464" s="17">
        <f>IF(OR(A464="",B464=""),"",IF(AND(L464&lt;&gt;"",P464&lt;&gt;"",IF(L464="Wrong citation",AND(M464&lt;&gt;"",N464&lt;&gt;""),TRUE)),"Complete","Pending"))</f>
        <v/>
      </c>
    </row>
    <row r="465">
      <c r="A465" s="19" t="inlineStr">
        <is>
          <t>M071-Q01</t>
        </is>
      </c>
      <c r="B465" s="19" t="inlineStr">
        <is>
          <t>PROV-M071-008</t>
        </is>
      </c>
      <c r="C465" s="17" t="inlineStr">
        <is>
          <t>Notaries Ordinance No. 1 of 1907</t>
        </is>
      </c>
      <c r="D465" s="17" t="inlineStr">
        <is>
          <t>s.31 rule (28)</t>
        </is>
      </c>
      <c r="E465" s="17" t="inlineStr">
        <is>
          <t>2020-04</t>
        </is>
      </c>
      <c r="F465" s="17" t="inlineStr">
        <is>
          <t>Current on reference date</t>
        </is>
      </c>
      <c r="G465" s="17" t="inlineStr">
        <is>
          <t>(28) 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t>
        </is>
      </c>
      <c r="H465" s="17" t="inlineStr">
        <is>
          <t>https://www.rgd.gov.lk/web/images/ActsPDF/notary/Notaries-English.pdf</t>
        </is>
      </c>
      <c r="I465" s="17" t="inlineStr">
        <is>
          <t>Supporting</t>
        </is>
      </c>
      <c r="J465" s="17" t="inlineStr">
        <is>
          <t>Where two or more parties execute before more than one notary, only the notary who first attests transmits the duplicate to his district Registrar of Lands; the other notary need not.
TEMPORAL: Section 31 is held in the corpus as a consolidated text carrying later amendments, but this rule was not touched by Notaries (Amendment) Act No. 31 of 2022 s.16 or No. 6 of 2024 s.3; the wording relied on was in force in April 2020.</t>
        </is>
      </c>
      <c r="K465" s="17" t="inlineStr">
        <is>
          <t>[verified]</t>
        </is>
      </c>
      <c r="L465" s="21" t="n"/>
      <c r="M465" s="21" t="n"/>
      <c r="N465" s="21" t="n"/>
      <c r="O465" s="21" t="n"/>
      <c r="P465" s="21" t="n"/>
      <c r="Q465" s="17">
        <f>IF(OR(A465="",B465=""),"",IF(AND(L465&lt;&gt;"",P465&lt;&gt;"",IF(L465="Wrong citation",AND(M465&lt;&gt;"",N465&lt;&gt;""),TRUE)),"Complete","Pending"))</f>
        <v/>
      </c>
    </row>
    <row r="466">
      <c r="A466" s="19" t="inlineStr">
        <is>
          <t>M071-Q01</t>
        </is>
      </c>
      <c r="B466" s="19" t="inlineStr">
        <is>
          <t>PROV-M071-009</t>
        </is>
      </c>
      <c r="C466" s="17" t="inlineStr">
        <is>
          <t>Notaries Ordinance No. 1 of 1907</t>
        </is>
      </c>
      <c r="D466" s="17" t="inlineStr">
        <is>
          <t>s.31 rule (26)(c)(i)</t>
        </is>
      </c>
      <c r="E466" s="17" t="inlineStr">
        <is>
          <t>2020-04</t>
        </is>
      </c>
      <c r="F466" s="17" t="inlineStr">
        <is>
          <t>Current on reference date</t>
        </is>
      </c>
      <c r="G466" s="17" t="inlineStr">
        <is>
          <t>(i)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t>
        </is>
      </c>
      <c r="H466" s="17" t="inlineStr">
        <is>
          <t>https://www.rgd.gov.lk/web/images/ActsPDF/notary/Notaries-English.pdf</t>
        </is>
      </c>
      <c r="I466" s="17" t="inlineStr">
        <is>
          <t>Supporting</t>
        </is>
      </c>
      <c r="J466" s="17" t="inlineStr">
        <is>
          <t>A part-executed deed must still be included in the monthly list, and the duplicate produced for inspection if the Registrar of Lands calls for it. Relevant because the deed will be incomplete between the two executions.
TEMPORAL: Section 31 is held in the corpus as a consolidated text carrying later amendments, but this rule was not touched by Notaries (Amendment) Act No. 31 of 2022 s.16 or No. 6 of 2024 s.3; the wording relied on was in force in April 2020.</t>
        </is>
      </c>
      <c r="K466" s="17" t="inlineStr">
        <is>
          <t>[partially_verified] Wording is verbatim, but the corpus consolidated text of section 31 has lost the "(26)" and paragraph "(a)/(c)" markers (the passage runs straight on after rule (25)(d)), so the subsection label "rule (26)(c)(i)" is reconstructed from the cross-references in 6-2024 s.3(8) and section 34(2) rather than read off the corpus; the excerpt also stops before the words "and shall, if called upon so to do ... produce the duplicate ... for inspection", which claim CL-M071-Q01-009 relies on and which are present in the corpus body.</t>
        </is>
      </c>
      <c r="L466" s="21" t="n"/>
      <c r="M466" s="21" t="n"/>
      <c r="N466" s="21" t="n"/>
      <c r="O466" s="21" t="n"/>
      <c r="P466" s="21" t="n"/>
      <c r="Q466" s="17">
        <f>IF(OR(A466="",B466=""),"",IF(AND(L466&lt;&gt;"",P466&lt;&gt;"",IF(L466="Wrong citation",AND(M466&lt;&gt;"",N466&lt;&gt;""),TRUE)),"Complete","Pending"))</f>
        <v/>
      </c>
    </row>
    <row r="467">
      <c r="A467" s="19" t="inlineStr">
        <is>
          <t>M071-Q01</t>
        </is>
      </c>
      <c r="B467" s="19" t="inlineStr">
        <is>
          <t>PROV-M071-010</t>
        </is>
      </c>
      <c r="C467" s="17" t="inlineStr">
        <is>
          <t>Notaries Ordinance No. 1 of 1907</t>
        </is>
      </c>
      <c r="D467" s="17" t="inlineStr">
        <is>
          <t>s.31 rule (26)(c)(ii)</t>
        </is>
      </c>
      <c r="E467" s="17" t="inlineStr">
        <is>
          <t>2020-04</t>
        </is>
      </c>
      <c r="F467" s="17" t="inlineStr">
        <is>
          <t>Current on reference date</t>
        </is>
      </c>
      <c r="G467" s="17" t="inlineStr">
        <is>
          <t>(ii) where any such deed or instrument is not signed by all the parties thereto before the expiry of a period of three months from the date on which it is first signed by one of such parties, the notary shall, if called upon so to do by written notice served on him personally or by registered post and signed by the Registrar of Lands of the district in which the notary resides, deliver or transmit to the registrar the duplicate of such deed or instrument;</t>
        </is>
      </c>
      <c r="H467" s="17" t="inlineStr">
        <is>
          <t>https://www.rgd.gov.lk/web/images/ActsPDF/notary/Notaries-English.pdf</t>
        </is>
      </c>
      <c r="I467" s="17" t="inlineStr">
        <is>
          <t>Supporting</t>
        </is>
      </c>
      <c r="J467" s="17" t="inlineStr">
        <is>
          <t>Sets the outer limit for completing a split execution: if all parties have not signed within three months of the first signature, the notary may be called on to deliver the duplicate to the registrar.
TEMPORAL: Section 31 is held in the corpus as a consolidated text carrying later amendments, but this rule was not touched by Notaries (Amendment) Act No. 31 of 2022 s.16 or No. 6 of 2024 s.3; the wording relied on was in force in April 2020.</t>
        </is>
      </c>
      <c r="K467" s="17" t="inlineStr">
        <is>
          <t>[partially_verified] Wording is verbatim and unaffected by 31-2022 s.16 or 6-2024 s.3, but the subsection label "rule (26)(c)(ii)" is reconstructed: the corpus consolidated text does not print the "(26)" or "(c)" markers.</t>
        </is>
      </c>
      <c r="L467" s="21" t="n"/>
      <c r="M467" s="21" t="n"/>
      <c r="N467" s="21" t="n"/>
      <c r="O467" s="21" t="n"/>
      <c r="P467" s="21" t="n"/>
      <c r="Q467" s="17">
        <f>IF(OR(A467="",B467=""),"",IF(AND(L467&lt;&gt;"",P467&lt;&gt;"",IF(L467="Wrong citation",AND(M467&lt;&gt;"",N467&lt;&gt;""),TRUE)),"Complete","Pending"))</f>
        <v/>
      </c>
    </row>
    <row r="468">
      <c r="A468" s="19" t="inlineStr">
        <is>
          <t>M071-Q01</t>
        </is>
      </c>
      <c r="B468" s="19" t="inlineStr">
        <is>
          <t>PROV-M071-011</t>
        </is>
      </c>
      <c r="C468" s="17" t="inlineStr">
        <is>
          <t>Notaries Ordinance No. 1 of 1907</t>
        </is>
      </c>
      <c r="D468" s="17" t="inlineStr">
        <is>
          <t>s.31 rule (18)</t>
        </is>
      </c>
      <c r="E468" s="17" t="inlineStr">
        <is>
          <t>2020-04</t>
        </is>
      </c>
      <c r="F468" s="17" t="inlineStr">
        <is>
          <t>Current on reference date</t>
        </is>
      </c>
      <c r="G468" s="17" t="inlineStr">
        <is>
          <t>(18) He shall correctly insert in letters in every deed or instrument executed before him the day, month, and year on which and the place where the same is executed, and shall sign the same.</t>
        </is>
      </c>
      <c r="H468" s="17" t="inlineStr">
        <is>
          <t>https://www.rgd.gov.lk/web/images/ActsPDF/notary/Notaries-English.pdf</t>
        </is>
      </c>
      <c r="I468" s="17" t="inlineStr">
        <is>
          <t>Supporting</t>
        </is>
      </c>
      <c r="J468" s="17" t="inlineStr">
        <is>
          <t>Each notary must insert in letters the day, month and year and the place of execution, so the Colombo and Kandy executions must be separately and correctly dated and located on the deed.
TEMPORAL: Section 31 is held in the corpus as a consolidated text carrying later amendments, but this rule was not touched by Notaries (Amendment) Act No. 31 of 2022 s.16 or No. 6 of 2024 s.3; the wording relied on was in force in April 2020.</t>
        </is>
      </c>
      <c r="K468" s="17" t="inlineStr">
        <is>
          <t>[verified]</t>
        </is>
      </c>
      <c r="L468" s="21" t="n"/>
      <c r="M468" s="21" t="n"/>
      <c r="N468" s="21" t="n"/>
      <c r="O468" s="21" t="n"/>
      <c r="P468" s="21" t="n"/>
      <c r="Q468" s="17">
        <f>IF(OR(A468="",B468=""),"",IF(AND(L468&lt;&gt;"",P468&lt;&gt;"",IF(L468="Wrong citation",AND(M468&lt;&gt;"",N468&lt;&gt;""),TRUE)),"Complete","Pending"))</f>
        <v/>
      </c>
    </row>
    <row r="469">
      <c r="A469" s="19" t="inlineStr">
        <is>
          <t>M071-Q01</t>
        </is>
      </c>
      <c r="B469" s="19" t="inlineStr">
        <is>
          <t>PROV-M071-013</t>
        </is>
      </c>
      <c r="C469" s="17" t="inlineStr">
        <is>
          <t>Notaries Ordinance No. 1 of 1907</t>
        </is>
      </c>
      <c r="D469" s="17" t="inlineStr">
        <is>
          <t>s.31 rule (20)(c)</t>
        </is>
      </c>
      <c r="E469" s="17" t="inlineStr">
        <is>
          <t>2020-04</t>
        </is>
      </c>
      <c r="F469" s="17" t="inlineStr">
        <is>
          <t>Current on reference date</t>
        </is>
      </c>
      <c r="G469" s="17" t="inlineStr">
        <is>
          <t>(c) the day, month, and year on which and the place where the said deed or instrument was executed or acknowledged, and the full names of the attesting witnesses and their residences;</t>
        </is>
      </c>
      <c r="H469" s="17" t="inlineStr">
        <is>
          <t>https://www.rgd.gov.lk/web/images/ActsPDF/notary/Notaries-English.pdf</t>
        </is>
      </c>
      <c r="I469" s="17" t="inlineStr">
        <is>
          <t>Supporting</t>
        </is>
      </c>
      <c r="J469" s="17" t="inlineStr">
        <is>
          <t>The attestation must record the date and place of the execution and the attesting witnesses, which is what keeps the two separate executions distinguishable on the face of the deed.
TEMPORAL: Section 31 is held in the corpus as a consolidated text carrying later amendments, but this rule was not touched by Notaries (Amendment) Act No. 31 of 2022 s.16 or No. 6 of 2024 s.3; the wording relied on was in force in April 2020.</t>
        </is>
      </c>
      <c r="K469" s="17" t="inlineStr">
        <is>
          <t>[verified]</t>
        </is>
      </c>
      <c r="L469" s="21" t="n"/>
      <c r="M469" s="21" t="n"/>
      <c r="N469" s="21" t="n"/>
      <c r="O469" s="21" t="n"/>
      <c r="P469" s="21" t="n"/>
      <c r="Q469" s="17">
        <f>IF(OR(A469="",B469=""),"",IF(AND(L469&lt;&gt;"",P469&lt;&gt;"",IF(L469="Wrong citation",AND(M469&lt;&gt;"",N469&lt;&gt;""),TRUE)),"Complete","Pending"))</f>
        <v/>
      </c>
    </row>
    <row r="470">
      <c r="A470" s="19" t="inlineStr">
        <is>
          <t>M071-Q01</t>
        </is>
      </c>
      <c r="B470" s="19" t="inlineStr">
        <is>
          <t>PROV-M071-014</t>
        </is>
      </c>
      <c r="C470" s="17" t="inlineStr">
        <is>
          <t>Notaries Ordinance No. 1 of 1907</t>
        </is>
      </c>
      <c r="D470" s="17" t="inlineStr">
        <is>
          <t>s.31 rule (8)</t>
        </is>
      </c>
      <c r="E470" s="17" t="inlineStr">
        <is>
          <t>2020-04</t>
        </is>
      </c>
      <c r="F470" s="17" t="inlineStr">
        <is>
          <t>Current on reference date</t>
        </is>
      </c>
      <c r="G470" s="17" t="inlineStr">
        <is>
          <t>(8) He shall not authenticate or attest any deed or instrument to which at least two witnesses have not subscribed their signatures in letters.</t>
        </is>
      </c>
      <c r="H470" s="17" t="inlineStr">
        <is>
          <t>https://www.rgd.gov.lk/web/images/ActsPDF/notary/Notaries-English.pdf</t>
        </is>
      </c>
      <c r="I470" s="17" t="inlineStr">
        <is>
          <t>Supporting</t>
        </is>
      </c>
      <c r="J470" s="17" t="inlineStr">
        <is>
          <t>At least two witnesses must subscribe. Each of the two executions, in Kandy and in Colombo, needs its own two attesting witnesses signing in the presence of the notary attesting it.
TEMPORAL: Section 31 is held in the corpus as a consolidated text carrying later amendments, but this rule was not touched by Notaries (Amendment) Act No. 31 of 2022 s.16 or No. 6 of 2024 s.3; the wording relied on was in force in April 2020.</t>
        </is>
      </c>
      <c r="K470" s="17" t="inlineStr">
        <is>
          <t>[verified]</t>
        </is>
      </c>
      <c r="L470" s="21" t="n"/>
      <c r="M470" s="21" t="n"/>
      <c r="N470" s="21" t="n"/>
      <c r="O470" s="21" t="n"/>
      <c r="P470" s="21" t="n"/>
      <c r="Q470" s="17">
        <f>IF(OR(A470="",B470=""),"",IF(AND(L470&lt;&gt;"",P470&lt;&gt;"",IF(L470="Wrong citation",AND(M470&lt;&gt;"",N470&lt;&gt;""),TRUE)),"Complete","Pending"))</f>
        <v/>
      </c>
    </row>
    <row r="471">
      <c r="A471" s="19" t="inlineStr">
        <is>
          <t>M071-Q01</t>
        </is>
      </c>
      <c r="B471" s="19" t="inlineStr">
        <is>
          <t>PROV-M071-015</t>
        </is>
      </c>
      <c r="C471" s="17" t="inlineStr">
        <is>
          <t>Notaries Ordinance No. 1 of 1907</t>
        </is>
      </c>
      <c r="D471" s="17" t="inlineStr">
        <is>
          <t>s.31 rule (23)</t>
        </is>
      </c>
      <c r="E471" s="17" t="inlineStr">
        <is>
          <t>2020-04</t>
        </is>
      </c>
      <c r="F471" s="17" t="inlineStr">
        <is>
          <t>Current on reference date</t>
        </is>
      </c>
      <c r="G471" s="17" t="inlineStr">
        <is>
          <t>(23) He shall number with consecutive integral numbers the documents executed or acknowledged before him, including wills and codicils, according to the order in which they are executed or acknowledged before him.</t>
        </is>
      </c>
      <c r="H471" s="17" t="inlineStr">
        <is>
          <t>https://www.rgd.gov.lk/web/images/ActsPDF/notary/Notaries-English.pdf</t>
        </is>
      </c>
      <c r="I471" s="17" t="inlineStr">
        <is>
          <t>Supporting</t>
        </is>
      </c>
      <c r="J471" s="17" t="inlineStr">
        <is>
          <t>The numbering rule that rule (25)(b) applies to each attesting notary separately.
TEMPORAL: Section 31 is held in the corpus as a consolidated text carrying later amendments, but this rule was not touched by Notaries (Amendment) Act No. 31 of 2022 s.16 or No. 6 of 2024 s.3; the wording relied on was in force in April 2020.</t>
        </is>
      </c>
      <c r="K471" s="17" t="inlineStr">
        <is>
          <t>[verified]</t>
        </is>
      </c>
      <c r="L471" s="21" t="n"/>
      <c r="M471" s="21" t="n"/>
      <c r="N471" s="21" t="n"/>
      <c r="O471" s="21" t="n"/>
      <c r="P471" s="21" t="n"/>
      <c r="Q471" s="17">
        <f>IF(OR(A471="",B471=""),"",IF(AND(L471&lt;&gt;"",P471&lt;&gt;"",IF(L471="Wrong citation",AND(M471&lt;&gt;"",N471&lt;&gt;""),TRUE)),"Complete","Pending"))</f>
        <v/>
      </c>
    </row>
    <row r="472">
      <c r="A472" s="19" t="inlineStr">
        <is>
          <t>M071-Q01</t>
        </is>
      </c>
      <c r="B472" s="19" t="inlineStr">
        <is>
          <t>PROV-M071-016</t>
        </is>
      </c>
      <c r="C472" s="17" t="inlineStr">
        <is>
          <t>Notaries Ordinance No. 1 of 1907</t>
        </is>
      </c>
      <c r="D472" s="17" t="inlineStr">
        <is>
          <t>s.31 rule (24)</t>
        </is>
      </c>
      <c r="E472" s="17" t="inlineStr">
        <is>
          <t>2020-04</t>
        </is>
      </c>
      <c r="F472" s="17" t="inlineStr">
        <is>
          <t>Current on reference date</t>
        </is>
      </c>
      <c r="G472" s="17" t="inlineStr">
        <is>
          <t>(24) He shall carefully preserve as his protocol a draft or copy of every deed or instrument executed or acknowledged before him, to which shall be attached his signature and those of the party and witnesses to the original deed or instrument, and he shall keep a register thereof with a convenient index for the purpose of easy reference;</t>
        </is>
      </c>
      <c r="H472" s="17" t="inlineStr">
        <is>
          <t>https://www.rgd.gov.lk/web/images/ActsPDF/notary/Notaries-English.pdf</t>
        </is>
      </c>
      <c r="I472" s="17" t="inlineStr">
        <is>
          <t>Supporting</t>
        </is>
      </c>
      <c r="J472" s="17" t="inlineStr">
        <is>
          <t>The protocol and register obligation that rule (25)(c) splits between the first attesting notary and the other notary.
TEMPORAL: Section 31 is held in the corpus as a consolidated text carrying later amendments, but this rule was not touched by Notaries (Amendment) Act No. 31 of 2022 s.16 or No. 6 of 2024 s.3; the wording relied on was in force in April 2020.</t>
        </is>
      </c>
      <c r="K472" s="17" t="inlineStr">
        <is>
          <t>[verified]</t>
        </is>
      </c>
      <c r="L472" s="21" t="n"/>
      <c r="M472" s="21" t="n"/>
      <c r="N472" s="21" t="n"/>
      <c r="O472" s="21" t="n"/>
      <c r="P472" s="21" t="n"/>
      <c r="Q472" s="17">
        <f>IF(OR(A472="",B472=""),"",IF(AND(L472&lt;&gt;"",P472&lt;&gt;"",IF(L472="Wrong citation",AND(M472&lt;&gt;"",N472&lt;&gt;""),TRUE)),"Complete","Pending"))</f>
        <v/>
      </c>
    </row>
    <row r="473">
      <c r="A473" s="19" t="inlineStr">
        <is>
          <t>M071-Q01</t>
        </is>
      </c>
      <c r="B473" s="19" t="inlineStr">
        <is>
          <t>PROV-M071-019</t>
        </is>
      </c>
      <c r="C473" s="17" t="inlineStr">
        <is>
          <t>Notaries Ordinance No. 1 of 1907</t>
        </is>
      </c>
      <c r="D473" s="17" t="inlineStr">
        <is>
          <t>s.34 (1)(c)</t>
        </is>
      </c>
      <c r="E473" s="17" t="inlineStr">
        <is>
          <t>2020-04</t>
        </is>
      </c>
      <c r="F473" s="17" t="inlineStr">
        <is>
          <t>Unclear</t>
        </is>
      </c>
      <c r="G473" s="17" t="inlineStr">
        <is>
          <t>(c) any other rule set out in section 31, shall be guilty of an offence, and shall, on conviction after summary trial before a Magistrate, be liable to a fine not exceeding fifty thousand rupees, in addition to any civil liability he may incur thereby.</t>
        </is>
      </c>
      <c r="H473" s="17" t="inlineStr">
        <is>
          <t>https://www.rgd.gov.lk/web/images/ActsPDF/notary/Notaries-English.pdf</t>
        </is>
      </c>
      <c r="I473" s="17" t="inlineStr">
        <is>
          <t>Supporting</t>
        </is>
      </c>
      <c r="J473" s="17" t="inlineStr">
        <is>
          <t>Breach of a section 31 rule other than those separately listed is an offence punishable on summary trial, in addition to civil liability. Shows the consequence for Nimal Perera if he attested a signature not made before him.
TEMPORAL: Section 34 was replaced by Notaries (Amendment) Act No. 31 of 2022 s.17, so the fine levels in the corpus text post-date April 2020. The shape of the offence, that breach of a section 31 rule is punishable on summary trial in addition to civil liability, predates the matter, but the quoted penalty figure does not. Treated as supporting only and marked not applicable to the matter date.</t>
        </is>
      </c>
      <c r="K473" s="17" t="inlineStr">
        <is>
          <t>[partially_verified] Excerpt is verbatim and the researcher is right to mark it inapplicable at the matter date, but the corpus holds only the text substituted by 31-2022 s.17, so nothing in the corpus establishes the April 2020 shape of the offence or its penalty; treat it as supporting background only.</t>
        </is>
      </c>
      <c r="L473" s="21" t="n"/>
      <c r="M473" s="21" t="n"/>
      <c r="N473" s="21" t="n"/>
      <c r="O473" s="21" t="n"/>
      <c r="P473" s="21" t="n"/>
      <c r="Q473" s="17">
        <f>IF(OR(A473="",B473=""),"",IF(AND(L473&lt;&gt;"",P473&lt;&gt;"",IF(L473="Wrong citation",AND(M473&lt;&gt;"",N473&lt;&gt;""),TRUE)),"Complete","Pending"))</f>
        <v/>
      </c>
    </row>
    <row r="474">
      <c r="A474" s="19" t="inlineStr">
        <is>
          <t>M071-Q01</t>
        </is>
      </c>
      <c r="B474" s="19" t="inlineStr">
        <is>
          <t>PROV-M071-901</t>
        </is>
      </c>
      <c r="C474" s="17" t="inlineStr">
        <is>
          <t>Notaries Ordinance No. 1 of 1907</t>
        </is>
      </c>
      <c r="D474" s="17" t="inlineStr">
        <is>
          <t>s.31 rule (19)</t>
        </is>
      </c>
      <c r="E474" s="17" t="inlineStr">
        <is>
          <t>2020-04</t>
        </is>
      </c>
      <c r="F474" s="17" t="inlineStr">
        <is>
          <t>Current on reference date</t>
        </is>
      </c>
      <c r="G474" s="17" t="inlineStr">
        <is>
          <t>(19) He shall not make any erasure, alteration, or interpolation in any deed or instrument after the same has been signed by the executing party or parties.</t>
        </is>
      </c>
      <c r="H474" s="17" t="inlineStr">
        <is>
          <t>https://www.rgd.gov.lk/web/images/ActsPDF/notary/Notaries-English.pdf</t>
        </is>
      </c>
      <c r="I474" s="17" t="inlineStr">
        <is>
          <t>Supporting</t>
        </is>
      </c>
      <c r="J474" s="17" t="inlineStr">
        <is>
          <t>Added by the verifier. Section 32(2)(iii) only names rule (19); the map's claims that nothing may be altered after the first signature depend on what rule (19) actually says, so the rule itself has to be on the map.
TEMPORAL: Rule (19) was not amended by Notaries (Amendment) Act No. 31 of 2022 s.16 or No. 6 of 2024 s.3 (neither Act lists rule (19)); the wording was in force in April 2020.</t>
        </is>
      </c>
      <c r="K474" s="17" t="inlineStr">
        <is>
          <t>[verified] Added by the verifier; excerpt checked verbatim against 1-1907/s31.</t>
        </is>
      </c>
      <c r="L474" s="21" t="n"/>
      <c r="M474" s="21" t="n"/>
      <c r="N474" s="21" t="n"/>
      <c r="O474" s="21" t="n"/>
      <c r="P474" s="21" t="n"/>
      <c r="Q474" s="17">
        <f>IF(OR(A474="",B474=""),"",IF(AND(L474&lt;&gt;"",P474&lt;&gt;"",IF(L474="Wrong citation",AND(M474&lt;&gt;"",N474&lt;&gt;""),TRUE)),"Complete","Pending"))</f>
        <v/>
      </c>
    </row>
    <row r="475">
      <c r="A475" s="19" t="inlineStr">
        <is>
          <t>M071-Q01</t>
        </is>
      </c>
      <c r="B475" s="19" t="inlineStr">
        <is>
          <t>PROV-M071-017</t>
        </is>
      </c>
      <c r="C475" s="17" t="inlineStr">
        <is>
          <t>Notaries Ordinance No. 1 of 1907</t>
        </is>
      </c>
      <c r="D475" s="17" t="inlineStr">
        <is>
          <t>s.31 rule (29)</t>
        </is>
      </c>
      <c r="E475" s="17" t="inlineStr">
        <is>
          <t>2020-04</t>
        </is>
      </c>
      <c r="F475" s="17" t="inlineStr">
        <is>
          <t>Current on reference date</t>
        </is>
      </c>
      <c r="G475" s="17" t="inlineStr">
        <is>
          <t>(29) 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475" s="17" t="inlineStr">
        <is>
          <t>https://www.rgd.gov.lk/web/images/ActsPDF/notary/Notaries-English.pdf</t>
        </is>
      </c>
      <c r="I475" s="17" t="inlineStr">
        <is>
          <t>Background</t>
        </is>
      </c>
      <c r="J475" s="17" t="inlineStr">
        <is>
          <t>If the land partitioned lies in a district other than that in which the transmitting notary resides, a certified copy must also go to the Registrar of Lands of the district where the land is situated. Background here because the location of the land is not stated in the facts.
TEMPORAL: Section 31 is held in the corpus as a consolidated text carrying later amendments, but this rule was not touched by Notaries (Amendment) Act No. 31 of 2022 s.16 or No. 6 of 2024 s.3; the wording relied on was in force in April 2020.</t>
        </is>
      </c>
      <c r="K475" s="17" t="inlineStr">
        <is>
          <t>[partially_verified] Excerpt is verbatim and the quoted words were unchanged at April 2020, but the temporal note is wrong to say rule (29) was not touched by 6-2024 s.3: s.3(9) substituted "in the Form F 1" for "in the Form F" in that rule, in the part of it that falls after the end of this excerpt.</t>
        </is>
      </c>
      <c r="L475" s="21" t="n"/>
      <c r="M475" s="21" t="n"/>
      <c r="N475" s="21" t="n"/>
      <c r="O475" s="21" t="n"/>
      <c r="P475" s="21" t="n"/>
      <c r="Q475" s="17">
        <f>IF(OR(A475="",B475=""),"",IF(AND(L475&lt;&gt;"",P475&lt;&gt;"",IF(L475="Wrong citation",AND(M475&lt;&gt;"",N475&lt;&gt;""),TRUE)),"Complete","Pending"))</f>
        <v/>
      </c>
    </row>
    <row r="476">
      <c r="A476" s="19" t="inlineStr">
        <is>
          <t>M071-Q01</t>
        </is>
      </c>
      <c r="B476" s="19" t="inlineStr">
        <is>
          <t>PROV-M071-018</t>
        </is>
      </c>
      <c r="C476" s="17" t="inlineStr">
        <is>
          <t>Notaries Ordinance No. 1 of 1907</t>
        </is>
      </c>
      <c r="D476" s="17" t="inlineStr">
        <is>
          <t>s.33</t>
        </is>
      </c>
      <c r="E476" s="17" t="inlineStr">
        <is>
          <t>2020-04</t>
        </is>
      </c>
      <c r="F476" s="17" t="inlineStr">
        <is>
          <t>Current on reference date</t>
        </is>
      </c>
      <c r="G476" s="17" t="inlineStr">
        <is>
          <t>No instrument shall be deemed to be invalid by reason only of the failure of any notary to observe any provision of any rule set out in section 31 in respect of any matter of form:</t>
        </is>
      </c>
      <c r="H476" s="17" t="inlineStr">
        <is>
          <t>https://www.rgd.gov.lk/web/images/ActsPDF/notary/Notaries-English.pdf</t>
        </is>
      </c>
      <c r="I476" s="17" t="inlineStr">
        <is>
          <t>Background</t>
        </is>
      </c>
      <c r="J476" s="17" t="inlineStr">
        <is>
          <t>Non-compliance with a rule in section 31 that is a matter of form does not by itself invalidate the instrument. Background: it does not save a breach of rule (12), which goes to the fact of execution and not to form.
TEMPORAL: Section unamended since enactment (no amendment events in the corpus); in force at April 2020.</t>
        </is>
      </c>
      <c r="K476" s="17" t="inlineStr">
        <is>
          <t>[verified]</t>
        </is>
      </c>
      <c r="L476" s="21" t="n"/>
      <c r="M476" s="21" t="n"/>
      <c r="N476" s="21" t="n"/>
      <c r="O476" s="21" t="n"/>
      <c r="P476" s="21" t="n"/>
      <c r="Q476" s="17">
        <f>IF(OR(A476="",B476=""),"",IF(AND(L476&lt;&gt;"",P476&lt;&gt;"",IF(L476="Wrong citation",AND(M476&lt;&gt;"",N476&lt;&gt;""),TRUE)),"Complete","Pending"))</f>
        <v/>
      </c>
    </row>
    <row r="477">
      <c r="A477" s="19" t="inlineStr">
        <is>
          <t>M071-Q01</t>
        </is>
      </c>
      <c r="B477" s="19" t="inlineStr">
        <is>
          <t>PROV-M071-020</t>
        </is>
      </c>
      <c r="C477" s="17" t="inlineStr">
        <is>
          <t>Notaries Ordinance No. 1 of 1907</t>
        </is>
      </c>
      <c r="D477" s="17" t="inlineStr">
        <is>
          <t>s.9</t>
        </is>
      </c>
      <c r="E477" s="17" t="inlineStr">
        <is>
          <t>2020-04</t>
        </is>
      </c>
      <c r="F477" s="17" t="inlineStr">
        <is>
          <t>Current on reference date</t>
        </is>
      </c>
      <c r="G477" s="17" t="inlineStr">
        <is>
          <t>Every notary shall be bound to have his office within the area specified in his warrant; and any notary infringing this provision shall be liable to have his warrant withdrawn by the Minister.</t>
        </is>
      </c>
      <c r="H477" s="17" t="inlineStr">
        <is>
          <t>https://www.rgd.gov.lk/web/images/ActsPDF/notary/Notaries-English.pdf</t>
        </is>
      </c>
      <c r="I477" s="17" t="inlineStr">
        <is>
          <t>Background</t>
        </is>
      </c>
      <c r="J477" s="17" t="inlineStr">
        <is>
          <t>Background to rule (22): a notary is tied to the area specified in his warrant.
TEMPORAL: Section unamended since enactment (no amendment events in the corpus); in force at April 2020.</t>
        </is>
      </c>
      <c r="K477" s="17" t="inlineStr">
        <is>
          <t>[verified]</t>
        </is>
      </c>
      <c r="L477" s="21" t="n"/>
      <c r="M477" s="21" t="n"/>
      <c r="N477" s="21" t="n"/>
      <c r="O477" s="21" t="n"/>
      <c r="P477" s="21" t="n"/>
      <c r="Q477" s="17">
        <f>IF(OR(A477="",B477=""),"",IF(AND(L477&lt;&gt;"",P477&lt;&gt;"",IF(L477="Wrong citation",AND(M477&lt;&gt;"",N477&lt;&gt;""),TRUE)),"Complete","Pending"))</f>
        <v/>
      </c>
    </row>
    <row r="478">
      <c r="A478" s="19" t="inlineStr">
        <is>
          <t>M071-Q01</t>
        </is>
      </c>
      <c r="B478" s="19" t="inlineStr">
        <is>
          <t>PROV-M071-021</t>
        </is>
      </c>
      <c r="C478" s="17" t="inlineStr">
        <is>
          <t>Notaries Ordinance No. 1 of 1907</t>
        </is>
      </c>
      <c r="D478" s="17" t="inlineStr">
        <is>
          <t>s.4A</t>
        </is>
      </c>
      <c r="E478" s="17" t="inlineStr">
        <is>
          <t>2020-04</t>
        </is>
      </c>
      <c r="F478" s="17" t="inlineStr">
        <is>
          <t>Current on reference date</t>
        </is>
      </c>
      <c r="G478"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478" s="17" t="inlineStr">
        <is>
          <t>https://www.rgd.gov.lk/web/images/ActsPDF/notary/Notaries-English.pdf</t>
        </is>
      </c>
      <c r="I478" s="17" t="inlineStr">
        <is>
          <t>Background</t>
        </is>
      </c>
      <c r="J478" s="17" t="inlineStr">
        <is>
          <t>Background: a warrant for a judicial division is deemed to authorise practice in the judicial zone in which the notary resides, which fixes the outer reach of the area referred to in rule (22).
TEMPORAL: Section unamended since enactment (no amendment events in the corpus); in force at April 2020.</t>
        </is>
      </c>
      <c r="K478" s="17" t="inlineStr">
        <is>
          <t>[partially_verified] Text and 2020 applicability are right, but the temporal note is wrong to say there are no amendment events: section 4A was inserted by Notaries (Amendment) Law No. 20 of 1976 s.4 and has been in force since 1976.</t>
        </is>
      </c>
      <c r="L478" s="21" t="n"/>
      <c r="M478" s="21" t="n"/>
      <c r="N478" s="21" t="n"/>
      <c r="O478" s="21" t="n"/>
      <c r="P478" s="21" t="n"/>
      <c r="Q478" s="17">
        <f>IF(OR(A478="",B478=""),"",IF(AND(L478&lt;&gt;"",P478&lt;&gt;"",IF(L478="Wrong citation",AND(M478&lt;&gt;"",N478&lt;&gt;""),TRUE)),"Complete","Pending"))</f>
        <v/>
      </c>
    </row>
    <row r="479">
      <c r="A479" s="19" t="inlineStr">
        <is>
          <t>M078-Q01</t>
        </is>
      </c>
      <c r="B479" s="19" t="inlineStr">
        <is>
          <t>PROV-M078-001</t>
        </is>
      </c>
      <c r="C479" s="17" t="inlineStr">
        <is>
          <t>Registration of Documents Ordinance No. 23 of 1927</t>
        </is>
      </c>
      <c r="D479" s="17" t="inlineStr">
        <is>
          <t>s.7 (1)</t>
        </is>
      </c>
      <c r="E479" s="17" t="inlineStr">
        <is>
          <t>2020-04</t>
        </is>
      </c>
      <c r="F479" s="17" t="inlineStr">
        <is>
          <t>Current on reference date</t>
        </is>
      </c>
      <c r="G479" s="17" t="inlineStr">
        <is>
          <t>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479" s="17" t="inlineStr">
        <is>
          <t>https://lankalaw.net/wp-content/uploads/2025/03/Registration-of-Documents-Consolidated-2024.pdf</t>
        </is>
      </c>
      <c r="I479" s="17" t="inlineStr">
        <is>
          <t>Indispensable</t>
        </is>
      </c>
      <c r="J479" s="17" t="inlineStr">
        <is>
          <t>This is the whole of the priority rule the Lending Institution is invoking. An earlier instrument that is not duly registered is void against a later instrument taken for valuable consideration and duly registered. It decides whether the mortgage bond can be put ahead of the Indenture of Lease.
TEMPORAL: In force from 1927; the corpus records no amendment to section 7, so the text applies at 2020-04.</t>
        </is>
      </c>
      <c r="K479" s="17" t="inlineStr">
        <is>
          <t>[verified]</t>
        </is>
      </c>
      <c r="L479" s="21" t="n"/>
      <c r="M479" s="21" t="n"/>
      <c r="N479" s="21" t="n"/>
      <c r="O479" s="21" t="n"/>
      <c r="P479" s="21" t="n"/>
      <c r="Q479" s="17">
        <f>IF(OR(A479="",B479=""),"",IF(AND(L479&lt;&gt;"",P479&lt;&gt;"",IF(L479="Wrong citation",AND(M479&lt;&gt;"",N479&lt;&gt;""),TRUE)),"Complete","Pending"))</f>
        <v/>
      </c>
    </row>
    <row r="480">
      <c r="A480" s="19" t="inlineStr">
        <is>
          <t>M078-Q01</t>
        </is>
      </c>
      <c r="B480" s="19" t="inlineStr">
        <is>
          <t>PROV-M078-003</t>
        </is>
      </c>
      <c r="C480" s="17" t="inlineStr">
        <is>
          <t>Registration of Documents Ordinance No. 23 of 1927</t>
        </is>
      </c>
      <c r="D480" s="17" t="inlineStr">
        <is>
          <t>s.8 (b)</t>
        </is>
      </c>
      <c r="E480" s="17" t="inlineStr">
        <is>
          <t>2020-04</t>
        </is>
      </c>
      <c r="F480" s="17" t="inlineStr">
        <is>
          <t>Current on reference date</t>
        </is>
      </c>
      <c r="G480" s="17" t="inlineStr">
        <is>
          <t>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t>
        </is>
      </c>
      <c r="H480" s="17" t="inlineStr">
        <is>
          <t>https://lankalaw.net/wp-content/uploads/2025/03/Registration-of-Documents-Consolidated-2024.pdf</t>
        </is>
      </c>
      <c r="I480" s="17" t="inlineStr">
        <is>
          <t>Indispensable</t>
        </is>
      </c>
      <c r="J480" s="17" t="inlineStr">
        <is>
          <t>Brings both competing documents inside section 7. An Indenture of Lease creates an interest in land and a mortgage bond charges land, so each is an instrument affecting land and each is registrable.
TEMPORAL: In force from 1927; no amendment to section 8 recorded in the corpus.</t>
        </is>
      </c>
      <c r="K480" s="17" t="inlineStr">
        <is>
          <t>[verified]</t>
        </is>
      </c>
      <c r="L480" s="21" t="n"/>
      <c r="M480" s="21" t="n"/>
      <c r="N480" s="21" t="n"/>
      <c r="O480" s="21" t="n"/>
      <c r="P480" s="21" t="n"/>
      <c r="Q480" s="17">
        <f>IF(OR(A480="",B480=""),"",IF(AND(L480&lt;&gt;"",P480&lt;&gt;"",IF(L480="Wrong citation",AND(M480&lt;&gt;"",N480&lt;&gt;""),TRUE)),"Complete","Pending"))</f>
        <v/>
      </c>
    </row>
    <row r="481">
      <c r="A481" s="19" t="inlineStr">
        <is>
          <t>M078-Q01</t>
        </is>
      </c>
      <c r="B481" s="19" t="inlineStr">
        <is>
          <t>PROV-M078-005</t>
        </is>
      </c>
      <c r="C481" s="17" t="inlineStr">
        <is>
          <t>Registration of Documents Ordinance No. 23 of 1927</t>
        </is>
      </c>
      <c r="D481" s="17" t="inlineStr">
        <is>
          <t>s.14 (2)</t>
        </is>
      </c>
      <c r="E481" s="17" t="inlineStr">
        <is>
          <t>2020-04</t>
        </is>
      </c>
      <c r="F481" s="17" t="inlineStr">
        <is>
          <t>Current on reference date</t>
        </is>
      </c>
      <c r="G481" s="17" t="inlineStr">
        <is>
          <t>An instrument, whether registered before or after the commencement of this Ordinance, shall not be deemed to be duly registered under this Chapter unless it is registered in accordance with the foregoing provisions of this section.</t>
        </is>
      </c>
      <c r="H481" s="17" t="inlineStr">
        <is>
          <t>https://lankalaw.net/wp-content/uploads/2025/03/Registration-of-Documents-Consolidated-2024.pdf</t>
        </is>
      </c>
      <c r="I481" s="17" t="inlineStr">
        <is>
          <t>Indispensable</t>
        </is>
      </c>
      <c r="J481" s="17" t="inlineStr">
        <is>
          <t>Supplies the content of duly registered in section 7. The bond must go into the book for the division in which the Nugegoda house lies and into the folio carrying the earlier registered instruments affecting the same land, otherwise it earns no priority at all.
TEMPORAL: Section 14 was last touched by Law No. 14 of 1974, long before the matter date; the corpus text applies at 2020-04.</t>
        </is>
      </c>
      <c r="K481" s="17" t="inlineStr">
        <is>
          <t>[verified]</t>
        </is>
      </c>
      <c r="L481" s="21" t="n"/>
      <c r="M481" s="21" t="n"/>
      <c r="N481" s="21" t="n"/>
      <c r="O481" s="21" t="n"/>
      <c r="P481" s="21" t="n"/>
      <c r="Q481" s="17">
        <f>IF(OR(A481="",B481=""),"",IF(AND(L481&lt;&gt;"",P481&lt;&gt;"",IF(L481="Wrong citation",AND(M481&lt;&gt;"",N481&lt;&gt;""),TRUE)),"Complete","Pending"))</f>
        <v/>
      </c>
    </row>
    <row r="482">
      <c r="A482" s="19" t="inlineStr">
        <is>
          <t>M078-Q01</t>
        </is>
      </c>
      <c r="B482" s="19" t="inlineStr">
        <is>
          <t>PROV-M078-007</t>
        </is>
      </c>
      <c r="C482" s="17" t="inlineStr">
        <is>
          <t>Registration of Documents Ordinance No. 23 of 1927</t>
        </is>
      </c>
      <c r="D482" s="17" t="inlineStr">
        <is>
          <t>s.30 (2)</t>
        </is>
      </c>
      <c r="E482" s="17" t="inlineStr">
        <is>
          <t>2020-04</t>
        </is>
      </c>
      <c r="F482" s="17" t="inlineStr">
        <is>
          <t>Current on reference date</t>
        </is>
      </c>
      <c r="G482" s="17" t="inlineStr">
        <is>
          <t>If, at any time while a priority notice remains in force, any instrument is registered whereby the transferee or a person deriving title under him acquires for valuable consideration from the transferor or a person deriving title under him any interest or benefit in the land described in the priority notice, such instrument shall, for the purposes of this Ordinance, be deemed to have been registered at the time of registration of the priority notice.</t>
        </is>
      </c>
      <c r="H482" s="17" t="inlineStr">
        <is>
          <t>https://lankalaw.net/wp-content/uploads/2025/03/Registration-of-Documents-Consolidated-2024.pdf</t>
        </is>
      </c>
      <c r="I482" s="17" t="inlineStr">
        <is>
          <t>Indispensable</t>
        </is>
      </c>
      <c r="J482" s="17" t="inlineStr">
        <is>
          <t>The statutory device by which a lender secures its place in the register before the bond is executed. A priority notice registered by the Lending Institution backdates registration of the bond to the date of the notice, and subsection (3) blocks registration of any instrument executed by Kamal while a notice registered with his written consent is in force.
TEMPORAL: Inserted by section 4 of Act No. 22 of 1958; in force at 2020-04 with no later amendment recorded in the corpus.</t>
        </is>
      </c>
      <c r="K482" s="17" t="inlineStr">
        <is>
          <t>[partially_verified] Wording and role confirmed against the full text of section 30, including subsections (3) and (5), but the temporal note is wrong for the same reason as PROV-M078-006: 22-1958 s.4 substituted a Chapter V heading and did not insert section 30; the corpus records section 30 as in force from 1927 with no amendment event.</t>
        </is>
      </c>
      <c r="L482" s="21" t="n"/>
      <c r="M482" s="21" t="n"/>
      <c r="N482" s="21" t="n"/>
      <c r="O482" s="21" t="n"/>
      <c r="P482" s="21" t="n"/>
      <c r="Q482" s="17">
        <f>IF(OR(A482="",B482=""),"",IF(AND(L482&lt;&gt;"",P482&lt;&gt;"",IF(L482="Wrong citation",AND(M482&lt;&gt;"",N482&lt;&gt;""),TRUE)),"Complete","Pending"))</f>
        <v/>
      </c>
    </row>
    <row r="483">
      <c r="A483" s="19" t="inlineStr">
        <is>
          <t>M078-Q01</t>
        </is>
      </c>
      <c r="B483" s="19" t="inlineStr">
        <is>
          <t>PROV-M078-002</t>
        </is>
      </c>
      <c r="C483" s="17" t="inlineStr">
        <is>
          <t>Registration of Documents Ordinance No. 23 of 1927</t>
        </is>
      </c>
      <c r="D483" s="17" t="inlineStr">
        <is>
          <t>s.7 (4)</t>
        </is>
      </c>
      <c r="E483" s="17" t="inlineStr">
        <is>
          <t>2020-04</t>
        </is>
      </c>
      <c r="F483" s="17" t="inlineStr">
        <is>
          <t>Current on reference date</t>
        </is>
      </c>
      <c r="G483" s="17" t="inlineStr">
        <is>
          <t>Registration of an instrument under this Chapter shall not cure any defect in the instrument or confer upon it any effect or validity which it would not otherwise have except the priority conferred on it by this section.</t>
        </is>
      </c>
      <c r="H483" s="17" t="inlineStr">
        <is>
          <t>https://lankalaw.net/wp-content/uploads/2025/03/Registration-of-Documents-Consolidated-2024.pdf</t>
        </is>
      </c>
      <c r="I483" s="17" t="inlineStr">
        <is>
          <t>Supporting</t>
        </is>
      </c>
      <c r="J483" s="17" t="inlineStr">
        <is>
          <t>Limits what registration achieves. Registering the mortgage bond buys priority and nothing else, so Kamal cannot be advised that registration will cure any other defect in the bond or in his title.
TEMPORAL: In force from 1927; no amendment recorded in the corpus.</t>
        </is>
      </c>
      <c r="K483" s="17" t="inlineStr">
        <is>
          <t>[verified]</t>
        </is>
      </c>
      <c r="L483" s="21" t="n"/>
      <c r="M483" s="21" t="n"/>
      <c r="N483" s="21" t="n"/>
      <c r="O483" s="21" t="n"/>
      <c r="P483" s="21" t="n"/>
      <c r="Q483" s="17">
        <f>IF(OR(A483="",B483=""),"",IF(AND(L483&lt;&gt;"",P483&lt;&gt;"",IF(L483="Wrong citation",AND(M483&lt;&gt;"",N483&lt;&gt;""),TRUE)),"Complete","Pending"))</f>
        <v/>
      </c>
    </row>
    <row r="484">
      <c r="A484" s="19" t="inlineStr">
        <is>
          <t>M078-Q01</t>
        </is>
      </c>
      <c r="B484" s="19" t="inlineStr">
        <is>
          <t>PROV-M078-004</t>
        </is>
      </c>
      <c r="C484" s="17" t="inlineStr">
        <is>
          <t>Registration of Documents Ordinance No. 23 of 1927</t>
        </is>
      </c>
      <c r="D484" s="17" t="inlineStr">
        <is>
          <t>s.8(proviso (xi))</t>
        </is>
      </c>
      <c r="E484" s="17" t="inlineStr">
        <is>
          <t>2020-04</t>
        </is>
      </c>
      <c r="F484" s="17" t="inlineStr">
        <is>
          <t>Current on reference date</t>
        </is>
      </c>
      <c r="G484" s="17" t="inlineStr">
        <is>
          <t>(xi) any instrument if the only interest in land created or dealt with thereby is a tenancy at will or for a period not exceeding one month or determinable by the landlord by not more than one month's notice.</t>
        </is>
      </c>
      <c r="H484" s="17" t="inlineStr">
        <is>
          <t>https://lankalaw.net/wp-content/uploads/2025/03/Registration-of-Documents-Consolidated-2024.pdf</t>
        </is>
      </c>
      <c r="I484" s="17" t="inlineStr">
        <is>
          <t>Supporting</t>
        </is>
      </c>
      <c r="J484" s="17" t="inlineStr">
        <is>
          <t>The one exception that matters here. A tenancy at will or for a month or less is outside the registration scheme, so the priority question only arises if the Indenture of Lease is for a longer term. The scenario does not give the term.
TEMPORAL: In force from 1927; no amendment recorded in the corpus.</t>
        </is>
      </c>
      <c r="K484" s="17" t="inlineStr">
        <is>
          <t>[verified]</t>
        </is>
      </c>
      <c r="L484" s="21" t="n"/>
      <c r="M484" s="21" t="n"/>
      <c r="N484" s="21" t="n"/>
      <c r="O484" s="21" t="n"/>
      <c r="P484" s="21" t="n"/>
      <c r="Q484" s="17">
        <f>IF(OR(A484="",B484=""),"",IF(AND(L484&lt;&gt;"",P484&lt;&gt;"",IF(L484="Wrong citation",AND(M484&lt;&gt;"",N484&lt;&gt;""),TRUE)),"Complete","Pending"))</f>
        <v/>
      </c>
    </row>
    <row r="485">
      <c r="A485" s="19" t="inlineStr">
        <is>
          <t>M078-Q01</t>
        </is>
      </c>
      <c r="B485" s="19" t="inlineStr">
        <is>
          <t>PROV-M078-006</t>
        </is>
      </c>
      <c r="C485" s="17" t="inlineStr">
        <is>
          <t>Registration of Documents Ordinance No. 23 of 1927</t>
        </is>
      </c>
      <c r="D485" s="17" t="inlineStr">
        <is>
          <t>s.27 (1)</t>
        </is>
      </c>
      <c r="E485" s="17" t="inlineStr">
        <is>
          <t>2020-04</t>
        </is>
      </c>
      <c r="F485" s="17" t="inlineStr">
        <is>
          <t>Current on reference date</t>
        </is>
      </c>
      <c r="G485" s="17" t="inlineStr">
        <is>
          <t>for the purpose of priority the time of presentation shall be taken as the time of registration</t>
        </is>
      </c>
      <c r="H485" s="17" t="inlineStr">
        <is>
          <t>https://lankalaw.net/wp-content/uploads/2025/03/Registration-of-Documents-Consolidated-2024.pdf</t>
        </is>
      </c>
      <c r="I485" s="17" t="inlineStr">
        <is>
          <t>Supporting</t>
        </is>
      </c>
      <c r="J485" s="17" t="inlineStr">
        <is>
          <t>Fixes the moment from which priority runs. Between two competing instruments the contest is decided by the day and hour of presentation entered in the day book, which is what the Lending Institution has to win.
TEMPORAL: Part of the Chapter inserted by section 4 of Act No. 22 of 1958; in force well before 2020-04.</t>
        </is>
      </c>
      <c r="K485" s="17" t="inlineStr">
        <is>
          <t>[partially_verified] Wording and role confirmed, but the temporal note is wrong: 22-1958 s.4 substituted a Chapter V heading and did not insert section 27, so the bracketed marker in the corpus is a heading marker, not an insertion; the corpus records section 27 as in force from 1927 with no amendment event, which is the correct basis for holding it applicable at 2020-04.</t>
        </is>
      </c>
      <c r="L485" s="21" t="n"/>
      <c r="M485" s="21" t="n"/>
      <c r="N485" s="21" t="n"/>
      <c r="O485" s="21" t="n"/>
      <c r="P485" s="21" t="n"/>
      <c r="Q485" s="17">
        <f>IF(OR(A485="",B485=""),"",IF(AND(L485&lt;&gt;"",P485&lt;&gt;"",IF(L485="Wrong citation",AND(M485&lt;&gt;"",N485&lt;&gt;""),TRUE)),"Complete","Pending"))</f>
        <v/>
      </c>
    </row>
    <row r="486">
      <c r="A486" s="19" t="inlineStr">
        <is>
          <t>M078-Q01</t>
        </is>
      </c>
      <c r="B486" s="19" t="inlineStr">
        <is>
          <t>PROV-M078-008</t>
        </is>
      </c>
      <c r="C486" s="17" t="inlineStr">
        <is>
          <t>Notaries Ordinance No. 1 of 1907</t>
        </is>
      </c>
      <c r="D486" s="17" t="inlineStr">
        <is>
          <t>s.31 rule (17)(a)</t>
        </is>
      </c>
      <c r="E486" s="17" t="inlineStr">
        <is>
          <t>2020-04</t>
        </is>
      </c>
      <c r="F486" s="17" t="inlineStr">
        <is>
          <t>Current on reference date</t>
        </is>
      </c>
      <c r="G486"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486" s="17" t="inlineStr">
        <is>
          <t>https://www.rgd.gov.lk/web/images/ActsPDF/notary/Notaries-English.pdf</t>
        </is>
      </c>
      <c r="I486" s="17" t="inlineStr">
        <is>
          <t>Supporting</t>
        </is>
      </c>
      <c r="J486" s="17" t="inlineStr">
        <is>
          <t>The practical step that answers the priority question on the facts. The notary drawing the mortgage bond must search the folio for the Nugegoda land, and that search will show whether the Indenture of Lease has already been registered.
TEMPORAL: The corpus reproduces section 31 in its current consolidated form. The 2022 and 2024 amendments to rule (17) touched paragraphs (b)(iii) and (c) only, not the search obligation in paragraph (a), so the quoted words stand for 2020-04.</t>
        </is>
      </c>
      <c r="K486" s="17" t="inlineStr">
        <is>
          <t>[verified] Temporal note independently confirmed against the amending Acts in the corpus: 31-2022 s.16(10) repealed and replaced paragraph (b) of rule (17) and added paragraphs (c) to (e), and 6-2024 s.3(6) touched paragraph (b)(iii) and paragraph (c) only; neither touched the search obligation in paragraph (a). The note omits the 2022 replacement of paragraph (b), which does not affect the quoted words.</t>
        </is>
      </c>
      <c r="L486" s="21" t="n"/>
      <c r="M486" s="21" t="n"/>
      <c r="N486" s="21" t="n"/>
      <c r="O486" s="21" t="n"/>
      <c r="P486" s="21" t="n"/>
      <c r="Q486" s="17">
        <f>IF(OR(A486="",B486=""),"",IF(AND(L486&lt;&gt;"",P486&lt;&gt;"",IF(L486="Wrong citation",AND(M486&lt;&gt;"",N486&lt;&gt;""),TRUE)),"Complete","Pending"))</f>
        <v/>
      </c>
    </row>
    <row r="487">
      <c r="A487" s="19" t="inlineStr">
        <is>
          <t>M078-Q01</t>
        </is>
      </c>
      <c r="B487" s="19" t="inlineStr">
        <is>
          <t>PROV-M078-901</t>
        </is>
      </c>
      <c r="C487" s="17" t="inlineStr">
        <is>
          <t>Registration of Documents Ordinance No. 23 of 1927</t>
        </is>
      </c>
      <c r="D487" s="17" t="inlineStr">
        <is>
          <t>s.7 (2)</t>
        </is>
      </c>
      <c r="E487" s="17" t="inlineStr">
        <is>
          <t>2020-04</t>
        </is>
      </c>
      <c r="F487" s="17" t="inlineStr">
        <is>
          <t>Current on reference date</t>
        </is>
      </c>
      <c r="G487" s="17" t="inlineStr">
        <is>
          <t>But fraud or collusion in obtaining such subsequent instrument or in securing the prior registration thereof shall defeat the priority of the person claiming thereunder.</t>
        </is>
      </c>
      <c r="H487" s="17" t="inlineStr">
        <is>
          <t>https://lankalaw.net/wp-content/uploads/2025/03/Registration-of-Documents-Consolidated-2024.pdf</t>
        </is>
      </c>
      <c r="I487" s="17" t="inlineStr">
        <is>
          <t>Supporting</t>
        </is>
      </c>
      <c r="J487" s="17" t="inlineStr">
        <is>
          <t>Added by the verifier. The gold answer for M078-Q01 twice states that fraud or collusion in securing the prior registration defeats the priority so obtained, and warns Kamal Perera against concealing the lease. That proposition comes from section 7(2), which no provision entry in the researcher's map carried: PROV-M078-001 is section 7(1) and PROV-M078-002 is section 7(4).
TEMPORAL: In force from 1927. The corpus records no amendment event on section 7, and none of the Registration of Documents amendment Acts in the corpus that predate the matter date (22-1958, 27-1969, 4-1974, 14-1974, 19-1976, 50-1982, 5-1990, 48-2011, 21-2013) amends section 7, so the text applies at 2020-04.</t>
        </is>
      </c>
      <c r="K487" s="17" t="inlineStr">
        <is>
          <t>[verified] Excerpt checked verbatim against 23-1927/s7 by the verifier.</t>
        </is>
      </c>
      <c r="L487" s="21" t="n"/>
      <c r="M487" s="21" t="n"/>
      <c r="N487" s="21" t="n"/>
      <c r="O487" s="21" t="n"/>
      <c r="P487" s="21" t="n"/>
      <c r="Q487" s="17">
        <f>IF(OR(A487="",B487=""),"",IF(AND(L487&lt;&gt;"",P487&lt;&gt;"",IF(L487="Wrong citation",AND(M487&lt;&gt;"",N487&lt;&gt;""),TRUE)),"Complete","Pending"))</f>
        <v/>
      </c>
    </row>
    <row r="488">
      <c r="A488" s="19" t="inlineStr">
        <is>
          <t>M078-Q01</t>
        </is>
      </c>
      <c r="B488" s="19" t="inlineStr">
        <is>
          <t>PROV-M078-009</t>
        </is>
      </c>
      <c r="C488" s="17" t="inlineStr">
        <is>
          <t>Prevention of Frauds Ordinance No. 7 of 1840</t>
        </is>
      </c>
      <c r="D488" s="17" t="inlineStr">
        <is>
          <t>s.2 (1)</t>
        </is>
      </c>
      <c r="E488" s="17" t="inlineStr">
        <is>
          <t>2020-04</t>
        </is>
      </c>
      <c r="F488" s="17" t="inlineStr">
        <is>
          <t>Unclear</t>
        </is>
      </c>
      <c r="G488"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488" s="17" t="inlineStr">
        <is>
          <t>https://lankalaw.net/wp-content/uploads/2025/03/Prevention-of-Frauds-Consolidated-2024.pdf</t>
        </is>
      </c>
      <c r="I488" s="17" t="inlineStr">
        <is>
          <t>Background</t>
        </is>
      </c>
      <c r="J488" s="17" t="inlineStr">
        <is>
          <t>Background only. It explains why both the Indenture of Lease and the mortgage bond are notarially executed instruments in the first place, and it draws the same line at a lease of one month that the Registration of Documents Ordinance draws.
TEMPORAL: The corpus carries section 2 as amended by Act No. 30 of 2022 and Act No. 4 of 2024, both after the matter date of 2020-04. The requirement of notarial execution itself long predates 2020, but the April 2020 wording is not in the corpus, so this provision is treated as background and no claim rests on it.</t>
        </is>
      </c>
      <c r="K488" s="17" t="inlineStr">
        <is>
          <t>[partially_verified] The excerpt is verbatim and was in force at the matter date, so applicable_to_matter_date=false and the matching corpus_gaps entry are too cautious: 30-2022 s.2 repealed only the words from the phrase beginning shall be of force to the end of the section, and 4-2024 s.2 renumbered the section, rewrote paragraphs (a) and (b) and added subsection (2); neither touched the opening words excerpted here, which therefore stood in April 2020. No claim rests on this provision, so nothing downstream changes.</t>
        </is>
      </c>
      <c r="L488" s="21" t="n"/>
      <c r="M488" s="21" t="n"/>
      <c r="N488" s="21" t="n"/>
      <c r="O488" s="21" t="n"/>
      <c r="P488" s="21" t="n"/>
      <c r="Q488" s="17">
        <f>IF(OR(A488="",B488=""),"",IF(AND(L488&lt;&gt;"",P488&lt;&gt;"",IF(L488="Wrong citation",AND(M488&lt;&gt;"",N488&lt;&gt;""),TRUE)),"Complete","Pending"))</f>
        <v/>
      </c>
    </row>
    <row r="489">
      <c r="A489" s="19" t="inlineStr">
        <is>
          <t>M078-Q04</t>
        </is>
      </c>
      <c r="B489" s="19" t="inlineStr">
        <is>
          <t>PROV-M078-011</t>
        </is>
      </c>
      <c r="C489" s="17" t="inlineStr">
        <is>
          <t>Stamp Duty (Special Provisions) Act No. 12 of 2006</t>
        </is>
      </c>
      <c r="D489" s="17" t="inlineStr">
        <is>
          <t>s.4 (g)</t>
        </is>
      </c>
      <c r="E489" s="17" t="inlineStr">
        <is>
          <t>2020-04</t>
        </is>
      </c>
      <c r="F489" s="17" t="inlineStr">
        <is>
          <t>Current on reference date</t>
        </is>
      </c>
      <c r="G489" s="17" t="inlineStr">
        <is>
          <t>(g) a bond or mortgage for any definite and certain sum of money and affecting any property;</t>
        </is>
      </c>
      <c r="H489" s="17" t="inlineStr">
        <is>
          <t>https://www.ird.gov.lk/en/Type%20of%20Taxes/Stamp%20Duty_Acts/SDActNo.12%5BE%5D2006ConsolFinal.pdf</t>
        </is>
      </c>
      <c r="I489" s="17" t="inlineStr">
        <is>
          <t>Indispensable</t>
        </is>
      </c>
      <c r="J489" s="17" t="inlineStr">
        <is>
          <t>Puts this mortgage bond inside the charge. The bond secures a definite and certain sum, Rs.3,000,000, and affects the Nugegoda house, so it is a specified instrument for the purposes of section 3.
TEMPORAL: In force from 2006 and unamended in the corpus text; in force at 2020-04.</t>
        </is>
      </c>
      <c r="K489" s="17" t="inlineStr">
        <is>
          <t>[verified]</t>
        </is>
      </c>
      <c r="L489" s="21" t="n"/>
      <c r="M489" s="21" t="n"/>
      <c r="N489" s="21" t="n"/>
      <c r="O489" s="21" t="n"/>
      <c r="P489" s="21" t="n"/>
      <c r="Q489" s="17">
        <f>IF(OR(A489="",B489=""),"",IF(AND(L489&lt;&gt;"",P489&lt;&gt;"",IF(L489="Wrong citation",AND(M489&lt;&gt;"",N489&lt;&gt;""),TRUE)),"Complete","Pending"))</f>
        <v/>
      </c>
    </row>
    <row r="490">
      <c r="A490" s="19" t="inlineStr">
        <is>
          <t>M078-Q04</t>
        </is>
      </c>
      <c r="B490" s="19" t="inlineStr">
        <is>
          <t>PROV-M078-012</t>
        </is>
      </c>
      <c r="C490" s="17" t="inlineStr">
        <is>
          <t>Stamp Duty (Special Provisions) Act No. 12 of 2006</t>
        </is>
      </c>
      <c r="D490" s="17" t="inlineStr">
        <is>
          <t>s.6(opening words and (a) to (c))</t>
        </is>
      </c>
      <c r="E490" s="17" t="inlineStr">
        <is>
          <t>2020-04</t>
        </is>
      </c>
      <c r="F490" s="17" t="inlineStr">
        <is>
          <t>Current on reference date</t>
        </is>
      </c>
      <c r="G490" s="17" t="inlineStr">
        <is>
          <t>Otherwise than in cases where there is an agreement to the contrary, stamp duty shall be payable:- (a) in the case of a policy of insurance, by the person effecting the insurance; (b) in the case of a transfer or assignment of any share, by the transferee or assignee of such share; (c) in the case of a lease, by the lessee;</t>
        </is>
      </c>
      <c r="H490" s="17" t="inlineStr">
        <is>
          <t>https://www.ird.gov.lk/en/Type%20of%20Taxes/Stamp%20Duty_Acts/SDActNo.12%5BE%5D2006ConsolFinal.pdf</t>
        </is>
      </c>
      <c r="I490" s="17" t="inlineStr">
        <is>
          <t>Indispensable</t>
        </is>
      </c>
      <c r="J490" s="17" t="inlineStr">
        <is>
          <t>The opening words make the statutory allocation of liability yield to any agreement between the parties, which is what a mortgage bond in favour of a lending institution normally contains. Paragraph (c) also shows that on the earlier Indenture of Lease the duty fell on the lessee, not on Kamal.
TEMPORAL: Section 6 was amended by section 2 of Act No. 10 of 2008, twelve years before the matter date; the corpus text applies at 2020-04.</t>
        </is>
      </c>
      <c r="K490" s="17" t="inlineStr">
        <is>
          <t>[verified]</t>
        </is>
      </c>
      <c r="L490" s="21" t="n"/>
      <c r="M490" s="21" t="n"/>
      <c r="N490" s="21" t="n"/>
      <c r="O490" s="21" t="n"/>
      <c r="P490" s="21" t="n"/>
      <c r="Q490" s="17">
        <f>IF(OR(A490="",B490=""),"",IF(AND(L490&lt;&gt;"",P490&lt;&gt;"",IF(L490="Wrong citation",AND(M490&lt;&gt;"",N490&lt;&gt;""),TRUE)),"Complete","Pending"))</f>
        <v/>
      </c>
    </row>
    <row r="491">
      <c r="A491" s="19" t="inlineStr">
        <is>
          <t>M078-Q04</t>
        </is>
      </c>
      <c r="B491" s="19" t="inlineStr">
        <is>
          <t>PROV-M078-013</t>
        </is>
      </c>
      <c r="C491" s="17" t="inlineStr">
        <is>
          <t>Stamp Duty (Special Provisions) Act No. 12 of 2006</t>
        </is>
      </c>
      <c r="D491" s="17" t="inlineStr">
        <is>
          <t>s.6 (e)</t>
        </is>
      </c>
      <c r="E491" s="17" t="inlineStr">
        <is>
          <t>2020-04</t>
        </is>
      </c>
      <c r="F491" s="17" t="inlineStr">
        <is>
          <t>Current on reference date</t>
        </is>
      </c>
      <c r="G491" s="17" t="inlineStr">
        <is>
          <t>(e) in all other cases, by the person drawing, making or executing such instrument.</t>
        </is>
      </c>
      <c r="H491" s="17" t="inlineStr">
        <is>
          <t>https://www.ird.gov.lk/en/Type%20of%20Taxes/Stamp%20Duty_Acts/SDActNo.12%5BE%5D2006ConsolFinal.pdf</t>
        </is>
      </c>
      <c r="I491" s="17" t="inlineStr">
        <is>
          <t>Indispensable</t>
        </is>
      </c>
      <c r="J491" s="17" t="inlineStr">
        <is>
          <t>The residual limb, and the one that catches a mortgage bond. No earlier paragraph of section 6 names a bond or mortgage, so the duty falls on the person drawing, making or executing it, that is Kamal Perera as mortgagor.
TEMPORAL: Section 6 was amended by section 2 of Act No. 10 of 2008; the residual limb (e) stands in the corpus text and applies at 2020-04.</t>
        </is>
      </c>
      <c r="K491" s="17" t="inlineStr">
        <is>
          <t>[verified] Confirmed against the full text of section 6: paragraphs (a) to (e), including (dd) and (ddd) inserted by 10-2008 s.2, name no bond or mortgage, so the residual limb (e) is the operative one.</t>
        </is>
      </c>
      <c r="L491" s="21" t="n"/>
      <c r="M491" s="21" t="n"/>
      <c r="N491" s="21" t="n"/>
      <c r="O491" s="21" t="n"/>
      <c r="P491" s="21" t="n"/>
      <c r="Q491" s="17">
        <f>IF(OR(A491="",B491=""),"",IF(AND(L491&lt;&gt;"",P491&lt;&gt;"",IF(L491="Wrong citation",AND(M491&lt;&gt;"",N491&lt;&gt;""),TRUE)),"Complete","Pending"))</f>
        <v/>
      </c>
    </row>
    <row r="492">
      <c r="A492" s="19" t="inlineStr">
        <is>
          <t>M078-Q04</t>
        </is>
      </c>
      <c r="B492" s="19" t="inlineStr">
        <is>
          <t>PROV-M078-014</t>
        </is>
      </c>
      <c r="C492" s="17" t="inlineStr">
        <is>
          <t>Stamp Duty (Special Provisions) Act No. 12 of 2006</t>
        </is>
      </c>
      <c r="D492" s="17" t="inlineStr">
        <is>
          <t>s.8 (1)</t>
        </is>
      </c>
      <c r="E492" s="17" t="inlineStr">
        <is>
          <t>2020-04</t>
        </is>
      </c>
      <c r="F492" s="17" t="inlineStr">
        <is>
          <t>Current on reference date</t>
        </is>
      </c>
      <c r="G492" s="17" t="inlineStr">
        <is>
          <t>the stamp duty payable on any specified instrument shall be paid by means of affixing adhesive stamps to the required value, prior to, or at the time of, the execution of the instrument. The value of the stamp duty so paid shall be specified on the face of the instrument so executed</t>
        </is>
      </c>
      <c r="H492" s="17" t="inlineStr">
        <is>
          <t>https://www.ird.gov.lk/en/Type%20of%20Taxes/Stamp%20Duty_Acts/SDActNo.12%5BE%5D2006ConsolFinal.pdf</t>
        </is>
      </c>
      <c r="I492" s="17" t="inlineStr">
        <is>
          <t>Indispensable</t>
        </is>
      </c>
      <c r="J492" s="17" t="inlineStr">
        <is>
          <t>The default mode and time of payment. Unless the duty is compounded under section 7, adhesive stamps to the required value must be affixed before or at execution of the bond and the value stated on its face.
TEMPORAL: Section 8 was substituted by section 3 of Act No. 10 of 2008; the substituted text is the corpus text and applies at 2020-04.</t>
        </is>
      </c>
      <c r="K492" s="17" t="inlineStr">
        <is>
          <t>[verified]</t>
        </is>
      </c>
      <c r="L492" s="21" t="n"/>
      <c r="M492" s="21" t="n"/>
      <c r="N492" s="21" t="n"/>
      <c r="O492" s="21" t="n"/>
      <c r="P492" s="21" t="n"/>
      <c r="Q492" s="17">
        <f>IF(OR(A492="",B492=""),"",IF(AND(L492&lt;&gt;"",P492&lt;&gt;"",IF(L492="Wrong citation",AND(M492&lt;&gt;"",N492&lt;&gt;""),TRUE)),"Complete","Pending"))</f>
        <v/>
      </c>
    </row>
    <row r="493">
      <c r="A493" s="19" t="inlineStr">
        <is>
          <t>M078-Q04</t>
        </is>
      </c>
      <c r="B493" s="19" t="inlineStr">
        <is>
          <t>PROV-M078-015</t>
        </is>
      </c>
      <c r="C493" s="17" t="inlineStr">
        <is>
          <t>Stamp Duty (Special Provisions) Act No. 12 of 2006</t>
        </is>
      </c>
      <c r="D493" s="17" t="inlineStr">
        <is>
          <t>s.8 (2)</t>
        </is>
      </c>
      <c r="E493" s="17" t="inlineStr">
        <is>
          <t>2020-04</t>
        </is>
      </c>
      <c r="F493" s="17" t="inlineStr">
        <is>
          <t>Current on reference date</t>
        </is>
      </c>
      <c r="G493" s="17" t="inlineStr">
        <is>
          <t>Stamp duty payable on any specified instrument relating to a mortgage or lease of any immovable property may be paid, prior to, or at the time of, the execution of the specified instrument, to a prescribed bank. Where however, the stamp duty cannot be so paid due to reasons beyond the control of the person by whom the stamp duty is payable, the stamp duty shall be paid to the prescribed bank within seven days from the date of such execution. The bank shall thereupon issue a certificate in the prescribed form certifying that the stamp duty has been duly paid and such certificate shall be affixed to the instrument so executed.</t>
        </is>
      </c>
      <c r="H493" s="17" t="inlineStr">
        <is>
          <t>https://www.ird.gov.lk/en/Type%20of%20Taxes/Stamp%20Duty_Acts/SDActNo.12%5BE%5D2006ConsolFinal.pdf</t>
        </is>
      </c>
      <c r="I493" s="17" t="inlineStr">
        <is>
          <t>Indispensable</t>
        </is>
      </c>
      <c r="J493" s="17" t="inlineStr">
        <is>
          <t>The limb written for this very instrument. A mortgage of immovable property may be stamped by payment to a prescribed bank before or at execution, with a seven day fallback, and the bank certificate is then affixed to the bond. This answers to whom the duty is paid and by what procedure.
TEMPORAL: Substituted by section 3 of Act No. 10 of 2008; in force at 2020-04.</t>
        </is>
      </c>
      <c r="K493" s="17" t="inlineStr">
        <is>
          <t>[verified]</t>
        </is>
      </c>
      <c r="L493" s="21" t="n"/>
      <c r="M493" s="21" t="n"/>
      <c r="N493" s="21" t="n"/>
      <c r="O493" s="21" t="n"/>
      <c r="P493" s="21" t="n"/>
      <c r="Q493" s="17">
        <f>IF(OR(A493="",B493=""),"",IF(AND(L493&lt;&gt;"",P493&lt;&gt;"",IF(L493="Wrong citation",AND(M493&lt;&gt;"",N493&lt;&gt;""),TRUE)),"Complete","Pending"))</f>
        <v/>
      </c>
    </row>
    <row r="494">
      <c r="A494" s="19" t="inlineStr">
        <is>
          <t>M078-Q04</t>
        </is>
      </c>
      <c r="B494" s="19" t="inlineStr">
        <is>
          <t>PROV-M078-010</t>
        </is>
      </c>
      <c r="C494" s="17" t="inlineStr">
        <is>
          <t>Stamp Duty (Special Provisions) Act No. 12 of 2006</t>
        </is>
      </c>
      <c r="D494" s="17" t="inlineStr">
        <is>
          <t>s.3 (1)</t>
        </is>
      </c>
      <c r="E494" s="17" t="inlineStr">
        <is>
          <t>2020-04</t>
        </is>
      </c>
      <c r="F494" s="17" t="inlineStr">
        <is>
          <t>Current on reference date</t>
        </is>
      </c>
      <c r="G494" s="17" t="inlineStr">
        <is>
          <t>there shall be charged a duty (hereinafter to be called "stamp duty") at such rate as the Minister may determine by Order published in the Gazette on every "specified instrument"- (a) executed, drawn or presented in Sri Lanka</t>
        </is>
      </c>
      <c r="H494" s="17" t="inlineStr">
        <is>
          <t>https://www.ird.gov.lk/en/Type%20of%20Taxes/Stamp%20Duty_Acts/SDActNo.12%5BE%5D2006ConsolFinal.pdf</t>
        </is>
      </c>
      <c r="I494" s="17" t="inlineStr">
        <is>
          <t>Supporting</t>
        </is>
      </c>
      <c r="J494" s="17" t="inlineStr">
        <is>
          <t>The charging provision, and the reason the rate cannot be taken from the statute. The Act imposes the duty but leaves the rate to a Ministerial Order published in the Gazette, and subsection (2) allows different rates for different classes of instrument.
TEMPORAL: In force from 2006 and unamended in the corpus text; in force at 2020-04. The rate Order in force in April 2020 is not in the corpus.</t>
        </is>
      </c>
      <c r="K494" s="17" t="inlineStr">
        <is>
          <t>[verified]</t>
        </is>
      </c>
      <c r="L494" s="21" t="n"/>
      <c r="M494" s="21" t="n"/>
      <c r="N494" s="21" t="n"/>
      <c r="O494" s="21" t="n"/>
      <c r="P494" s="21" t="n"/>
      <c r="Q494" s="17">
        <f>IF(OR(A494="",B494=""),"",IF(AND(L494&lt;&gt;"",P494&lt;&gt;"",IF(L494="Wrong citation",AND(M494&lt;&gt;"",N494&lt;&gt;""),TRUE)),"Complete","Pending"))</f>
        <v/>
      </c>
    </row>
    <row r="495">
      <c r="A495" s="19" t="inlineStr">
        <is>
          <t>M078-Q04</t>
        </is>
      </c>
      <c r="B495" s="19" t="inlineStr">
        <is>
          <t>PROV-M078-016</t>
        </is>
      </c>
      <c r="C495" s="17" t="inlineStr">
        <is>
          <t>Stamp Duty (Special Provisions) Act No. 12 of 2006</t>
        </is>
      </c>
      <c r="D495" s="17" t="inlineStr">
        <is>
          <t>s.8 (3)</t>
        </is>
      </c>
      <c r="E495" s="17" t="inlineStr">
        <is>
          <t>2020-04</t>
        </is>
      </c>
      <c r="F495" s="17" t="inlineStr">
        <is>
          <t>Current on reference date</t>
        </is>
      </c>
      <c r="G495" s="17" t="inlineStr">
        <is>
          <t>Any person executing a specified instrument shall at the time of the execution of such specified instrument which is not stamped with an impressed stamp, cancel the stamps thereon by writing or marking in ink on or across each stamp, his name or initials, thereby preventing the stamp from being used again. Further, where such specified instrument bears an adhesive stamp of the value of fifty rupees or more, such stamp shall be cancelled by the person executing a specified instrument by perforating the same by either cutting or pricking the stamp with a suitable instrument.</t>
        </is>
      </c>
      <c r="H495" s="17" t="inlineStr">
        <is>
          <t>https://www.ird.gov.lk/en/Type%20of%20Taxes/Stamp%20Duty_Acts/SDActNo.12%5BE%5D2006ConsolFinal.pdf</t>
        </is>
      </c>
      <c r="I495" s="17" t="inlineStr">
        <is>
          <t>Supporting</t>
        </is>
      </c>
      <c r="J495" s="17" t="inlineStr">
        <is>
          <t>Part of the procedure if adhesive stamps are used. Kamal himself must cancel the stamps at execution, and stamps of fifty rupees or more must also be perforated.
TEMPORAL: Substituted by section 3 of Act No. 10 of 2008; in force at 2020-04.</t>
        </is>
      </c>
      <c r="K495" s="17" t="inlineStr">
        <is>
          <t>[verified]</t>
        </is>
      </c>
      <c r="L495" s="21" t="n"/>
      <c r="M495" s="21" t="n"/>
      <c r="N495" s="21" t="n"/>
      <c r="O495" s="21" t="n"/>
      <c r="P495" s="21" t="n"/>
      <c r="Q495" s="17">
        <f>IF(OR(A495="",B495=""),"",IF(AND(L495&lt;&gt;"",P495&lt;&gt;"",IF(L495="Wrong citation",AND(M495&lt;&gt;"",N495&lt;&gt;""),TRUE)),"Complete","Pending"))</f>
        <v/>
      </c>
    </row>
    <row r="496">
      <c r="A496" s="19" t="inlineStr">
        <is>
          <t>M078-Q04</t>
        </is>
      </c>
      <c r="B496" s="19" t="inlineStr">
        <is>
          <t>PROV-M078-017</t>
        </is>
      </c>
      <c r="C496" s="17" t="inlineStr">
        <is>
          <t>Stamp Duty (Special Provisions) Act No. 12 of 2006</t>
        </is>
      </c>
      <c r="D496" s="17" t="inlineStr">
        <is>
          <t>s.8 (4)</t>
        </is>
      </c>
      <c r="E496" s="17" t="inlineStr">
        <is>
          <t>2020-04</t>
        </is>
      </c>
      <c r="F496" s="17" t="inlineStr">
        <is>
          <t>Current on reference date</t>
        </is>
      </c>
      <c r="G496" s="17" t="inlineStr">
        <is>
          <t>Any specified instrument bearing an adhesive stamp which has not been cancelled in the manner set out in subsection (3) shall be deemed to be unstamped to the extent of the value of such stamp.</t>
        </is>
      </c>
      <c r="H496" s="17" t="inlineStr">
        <is>
          <t>https://www.ird.gov.lk/en/Type%20of%20Taxes/Stamp%20Duty_Acts/SDActNo.12%5BE%5D2006ConsolFinal.pdf</t>
        </is>
      </c>
      <c r="I496" s="17" t="inlineStr">
        <is>
          <t>Supporting</t>
        </is>
      </c>
      <c r="J496" s="17" t="inlineStr">
        <is>
          <t>The sanction that makes cancellation part of the procedure rather than a formality. Uncancelled stamps count for nothing and leave the bond insufficiently stamped.
TEMPORAL: Substituted by section 3 of Act No. 10 of 2008; in force at 2020-04.</t>
        </is>
      </c>
      <c r="K496" s="17" t="inlineStr">
        <is>
          <t>[verified]</t>
        </is>
      </c>
      <c r="L496" s="21" t="n"/>
      <c r="M496" s="21" t="n"/>
      <c r="N496" s="21" t="n"/>
      <c r="O496" s="21" t="n"/>
      <c r="P496" s="21" t="n"/>
      <c r="Q496" s="17">
        <f>IF(OR(A496="",B496=""),"",IF(AND(L496&lt;&gt;"",P496&lt;&gt;"",IF(L496="Wrong citation",AND(M496&lt;&gt;"",N496&lt;&gt;""),TRUE)),"Complete","Pending"))</f>
        <v/>
      </c>
    </row>
    <row r="497">
      <c r="A497" s="19" t="inlineStr">
        <is>
          <t>M078-Q04</t>
        </is>
      </c>
      <c r="B497" s="19" t="inlineStr">
        <is>
          <t>PROV-M078-018</t>
        </is>
      </c>
      <c r="C497" s="17" t="inlineStr">
        <is>
          <t>Stamp Duty (Special Provisions) Act No. 12 of 2006</t>
        </is>
      </c>
      <c r="D497" s="17" t="inlineStr">
        <is>
          <t>s.2</t>
        </is>
      </c>
      <c r="E497" s="17" t="inlineStr">
        <is>
          <t>2020-04</t>
        </is>
      </c>
      <c r="F497" s="17" t="inlineStr">
        <is>
          <t>Current on reference date</t>
        </is>
      </c>
      <c r="G497" s="17" t="inlineStr">
        <is>
          <t>The Commissioner – General shall, be charged with the proper implementation and administration of this Act.</t>
        </is>
      </c>
      <c r="H497" s="17" t="inlineStr">
        <is>
          <t>https://www.ird.gov.lk/en/Type%20of%20Taxes/Stamp%20Duty_Acts/SDActNo.12%5BE%5D2006ConsolFinal.pdf</t>
        </is>
      </c>
      <c r="I497" s="17" t="inlineStr">
        <is>
          <t>Supporting</t>
        </is>
      </c>
      <c r="J497" s="17" t="inlineStr">
        <is>
          <t>Identifies the revenue authority behind the duty. Read with section 14, the Commissioner-General is the Commissioner-General under the Inland Revenue Act, so the duty on this bond is central revenue collected through a prescribed bank rather than a Provincial Council receipt.
TEMPORAL: In force from 2006 and unamended in the corpus text; in force at 2020-04.</t>
        </is>
      </c>
      <c r="K497" s="17" t="inlineStr">
        <is>
          <t>[verified] Confirmed by 12-2006 s.14, which gives Commissioner-General the meaning it has in the Inland Revenue Act.</t>
        </is>
      </c>
      <c r="L497" s="21" t="n"/>
      <c r="M497" s="21" t="n"/>
      <c r="N497" s="21" t="n"/>
      <c r="O497" s="21" t="n"/>
      <c r="P497" s="21" t="n"/>
      <c r="Q497" s="17">
        <f>IF(OR(A497="",B497=""),"",IF(AND(L497&lt;&gt;"",P497&lt;&gt;"",IF(L497="Wrong citation",AND(M497&lt;&gt;"",N497&lt;&gt;""),TRUE)),"Complete","Pending"))</f>
        <v/>
      </c>
    </row>
    <row r="498">
      <c r="A498" s="19" t="inlineStr">
        <is>
          <t>M078-Q04</t>
        </is>
      </c>
      <c r="B498" s="19" t="inlineStr">
        <is>
          <t>PROV-M078-019</t>
        </is>
      </c>
      <c r="C498" s="17" t="inlineStr">
        <is>
          <t>Stamp Duty (Special Provisions) Act No. 12 of 2006</t>
        </is>
      </c>
      <c r="D498" s="17" t="inlineStr">
        <is>
          <t>s.10</t>
        </is>
      </c>
      <c r="E498" s="17" t="inlineStr">
        <is>
          <t>2020-04</t>
        </is>
      </c>
      <c r="F498" s="17" t="inlineStr">
        <is>
          <t>Current on reference date</t>
        </is>
      </c>
      <c r="G498" s="17" t="inlineStr">
        <is>
          <t>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t>
        </is>
      </c>
      <c r="H498" s="17" t="inlineStr">
        <is>
          <t>https://www.ird.gov.lk/en/Type%20of%20Taxes/Stamp%20Duty_Acts/SDActNo.12%5BE%5D2006ConsolFinal.pdf</t>
        </is>
      </c>
      <c r="I498" s="17" t="inlineStr">
        <is>
          <t>Supporting</t>
        </is>
      </c>
      <c r="J498" s="17" t="inlineStr">
        <is>
          <t>What follows if the bond is understamped. An Assessor assesses the duty on the person liable and serves a notice to pay, which is the back end of the procedure Kamal is asking about.
TEMPORAL: In force from 2006 and unamended in the corpus text; in force at 2020-04.</t>
        </is>
      </c>
      <c r="K498" s="17" t="inlineStr">
        <is>
          <t>[verified]</t>
        </is>
      </c>
      <c r="L498" s="21" t="n"/>
      <c r="M498" s="21" t="n"/>
      <c r="N498" s="21" t="n"/>
      <c r="O498" s="21" t="n"/>
      <c r="P498" s="21" t="n"/>
      <c r="Q498" s="17">
        <f>IF(OR(A498="",B498=""),"",IF(AND(L498&lt;&gt;"",P498&lt;&gt;"",IF(L498="Wrong citation",AND(M498&lt;&gt;"",N498&lt;&gt;""),TRUE)),"Complete","Pending"))</f>
        <v/>
      </c>
    </row>
    <row r="499">
      <c r="A499" s="19" t="inlineStr">
        <is>
          <t>M078-Q04</t>
        </is>
      </c>
      <c r="B499" s="19" t="inlineStr">
        <is>
          <t>PROV-M078-020</t>
        </is>
      </c>
      <c r="C499" s="17" t="inlineStr">
        <is>
          <t>Notaries Ordinance No. 1 of 1907</t>
        </is>
      </c>
      <c r="D499" s="17" t="inlineStr">
        <is>
          <t>s.31 rule (6)</t>
        </is>
      </c>
      <c r="E499" s="17" t="inlineStr">
        <is>
          <t>2020-04</t>
        </is>
      </c>
      <c r="F499" s="17" t="inlineStr">
        <is>
          <t>Current on reference date</t>
        </is>
      </c>
      <c r="G499" s="17" t="inlineStr">
        <is>
          <t>He shall not authenticate or attest any deed or instrument unless he has an assurance that the required stamp duty is provided.</t>
        </is>
      </c>
      <c r="H499" s="17" t="inlineStr">
        <is>
          <t>https://www.rgd.gov.lk/web/images/ActsPDF/notary/Notaries-English.pdf</t>
        </is>
      </c>
      <c r="I499" s="17" t="inlineStr">
        <is>
          <t>Supporting</t>
        </is>
      </c>
      <c r="J499" s="17" t="inlineStr">
        <is>
          <t>The notary's part in the procedure. The bond cannot be attested until the notary is satisfied that the stamp duty has been provided, which is why the duty is settled before or at execution.
TEMPORAL: The corpus shows rule (6) as substituted by section 16(4) of Act No. 31 of 2022, after the matter date, but the substituted wording is word for word the same as the wording it replaced, so the obligation stated here held at 2020-04. Rule (7A), which shifts payment of stamp duty on to the notary, was inserted by the same 2022 Act and widened by Act No. 6 of 2024, and is deliberately not relied on.</t>
        </is>
      </c>
      <c r="K499" s="17" t="inlineStr">
        <is>
          <t>[partially_verified] The wording is verbatim in the current corpus text and 31-2022 s.16(4) did substitute rule (6), but the amending Act does not set out the words it replaced and the pre-2022 text is not in the corpus, so the researcher's assertion that the substituted wording is word for word the same as the wording it replaced cannot be checked here; the provision is supporting only, so nothing turns on it.</t>
        </is>
      </c>
      <c r="L499" s="21" t="n"/>
      <c r="M499" s="21" t="n"/>
      <c r="N499" s="21" t="n"/>
      <c r="O499" s="21" t="n"/>
      <c r="P499" s="21" t="n"/>
      <c r="Q499" s="17">
        <f>IF(OR(A499="",B499=""),"",IF(AND(L499&lt;&gt;"",P499&lt;&gt;"",IF(L499="Wrong citation",AND(M499&lt;&gt;"",N499&lt;&gt;""),TRUE)),"Complete","Pending"))</f>
        <v/>
      </c>
    </row>
    <row r="500">
      <c r="A500" s="19" t="inlineStr">
        <is>
          <t>M078-Q04</t>
        </is>
      </c>
      <c r="B500" s="19" t="inlineStr">
        <is>
          <t>PROV-M078-021</t>
        </is>
      </c>
      <c r="C500" s="17" t="inlineStr">
        <is>
          <t>Western Province Financial Statute No. 6 of 1990</t>
        </is>
      </c>
      <c r="D500" s="17" t="inlineStr">
        <is>
          <t>s.37</t>
        </is>
      </c>
      <c r="E500" s="17" t="inlineStr">
        <is>
          <t>2020-04</t>
        </is>
      </c>
      <c r="F500" s="17" t="inlineStr">
        <is>
          <t>Current on reference date</t>
        </is>
      </c>
      <c r="G500"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t>
        </is>
      </c>
      <c r="H500" s="17" t="inlineStr">
        <is>
          <t>http://www.revenuedept.wp.gov.lk/en/wp-content/uploads/2019/12/1990-6.pdf</t>
        </is>
      </c>
      <c r="I500" s="17" t="inlineStr">
        <is>
          <t>Supporting</t>
        </is>
      </c>
      <c r="J500" s="17" t="inlineStr">
        <is>
          <t>The Nugegoda house is in the Western Province, so the provincial charge has to be checked. Section 37 charges transfers of immovable property, court documents and motor vehicle transfers only. A mortgage bond is none of these, so the provincial statute does not charge it and the duty is the national duty under Act No. 12 of 2006.
TEMPORAL: In force from 1990; the corpus records no amendment, so the text applies at 2020-04.</t>
        </is>
      </c>
      <c r="K500" s="17" t="inlineStr">
        <is>
          <t>[verified] Reading confirmed. Paragraph (a) of the corpus text is garbled, but on any reconstruction it charges a transfer of immovable property, and no limb of section 37 reaches a mortgage bond, so the researcher's conclusion holds.</t>
        </is>
      </c>
      <c r="L500" s="21" t="n"/>
      <c r="M500" s="21" t="n"/>
      <c r="N500" s="21" t="n"/>
      <c r="O500" s="21" t="n"/>
      <c r="P500" s="21" t="n"/>
      <c r="Q500" s="17">
        <f>IF(OR(A500="",B500=""),"",IF(AND(L500&lt;&gt;"",P500&lt;&gt;"",IF(L500="Wrong citation",AND(M500&lt;&gt;"",N500&lt;&gt;""),TRUE)),"Complete","Pending"))</f>
        <v/>
      </c>
    </row>
    <row r="501">
      <c r="A501" s="19" t="inlineStr">
        <is>
          <t>M078-Q04</t>
        </is>
      </c>
      <c r="B501" s="19" t="inlineStr">
        <is>
          <t>PROV-M078-022</t>
        </is>
      </c>
      <c r="C501" s="17" t="inlineStr">
        <is>
          <t>Stamp Duty (Special Provisions) Act No. 12 of 2006</t>
        </is>
      </c>
      <c r="D501" s="17" t="inlineStr">
        <is>
          <t>s.9</t>
        </is>
      </c>
      <c r="E501" s="17" t="inlineStr">
        <is>
          <t>2020-04</t>
        </is>
      </c>
      <c r="F501" s="17" t="inlineStr">
        <is>
          <t>Current on reference date</t>
        </is>
      </c>
      <c r="G501" s="17" t="inlineStr">
        <is>
          <t>All stamp duty payable to a Provincial Council in respect of documents and instruments referred to in List I of the Ninth Schedule to the Constitution, shall be paid to the respective Provincial Council within whose limits the instrument was executed or the property situated as the case may be</t>
        </is>
      </c>
      <c r="H501" s="17" t="inlineStr">
        <is>
          <t>https://www.ird.gov.lk/en/Type%20of%20Taxes/Stamp%20Duty_Acts/SDActNo.12%5BE%5D2006ConsolFinal.pdf</t>
        </is>
      </c>
      <c r="I501" s="17" t="inlineStr">
        <is>
          <t>Background</t>
        </is>
      </c>
      <c r="J501" s="17" t="inlineStr">
        <is>
          <t>Background. It is the provision that would route the duty to the Western Provincial Council if a mortgage bond were a provincially charged instrument. Read with section 37 of the Western Province Financial Statute it is not, so the money does not go to the Provincial Council.
TEMPORAL: In force from 2006 and unamended in the corpus text; in force at 2020-04.</t>
        </is>
      </c>
      <c r="K501" s="17" t="inlineStr">
        <is>
          <t>[verified]</t>
        </is>
      </c>
      <c r="L501" s="21" t="n"/>
      <c r="M501" s="21" t="n"/>
      <c r="N501" s="21" t="n"/>
      <c r="O501" s="21" t="n"/>
      <c r="P501" s="21" t="n"/>
      <c r="Q501" s="17">
        <f>IF(OR(A501="",B501=""),"",IF(AND(L501&lt;&gt;"",P501&lt;&gt;"",IF(L501="Wrong citation",AND(M501&lt;&gt;"",N501&lt;&gt;""),TRUE)),"Complete","Pending"))</f>
        <v/>
      </c>
    </row>
    <row r="502">
      <c r="A502" s="19" t="inlineStr">
        <is>
          <t>M079-Q02</t>
        </is>
      </c>
      <c r="B502" s="19" t="inlineStr">
        <is>
          <t>PROV-M079-004</t>
        </is>
      </c>
      <c r="C502" s="17" t="inlineStr">
        <is>
          <t>Matrimonial Rights and Inheritance Ordinance No. 15 of 1876</t>
        </is>
      </c>
      <c r="D502" s="17" t="inlineStr">
        <is>
          <t>s.20</t>
        </is>
      </c>
      <c r="E502" s="17" t="inlineStr">
        <is>
          <t>2019-10</t>
        </is>
      </c>
      <c r="F502" s="17" t="inlineStr">
        <is>
          <t>Current on reference date</t>
        </is>
      </c>
      <c r="G502"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502" s="17" t="inlineStr">
        <is>
          <t>https://lankalaw.net/wp-content/uploads/2024/03/mrai69364.pdf</t>
        </is>
      </c>
      <c r="I502" s="17" t="inlineStr">
        <is>
          <t>Indispensable</t>
        </is>
      </c>
      <c r="J502" s="17" t="inlineStr">
        <is>
          <t>Threshold condition for applying Part III: Lalith Perera died in 2018 and was married long after the 1876 proclamation, so the inheritance sections apply to his estate.
TEMPORAL: In force since 1876; no amendment event is recorded in the corpus for this section.</t>
        </is>
      </c>
      <c r="K502" s="17" t="inlineStr">
        <is>
          <t>[verified]</t>
        </is>
      </c>
      <c r="L502" s="21" t="n"/>
      <c r="M502" s="21" t="n"/>
      <c r="N502" s="21" t="n"/>
      <c r="O502" s="21" t="n"/>
      <c r="P502" s="21" t="n"/>
      <c r="Q502" s="17">
        <f>IF(OR(A502="",B502=""),"",IF(AND(L502&lt;&gt;"",P502&lt;&gt;"",IF(L502="Wrong citation",AND(M502&lt;&gt;"",N502&lt;&gt;""),TRUE)),"Complete","Pending"))</f>
        <v/>
      </c>
    </row>
    <row r="503">
      <c r="A503" s="19" t="inlineStr">
        <is>
          <t>M079-Q02</t>
        </is>
      </c>
      <c r="B503" s="19" t="inlineStr">
        <is>
          <t>PROV-M079-003</t>
        </is>
      </c>
      <c r="C503" s="17" t="inlineStr">
        <is>
          <t>Matrimonial Rights and Inheritance Ordinance No. 15 of 1876</t>
        </is>
      </c>
      <c r="D503" s="17" t="inlineStr">
        <is>
          <t>s.21 (1)</t>
        </is>
      </c>
      <c r="E503" s="17" t="inlineStr">
        <is>
          <t>2019-10</t>
        </is>
      </c>
      <c r="F503" s="17" t="inlineStr">
        <is>
          <t>Current on reference date</t>
        </is>
      </c>
      <c r="G503" s="17" t="inlineStr">
        <is>
          <t>Inheritance ab interstate to the immovable property in Sri Lanka of a person deceased shall be governed and regulated by the following provisions of this Ordinance wherever such person may have or have had his actual or matrimonial domicile.</t>
        </is>
      </c>
      <c r="H503" s="17" t="inlineStr">
        <is>
          <t>https://lankalaw.net/wp-content/uploads/2024/03/mrai69364.pdf</t>
        </is>
      </c>
      <c r="I503" s="17" t="inlineStr">
        <is>
          <t>Indispensable</t>
        </is>
      </c>
      <c r="J503" s="17" t="inlineStr">
        <is>
          <t>Establishes that intestate succession to Lot 5B, immovable property in Sri Lanka, is governed by Part III of this Ordinance rather than by any other regime.
TEMPORAL: In force since 1876; no amendment event is recorded in the corpus for this section.</t>
        </is>
      </c>
      <c r="K503" s="17" t="inlineStr">
        <is>
          <t>[verified]</t>
        </is>
      </c>
      <c r="L503" s="21" t="n"/>
      <c r="M503" s="21" t="n"/>
      <c r="N503" s="21" t="n"/>
      <c r="O503" s="21" t="n"/>
      <c r="P503" s="21" t="n"/>
      <c r="Q503" s="17">
        <f>IF(OR(A503="",B503=""),"",IF(AND(L503&lt;&gt;"",P503&lt;&gt;"",IF(L503="Wrong citation",AND(M503&lt;&gt;"",N503&lt;&gt;""),TRUE)),"Complete","Pending"))</f>
        <v/>
      </c>
    </row>
    <row r="504">
      <c r="A504" s="19" t="inlineStr">
        <is>
          <t>M079-Q02</t>
        </is>
      </c>
      <c r="B504" s="19" t="inlineStr">
        <is>
          <t>PROV-M079-001</t>
        </is>
      </c>
      <c r="C504" s="17" t="inlineStr">
        <is>
          <t>Matrimonial Rights and Inheritance Ordinance No. 15 of 1876</t>
        </is>
      </c>
      <c r="D504" s="17" t="inlineStr">
        <is>
          <t>s.22</t>
        </is>
      </c>
      <c r="E504" s="17" t="inlineStr">
        <is>
          <t>2019-10</t>
        </is>
      </c>
      <c r="F504" s="17" t="inlineStr">
        <is>
          <t>Current on reference date</t>
        </is>
      </c>
      <c r="G504" s="17" t="inlineStr">
        <is>
          <t>When any person shall die intestate as to any of his or her property, leaving a spouse surviving, the surviving spouse shall inherit one-half of the property of such person.</t>
        </is>
      </c>
      <c r="H504" s="17" t="inlineStr">
        <is>
          <t>https://lankalaw.net/wp-content/uploads/2024/03/mrai69364.pdf</t>
        </is>
      </c>
      <c r="I504" s="17" t="inlineStr">
        <is>
          <t>Indispensable</t>
        </is>
      </c>
      <c r="J504" s="17" t="inlineStr">
        <is>
          <t>Fixes the share of Kamani, the surviving spouse of Lalith Perera who died intestate on 2 March 2018, in Lot 5B (Assessment No. 3/2B) at one-half.
TEMPORAL: In force since 1876; the corpus records no amendment event for this section, so the text stood unchanged at the matter reference date of October 2019.</t>
        </is>
      </c>
      <c r="K504" s="17" t="inlineStr">
        <is>
          <t>[verified]</t>
        </is>
      </c>
      <c r="L504" s="21" t="n"/>
      <c r="M504" s="21" t="n"/>
      <c r="N504" s="21" t="n"/>
      <c r="O504" s="21" t="n"/>
      <c r="P504" s="21" t="n"/>
      <c r="Q504" s="17">
        <f>IF(OR(A504="",B504=""),"",IF(AND(L504&lt;&gt;"",P504&lt;&gt;"",IF(L504="Wrong citation",AND(M504&lt;&gt;"",N504&lt;&gt;""),TRUE)),"Complete","Pending"))</f>
        <v/>
      </c>
    </row>
    <row r="505">
      <c r="A505" s="19" t="inlineStr">
        <is>
          <t>M079-Q02</t>
        </is>
      </c>
      <c r="B505" s="19" t="inlineStr">
        <is>
          <t>PROV-M079-002</t>
        </is>
      </c>
      <c r="C505" s="17" t="inlineStr">
        <is>
          <t>Matrimonial Rights and Inheritance Ordinance No. 15 of 1876</t>
        </is>
      </c>
      <c r="D505" s="17" t="inlineStr">
        <is>
          <t>s.24</t>
        </is>
      </c>
      <c r="E505" s="17" t="inlineStr">
        <is>
          <t>2019-10</t>
        </is>
      </c>
      <c r="F505" s="17" t="inlineStr">
        <is>
          <t>Current on reference date</t>
        </is>
      </c>
      <c r="G505" s="17" t="inlineStr">
        <is>
          <t>Children, grandchildren, and remoter descendants are preferent to all others in the estate of the parents; all the children take equally per capita</t>
        </is>
      </c>
      <c r="H505" s="17" t="inlineStr">
        <is>
          <t>https://lankalaw.net/wp-content/uploads/2024/03/mrai69364.pdf</t>
        </is>
      </c>
      <c r="I505" s="17" t="inlineStr">
        <is>
          <t>Indispensable</t>
        </is>
      </c>
      <c r="J505" s="17" t="inlineStr">
        <is>
          <t>Gives the remaining one-half of Lalith Perera's estate to his children Hasini and Kushan in equal per capita shares, and excludes Ruvini, who is not his descendant.
TEMPORAL: In force since 1876; no amendment event is recorded in the corpus, so the text stood unchanged at October 2019.</t>
        </is>
      </c>
      <c r="K505" s="17" t="inlineStr">
        <is>
          <t>[verified]</t>
        </is>
      </c>
      <c r="L505" s="21" t="n"/>
      <c r="M505" s="21" t="n"/>
      <c r="N505" s="21" t="n"/>
      <c r="O505" s="21" t="n"/>
      <c r="P505" s="21" t="n"/>
      <c r="Q505" s="17">
        <f>IF(OR(A505="",B505=""),"",IF(AND(L505&lt;&gt;"",P505&lt;&gt;"",IF(L505="Wrong citation",AND(M505&lt;&gt;"",N505&lt;&gt;""),TRUE)),"Complete","Pending"))</f>
        <v/>
      </c>
    </row>
    <row r="506">
      <c r="A506" s="19" t="inlineStr">
        <is>
          <t>M079-Q02</t>
        </is>
      </c>
      <c r="B506" s="19" t="inlineStr">
        <is>
          <t>PROV-M079-005</t>
        </is>
      </c>
      <c r="C506" s="17" t="inlineStr">
        <is>
          <t>Matrimonial Rights and Inheritance Ordinance No. 15 of 1876</t>
        </is>
      </c>
      <c r="D506" s="17" t="inlineStr">
        <is>
          <t>s.23</t>
        </is>
      </c>
      <c r="E506" s="17" t="inlineStr">
        <is>
          <t>2019-10</t>
        </is>
      </c>
      <c r="F506" s="17" t="inlineStr">
        <is>
          <t>Current on reference date</t>
        </is>
      </c>
      <c r="G506" s="17" t="inlineStr">
        <is>
          <t>Subject to the right of the surviving spouse in the preceding section mentioned, the right of inheritance is divided in the following order as respects (a) descendants, (b) ascendants, (c) collaterals.</t>
        </is>
      </c>
      <c r="H506" s="17" t="inlineStr">
        <is>
          <t>https://lankalaw.net/wp-content/uploads/2024/03/mrai69364.pdf</t>
        </is>
      </c>
      <c r="I506" s="17" t="inlineStr">
        <is>
          <t>Supporting</t>
        </is>
      </c>
      <c r="J506" s="17" t="inlineStr">
        <is>
          <t>Orders the classes of heirs and makes the children's entitlement expressly subject to the surviving spouse's one-half, linking section 22 to section 24.
TEMPORAL: In force since 1876; no amendment event is recorded in the corpus for this section.</t>
        </is>
      </c>
      <c r="K506" s="17" t="inlineStr">
        <is>
          <t>[verified]</t>
        </is>
      </c>
      <c r="L506" s="21" t="n"/>
      <c r="M506" s="21" t="n"/>
      <c r="N506" s="21" t="n"/>
      <c r="O506" s="21" t="n"/>
      <c r="P506" s="21" t="n"/>
      <c r="Q506" s="17">
        <f>IF(OR(A506="",B506=""),"",IF(AND(L506&lt;&gt;"",P506&lt;&gt;"",IF(L506="Wrong citation",AND(M506&lt;&gt;"",N506&lt;&gt;""),TRUE)),"Complete","Pending"))</f>
        <v/>
      </c>
    </row>
    <row r="507">
      <c r="A507" s="19" t="inlineStr">
        <is>
          <t>M079-Q02</t>
        </is>
      </c>
      <c r="B507" s="19" t="inlineStr">
        <is>
          <t>PROV-M079-006</t>
        </is>
      </c>
      <c r="C507" s="17" t="inlineStr">
        <is>
          <t>Jaffna Matrimonial Rights and Inheritance Ordinance No. 1 of 1911</t>
        </is>
      </c>
      <c r="D507" s="17" t="inlineStr">
        <is>
          <t>s.6</t>
        </is>
      </c>
      <c r="E507" s="17" t="inlineStr">
        <is>
          <t>2019-10</t>
        </is>
      </c>
      <c r="F507" s="17" t="inlineStr">
        <is>
          <t>Current on reference date</t>
        </is>
      </c>
      <c r="G507" s="17" t="inlineStr">
        <is>
          <t>Such woman shall, subject and without prejudice to any such trusts as aforesaid, have as full power of disposing of and dealing with such property by any lawful act inter vivos without the consent of the husband in case of movables, or with his written consent in the case of immovables, but not otherwise, or by last will without consent, as if she were unmarried.</t>
        </is>
      </c>
      <c r="H507" s="17" t="inlineStr">
        <is>
          <t>https://lankalaw.net/wp-content/uploads/2024/03/mrai70396.pdf</t>
        </is>
      </c>
      <c r="I507" s="17" t="inlineStr">
        <is>
          <t>Supporting</t>
        </is>
      </c>
      <c r="J507" s="17" t="inlineStr">
        <is>
          <t>A married woman subject to the Thesawalamai may dispose of immovable property inter vivos only with her husband's written consent. Mala Nadaraja sold Lot 5A by Deed No. 456 of 3 February 2015 while Mohan Nadaraja was alive, so his written consent was required; by Deed No. 789 of 5 April 2017 she was a widow and no consent was needed.
TEMPORAL: Section 6 was last amended by Ordinance No. 58 of 1947, well before the 2015 and 2017 deeds and before the matter reference date.</t>
        </is>
      </c>
      <c r="K507" s="17" t="inlineStr">
        <is>
          <t>[partially_verified] Wording verbatim, but section 6 governs the wife's separate estate, that is property held at marriage or acquired during marriage by gift, inheritance or conversion, whereas this map characterises Lots 5A and 5B as thediatheddam bought for valuable consideration under section 19(a), so on the corpus text the written-consent rule does not plainly reach these lots.</t>
        </is>
      </c>
      <c r="L507" s="21" t="n"/>
      <c r="M507" s="21" t="n"/>
      <c r="N507" s="21" t="n"/>
      <c r="O507" s="21" t="n"/>
      <c r="P507" s="21" t="n"/>
      <c r="Q507" s="17">
        <f>IF(OR(A507="",B507=""),"",IF(AND(L507&lt;&gt;"",P507&lt;&gt;"",IF(L507="Wrong citation",AND(M507&lt;&gt;"",N507&lt;&gt;""),TRUE)),"Complete","Pending"))</f>
        <v/>
      </c>
    </row>
    <row r="508">
      <c r="A508" s="19" t="inlineStr">
        <is>
          <t>M079-Q02</t>
        </is>
      </c>
      <c r="B508" s="19" t="inlineStr">
        <is>
          <t>PROV-M079-008</t>
        </is>
      </c>
      <c r="C508" s="17" t="inlineStr">
        <is>
          <t>Jaffna Matrimonial Rights and Inheritance Ordinance No. 1 of 1911</t>
        </is>
      </c>
      <c r="D508" s="17" t="inlineStr">
        <is>
          <t>s.20</t>
        </is>
      </c>
      <c r="E508" s="17" t="inlineStr">
        <is>
          <t>2019-10</t>
        </is>
      </c>
      <c r="F508" s="17" t="inlineStr">
        <is>
          <t>Current on reference date</t>
        </is>
      </c>
      <c r="G508" s="17" t="inlineStr">
        <is>
          <t>On the death of either spouse one-half of the thediatheddam which belonged to the deceased spouse, and has not been disposed of by last will or otherwise, shall devolve on the surviving spouse and the other half shall devolve on the heirs of the deceased spouse.</t>
        </is>
      </c>
      <c r="H508" s="17" t="inlineStr">
        <is>
          <t>https://lankalaw.net/wp-content/uploads/2024/03/mrai70396.pdf</t>
        </is>
      </c>
      <c r="I508" s="17" t="inlineStr">
        <is>
          <t>Supporting</t>
        </is>
      </c>
      <c r="J508" s="17" t="inlineStr">
        <is>
          <t>Divides only the deceased spouse's thediatheddam. Lot 5B was Mala Nadaraja's own acquisition, not Mohan Nadaraja's, so on his death none of Lot 5B passed to his heirs and she remained sole owner when she sold to Lalith Perera in 2017.
TEMPORAL: Last amended by Ordinance No. 58 of 1947; unchanged at the matter reference date.</t>
        </is>
      </c>
      <c r="K508" s="17" t="inlineStr">
        <is>
          <t>[verified]</t>
        </is>
      </c>
      <c r="L508" s="21" t="n"/>
      <c r="M508" s="21" t="n"/>
      <c r="N508" s="21" t="n"/>
      <c r="O508" s="21" t="n"/>
      <c r="P508" s="21" t="n"/>
      <c r="Q508" s="17">
        <f>IF(OR(A508="",B508=""),"",IF(AND(L508&lt;&gt;"",P508&lt;&gt;"",IF(L508="Wrong citation",AND(M508&lt;&gt;"",N508&lt;&gt;""),TRUE)),"Complete","Pending"))</f>
        <v/>
      </c>
    </row>
    <row r="509">
      <c r="A509" s="19" t="inlineStr">
        <is>
          <t>M079-Q02</t>
        </is>
      </c>
      <c r="B509" s="19" t="inlineStr">
        <is>
          <t>PROV-M079-901</t>
        </is>
      </c>
      <c r="C509" s="17" t="inlineStr">
        <is>
          <t>Jaffna Matrimonial Rights and Inheritance Ordinance No. 1 of 1911</t>
        </is>
      </c>
      <c r="D509" s="17" t="inlineStr">
        <is>
          <t>s.5</t>
        </is>
      </c>
      <c r="E509" s="17" t="inlineStr">
        <is>
          <t>2019-10</t>
        </is>
      </c>
      <c r="F509" s="17" t="inlineStr">
        <is>
          <t>Current on reference date</t>
        </is>
      </c>
      <c r="G509" s="17" t="inlineStr">
        <is>
          <t>The respective matrimonial rights of every husband and wife married after the commencement of this Ordinance</t>
        </is>
      </c>
      <c r="H509" s="17" t="inlineStr">
        <is>
          <t>https://lankalaw.net/wp-content/uploads/2024/03/mrai70396.pdf</t>
        </is>
      </c>
      <c r="I509" s="17" t="inlineStr">
        <is>
          <t>Supporting</t>
        </is>
      </c>
      <c r="J509" s="17" t="inlineStr">
        <is>
          <t>Threshold provision for Part II. Section 6, on which the husband's written consent turns, applies only to a woman married after the commencement of the Ordinance, and section 5 is what carries the matrimonial rights of such a marriage into the Ordinance. The map relied on section 6 without citing the applicability provision that lets it bite.
TEMPORAL: In force since 1911; the corpus records no amendment event for this section, so it stood unchanged at the matter reference date of October 2019.</t>
        </is>
      </c>
      <c r="K509" s="17" t="inlineStr">
        <is>
          <t>[verified] Added by the verifier as the missing Part II applicability provision for section 6.</t>
        </is>
      </c>
      <c r="L509" s="21" t="n"/>
      <c r="M509" s="21" t="n"/>
      <c r="N509" s="21" t="n"/>
      <c r="O509" s="21" t="n"/>
      <c r="P509" s="21" t="n"/>
      <c r="Q509" s="17">
        <f>IF(OR(A509="",B509=""),"",IF(AND(L509&lt;&gt;"",P509&lt;&gt;"",IF(L509="Wrong citation",AND(M509&lt;&gt;"",N509&lt;&gt;""),TRUE)),"Complete","Pending"))</f>
        <v/>
      </c>
    </row>
    <row r="510">
      <c r="A510" s="19" t="inlineStr">
        <is>
          <t>M079-Q02</t>
        </is>
      </c>
      <c r="B510" s="19" t="inlineStr">
        <is>
          <t>PROV-M079-902</t>
        </is>
      </c>
      <c r="C510" s="17" t="inlineStr">
        <is>
          <t>Jaffna Matrimonial Rights and Inheritance Ordinance No. 1 of 1911</t>
        </is>
      </c>
      <c r="D510" s="17" t="inlineStr">
        <is>
          <t>s.14</t>
        </is>
      </c>
      <c r="E510" s="17" t="inlineStr">
        <is>
          <t>2019-10</t>
        </is>
      </c>
      <c r="F510" s="17" t="inlineStr">
        <is>
          <t>Current on reference date</t>
        </is>
      </c>
      <c r="G510" s="17" t="inlineStr">
        <is>
          <t>shall apply to the estate of such persons only as shall die after the commencement of this Ordinance, and shall be then unmarried, or if married, shall have been married after the commencement of this Ordinance.</t>
        </is>
      </c>
      <c r="H510" s="17" t="inlineStr">
        <is>
          <t>https://lankalaw.net/wp-content/uploads/2024/03/mrai70396.pdf</t>
        </is>
      </c>
      <c r="I510" s="17" t="inlineStr">
        <is>
          <t>Supporting</t>
        </is>
      </c>
      <c r="J510" s="17" t="inlineStr">
        <is>
          <t>Threshold provision for Part III, the counterpart of Ordinance No. 15 of 1876 s.20 which the map did cite. Sections 19 and 20, on the meaning and devolution of thediatheddam, reach Mohan Nadaraja's estate only because he died after 1911 and married after it.
TEMPORAL: In force since 1911; the corpus records no amendment event for this section, so it stood unchanged at the matter reference date of October 2019.</t>
        </is>
      </c>
      <c r="K510" s="17" t="inlineStr">
        <is>
          <t>[verified] Added by the verifier as the missing Part III applicability provision for sections 19 and 20.</t>
        </is>
      </c>
      <c r="L510" s="21" t="n"/>
      <c r="M510" s="21" t="n"/>
      <c r="N510" s="21" t="n"/>
      <c r="O510" s="21" t="n"/>
      <c r="P510" s="21" t="n"/>
      <c r="Q510" s="17">
        <f>IF(OR(A510="",B510=""),"",IF(AND(L510&lt;&gt;"",P510&lt;&gt;"",IF(L510="Wrong citation",AND(M510&lt;&gt;"",N510&lt;&gt;""),TRUE)),"Complete","Pending"))</f>
        <v/>
      </c>
    </row>
    <row r="511">
      <c r="A511" s="19" t="inlineStr">
        <is>
          <t>M080-Q01</t>
        </is>
      </c>
      <c r="B511" s="19" t="inlineStr">
        <is>
          <t>PROV-M080-001</t>
        </is>
      </c>
      <c r="C511" s="17" t="inlineStr">
        <is>
          <t>Revocation of Irrevocable Deeds of Gift on the Ground of Gross Ingratitude Act No. 5 of 2017</t>
        </is>
      </c>
      <c r="D511" s="17" t="inlineStr">
        <is>
          <t>s.2</t>
        </is>
      </c>
      <c r="E511" s="17" t="inlineStr">
        <is>
          <t>2019-10</t>
        </is>
      </c>
      <c r="F511" s="17" t="inlineStr">
        <is>
          <t>Current on reference date</t>
        </is>
      </c>
      <c r="G511" s="17" t="inlineStr">
        <is>
          <t>An irrevocable deed of gift may be revoked on the ground of gross ingratitude, only on an Order made by a competent court, in an action filed by the donor of such deed against the donee to have the said deed revoked.</t>
        </is>
      </c>
      <c r="H511" s="17" t="inlineStr">
        <is>
          <t>https://documents.gov.lk/view/act/2017/4/05-2017_E.pdf</t>
        </is>
      </c>
      <c r="I511" s="17" t="inlineStr">
        <is>
          <t>Indispensable</t>
        </is>
      </c>
      <c r="J511" s="17" t="inlineStr">
        <is>
          <t>Directly answers the question. It confirms that a deed of gift expressed to be irrevocable is not beyond recall, fixes the single statutory ground (gross ingratitude), and restricts the mode of revocation to an order of a competent court in an action by the donor against the donee, so the donor cannot revoke by his own act.
TEMPORAL: In force from 2017 per the corpus (in_force_from_year 2017); no amendment_events recorded. The matter date is October 2019, so the section was in force, and the enriched deed date (March 2018) falls after the Act.</t>
        </is>
      </c>
      <c r="K511" s="17" t="inlineStr">
        <is>
          <t>[verified]</t>
        </is>
      </c>
      <c r="L511" s="21" t="n"/>
      <c r="M511" s="21" t="n"/>
      <c r="N511" s="21" t="n"/>
      <c r="O511" s="21" t="n"/>
      <c r="P511" s="21" t="n"/>
      <c r="Q511" s="17">
        <f>IF(OR(A511="",B511=""),"",IF(AND(L511&lt;&gt;"",P511&lt;&gt;"",IF(L511="Wrong citation",AND(M511&lt;&gt;"",N511&lt;&gt;""),TRUE)),"Complete","Pending"))</f>
        <v/>
      </c>
    </row>
    <row r="512">
      <c r="A512" s="19" t="inlineStr">
        <is>
          <t>M080-Q01</t>
        </is>
      </c>
      <c r="B512" s="19" t="inlineStr">
        <is>
          <t>PROV-M080-002</t>
        </is>
      </c>
      <c r="C512" s="17" t="inlineStr">
        <is>
          <t>Revocation of Irrevocable Deeds of Gift on the Ground of Gross Ingratitude Act No. 5 of 2017</t>
        </is>
      </c>
      <c r="D512" s="17" t="inlineStr">
        <is>
          <t>s.3</t>
        </is>
      </c>
      <c r="E512" s="17" t="inlineStr">
        <is>
          <t>2019-10</t>
        </is>
      </c>
      <c r="F512" s="17" t="inlineStr">
        <is>
          <t>Current on reference date</t>
        </is>
      </c>
      <c r="G512" s="17" t="inlineStr">
        <is>
          <t>Court shall not entertain an action referred to in section 2, unless it is filed within a period of ten years from the date of the execution of such deed of gift and within two years from the date on which the cause of action arose.</t>
        </is>
      </c>
      <c r="H512" s="17" t="inlineStr">
        <is>
          <t>https://documents.gov.lk/view/act/2017/4/05-2017_E.pdf</t>
        </is>
      </c>
      <c r="I512" s="17" t="inlineStr">
        <is>
          <t>Indispensable</t>
        </is>
      </c>
      <c r="J512" s="17" t="inlineStr">
        <is>
          <t>A necessary statutory condition on the remedy in section 2. Whether the gift can in fact still be revoked depends on both limbs of this time bar being satisfied, so the answer turns on the deed date and on the date the cause of action arose.
TEMPORAL: In force from 2017 per the corpus; no amendment_events recorded. Applicable at October 2019.</t>
        </is>
      </c>
      <c r="K512" s="17" t="inlineStr">
        <is>
          <t>[verified]</t>
        </is>
      </c>
      <c r="L512" s="21" t="n"/>
      <c r="M512" s="21" t="n"/>
      <c r="N512" s="21" t="n"/>
      <c r="O512" s="21" t="n"/>
      <c r="P512" s="21" t="n"/>
      <c r="Q512" s="17">
        <f>IF(OR(A512="",B512=""),"",IF(AND(L512&lt;&gt;"",P512&lt;&gt;"",IF(L512="Wrong citation",AND(M512&lt;&gt;"",N512&lt;&gt;""),TRUE)),"Complete","Pending"))</f>
        <v/>
      </c>
    </row>
    <row r="513">
      <c r="A513" s="19" t="inlineStr">
        <is>
          <t>M080-Q01</t>
        </is>
      </c>
      <c r="B513" s="19" t="inlineStr">
        <is>
          <t>PROV-M080-003</t>
        </is>
      </c>
      <c r="C513" s="17" t="inlineStr">
        <is>
          <t>Revocation of Irrevocable Deeds of Gift on the Ground of Gross Ingratitude Act No. 5 of 2017</t>
        </is>
      </c>
      <c r="D513" s="17" t="inlineStr">
        <is>
          <t>s.4 (1)</t>
        </is>
      </c>
      <c r="E513" s="17" t="inlineStr">
        <is>
          <t>2019-10</t>
        </is>
      </c>
      <c r="F513" s="17" t="inlineStr">
        <is>
          <t>Current on reference date</t>
        </is>
      </c>
      <c r="G513" s="17" t="inlineStr">
        <is>
          <t>The plaintiff in an action instituted under the provisions of this Act shall file or cause to be filed in court with the plaint, an application for registration of lis pendens</t>
        </is>
      </c>
      <c r="H513" s="17" t="inlineStr">
        <is>
          <t>https://documents.gov.lk/view/act/2017/4/05-2017_E.pdf</t>
        </is>
      </c>
      <c r="I513" s="17" t="inlineStr">
        <is>
          <t>Supporting</t>
        </is>
      </c>
      <c r="J513" s="17" t="inlineStr">
        <is>
          <t>Sets the mandatory step that accompanies the plaint in a revocation action and identifies which Registrar of Lands the application is addressed to, depending on whether the deed is registered. It shapes how the remedy is pursued but does not decide whether the gift is revocable.
TEMPORAL: In force from 2017 per the corpus; no amendment_events recorded. Applicable at October 2019.</t>
        </is>
      </c>
      <c r="K513" s="17" t="inlineStr">
        <is>
          <t>[partially_verified] The excerpt is verbatim but stops at the lead-in of section 4(1) and omits paragraphs (a) and (b), which are the words that actually fix the addressee of the lis pendens application relied on in why_relevant and in claims CL-M080-Q01-005 and CL-M080-Q01-011; the full corpus body of 5-2017/s4 does support those claims.</t>
        </is>
      </c>
      <c r="L513" s="21" t="n"/>
      <c r="M513" s="21" t="n"/>
      <c r="N513" s="21" t="n"/>
      <c r="O513" s="21" t="n"/>
      <c r="P513" s="21" t="n"/>
      <c r="Q513" s="17">
        <f>IF(OR(A513="",B513=""),"",IF(AND(L513&lt;&gt;"",P513&lt;&gt;"",IF(L513="Wrong citation",AND(M513&lt;&gt;"",N513&lt;&gt;""),TRUE)),"Complete","Pending"))</f>
        <v/>
      </c>
    </row>
    <row r="514">
      <c r="A514" s="19" t="inlineStr">
        <is>
          <t>M080-Q01</t>
        </is>
      </c>
      <c r="B514" s="19" t="inlineStr">
        <is>
          <t>PROV-M080-004</t>
        </is>
      </c>
      <c r="C514" s="17" t="inlineStr">
        <is>
          <t>Revocation of Irrevocable Deeds of Gift on the Ground of Gross Ingratitude Act No. 5 of 2017</t>
        </is>
      </c>
      <c r="D514" s="17" t="inlineStr">
        <is>
          <t>s.5</t>
        </is>
      </c>
      <c r="E514" s="17" t="inlineStr">
        <is>
          <t>2019-10</t>
        </is>
      </c>
      <c r="F514" s="17" t="inlineStr">
        <is>
          <t>Current on reference date</t>
        </is>
      </c>
      <c r="G514" s="17" t="inlineStr">
        <is>
          <t>Every action filed under the provisions of this Act shall be proceeded with and regulated by the procedure provided for in the Civil Procedure Code (Chapter 101).</t>
        </is>
      </c>
      <c r="H514" s="17" t="inlineStr">
        <is>
          <t>https://documents.gov.lk/view/act/2017/4/05-2017_E.pdf</t>
        </is>
      </c>
      <c r="I514" s="17" t="inlineStr">
        <is>
          <t>Supporting</t>
        </is>
      </c>
      <c r="J514" s="17" t="inlineStr">
        <is>
          <t>Confirms that the revocation action is an ordinary civil action governed by the Civil Procedure Code, which is how the donor must proceed once the deed cannot be cancelled consensually.
TEMPORAL: In force from 2017 per the corpus; no amendment_events recorded. Applicable at October 2019.</t>
        </is>
      </c>
      <c r="K514" s="17" t="inlineStr">
        <is>
          <t>[verified]</t>
        </is>
      </c>
      <c r="L514" s="21" t="n"/>
      <c r="M514" s="21" t="n"/>
      <c r="N514" s="21" t="n"/>
      <c r="O514" s="21" t="n"/>
      <c r="P514" s="21" t="n"/>
      <c r="Q514" s="17">
        <f>IF(OR(A514="",B514=""),"",IF(AND(L514&lt;&gt;"",P514&lt;&gt;"",IF(L514="Wrong citation",AND(M514&lt;&gt;"",N514&lt;&gt;""),TRUE)),"Complete","Pending"))</f>
        <v/>
      </c>
    </row>
    <row r="515">
      <c r="A515" s="19" t="inlineStr">
        <is>
          <t>M080-Q01</t>
        </is>
      </c>
      <c r="B515" s="19" t="inlineStr">
        <is>
          <t>PROV-M080-005</t>
        </is>
      </c>
      <c r="C515" s="17" t="inlineStr">
        <is>
          <t>Revocation of Irrevocable Deeds of Gift on the Ground of Gross Ingratitude Act No. 5 of 2017</t>
        </is>
      </c>
      <c r="D515" s="17" t="inlineStr">
        <is>
          <t>s.6</t>
        </is>
      </c>
      <c r="E515" s="17" t="inlineStr">
        <is>
          <t>2019-10</t>
        </is>
      </c>
      <c r="F515" s="17" t="inlineStr">
        <is>
          <t>Current on reference date</t>
        </is>
      </c>
      <c r="G515" s="17" t="inlineStr">
        <is>
          <t>means the Registrar of Lands appointed under the Registration of Documents Ordinance (Chapter 117) and having jurisdiction over the district in which the land which forms the subject matter of an irrevocable deed of gift which is sought to be revoked is situated</t>
        </is>
      </c>
      <c r="H515" s="17" t="inlineStr">
        <is>
          <t>https://documents.gov.lk/view/act/2017/4/05-2017_E.pdf</t>
        </is>
      </c>
      <c r="I515" s="17" t="inlineStr">
        <is>
          <t>Background</t>
        </is>
      </c>
      <c r="J515" s="17" t="inlineStr">
        <is>
          <t>Defines Registrar of Lands, the officer to whom the lis pendens application under section 4 must be addressed, and so fixes the district in which that application is made.
TEMPORAL: In force from 2017 per the corpus; no amendment_events recorded. Applicable at October 2019. The corpus body of this section is a definition list whose defined terms have been stripped out of the lead-in, so the excerpt begins mid-sentence.</t>
        </is>
      </c>
      <c r="K515" s="17" t="inlineStr">
        <is>
          <t>[partially_verified] The excerpt is verbatim in the corpus but begins mid-sentence because the extraction stripped the defined term from the lead-in, and on its own words this definition fixes the Registrar of Lands by the district in which the land lies, which is not the section 4(1)(a) test (district in which the deed is registered), so it should be read as background to section 4 rather than as the source of the addressee rule.</t>
        </is>
      </c>
      <c r="L515" s="21" t="n"/>
      <c r="M515" s="21" t="n"/>
      <c r="N515" s="21" t="n"/>
      <c r="O515" s="21" t="n"/>
      <c r="P515" s="21" t="n"/>
      <c r="Q515" s="17">
        <f>IF(OR(A515="",B515=""),"",IF(AND(L515&lt;&gt;"",P515&lt;&gt;"",IF(L515="Wrong citation",AND(M515&lt;&gt;"",N515&lt;&gt;""),TRUE)),"Complete","Pending"))</f>
        <v/>
      </c>
    </row>
    <row r="516">
      <c r="A516" s="19" t="inlineStr">
        <is>
          <t>M080-Q01</t>
        </is>
      </c>
      <c r="B516" s="19" t="inlineStr">
        <is>
          <t>PROV-M080-006</t>
        </is>
      </c>
      <c r="C516" s="17" t="inlineStr">
        <is>
          <t>Registration of Documents Ordinance No. 23 of 1927</t>
        </is>
      </c>
      <c r="D516" s="17" t="inlineStr">
        <is>
          <t>s.11 (6)</t>
        </is>
      </c>
      <c r="E516" s="17" t="inlineStr">
        <is>
          <t>2019-10</t>
        </is>
      </c>
      <c r="F516" s="17" t="inlineStr">
        <is>
          <t>Current on reference date</t>
        </is>
      </c>
      <c r="G516" s="17" t="inlineStr">
        <is>
          <t>For the purpose of the application of the doctrine of lis pendens, an action duly registered as lis pendens shall be deemed to be pending from the time of registration notwithstanding that the summons has not been served on the defendant.</t>
        </is>
      </c>
      <c r="H516" s="17" t="inlineStr">
        <is>
          <t>https://lankalaw.net/wp-content/uploads/2025/03/Registration-of-Documents-Consolidated-2024.pdf</t>
        </is>
      </c>
      <c r="I516" s="17" t="inlineStr">
        <is>
          <t>Background</t>
        </is>
      </c>
      <c r="J516" s="17" t="inlineStr">
        <is>
          <t>Background on why section 4 of the 2017 Act makes the lis pendens application compulsory: registration is what protects the donor against a disposition of the land by the donee while the revocation action is on foot.
TEMPORAL: In force from 1927; the corpus records a latest change in 1947 (Ordinance No. 13 of 1947), well before the October 2019 matter date. The corpus text of this section carries OCR damage (lis rendered as Us in several subsections); the excerpt used is taken from a clean subsection.</t>
        </is>
      </c>
      <c r="K516" s="17" t="inlineStr">
        <is>
          <t>[verified] Subsection (6) is clean of the OCR damage that affects subsections (1), (4), (5) and (7) of the corpus text, and the latest recorded change (Ordinance No. 13 of 1947) is long before the October 2019 matter date.</t>
        </is>
      </c>
      <c r="L516" s="21" t="n"/>
      <c r="M516" s="21" t="n"/>
      <c r="N516" s="21" t="n"/>
      <c r="O516" s="21" t="n"/>
      <c r="P516" s="21" t="n"/>
      <c r="Q516" s="17">
        <f>IF(OR(A516="",B516=""),"",IF(AND(L516&lt;&gt;"",P516&lt;&gt;"",IF(L516="Wrong citation",AND(M516&lt;&gt;"",N516&lt;&gt;""),TRUE)),"Complete","Pending"))</f>
        <v/>
      </c>
    </row>
    <row r="517">
      <c r="A517" s="19" t="inlineStr">
        <is>
          <t>M081-Q01</t>
        </is>
      </c>
      <c r="B517" s="19" t="inlineStr">
        <is>
          <t>PROV-M081-001</t>
        </is>
      </c>
      <c r="C517" s="17" t="inlineStr">
        <is>
          <t>Western Province Financial Statute Statute No. 6 of 1990 (Provincial Council, Western Province)</t>
        </is>
      </c>
      <c r="D517" s="17" t="inlineStr">
        <is>
          <t>s.37 (a)</t>
        </is>
      </c>
      <c r="E517" s="17" t="inlineStr">
        <is>
          <t>2019-10</t>
        </is>
      </c>
      <c r="F517" s="17" t="inlineStr">
        <is>
          <t>Current on reference date</t>
        </is>
      </c>
      <c r="G517"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 Different rates may be prescribed in respect of different classes or categories of instruments.</t>
        </is>
      </c>
      <c r="H517" s="17" t="inlineStr">
        <is>
          <t>http://www.revenuedept.wp.gov.lk/en/wp-content/uploads/2019/12/1990-6.pdf</t>
        </is>
      </c>
      <c r="I517" s="17" t="inlineStr">
        <is>
          <t>Indispensable</t>
        </is>
      </c>
      <c r="J517" s="17" t="inlineStr">
        <is>
          <t>The charging section. A Deed of Gift of land and a house at Kohuwala is an instrument relating to a transfer of immovable property situated in the Western Province, so the Western Provincial Council's stamp duty regime, administered by its Assessors, applies. It also shows that the rate itself is 'prescribed' outside the Statute.
TEMPORAL: In force from 1990 per the corpus; no amendment events recorded. Assumed to be the text in force in October 2019, but the corpus holds no later Western Province amending statute against which to confirm this.</t>
        </is>
      </c>
      <c r="K517" s="17" t="inlineStr">
        <is>
          <t>[verified] Excerpt is verbatim in 6-1990/s37 and the closing words "a stamp duty at the prescribed rate" carry the charge; (a)-(c) are lettered paragraphs, not subsections, so the "subsection: (a)" label should be read as paragraph (a).</t>
        </is>
      </c>
      <c r="L517" s="21" t="n"/>
      <c r="M517" s="21" t="n"/>
      <c r="N517" s="21" t="n"/>
      <c r="O517" s="21" t="n"/>
      <c r="P517" s="21" t="n"/>
      <c r="Q517" s="17">
        <f>IF(OR(A517="",B517=""),"",IF(AND(L517&lt;&gt;"",P517&lt;&gt;"",IF(L517="Wrong citation",AND(M517&lt;&gt;"",N517&lt;&gt;""),TRUE)),"Complete","Pending"))</f>
        <v/>
      </c>
    </row>
    <row r="518">
      <c r="A518" s="19" t="inlineStr">
        <is>
          <t>M081-Q01</t>
        </is>
      </c>
      <c r="B518" s="19" t="inlineStr">
        <is>
          <t>PROV-M081-002</t>
        </is>
      </c>
      <c r="C518" s="17" t="inlineStr">
        <is>
          <t>Western Province Financial Statute Statute No. 6 of 1990 (Provincial Council, Western Province)</t>
        </is>
      </c>
      <c r="D518" s="17" t="inlineStr">
        <is>
          <t>s.48 (1)</t>
        </is>
      </c>
      <c r="E518" s="17" t="inlineStr">
        <is>
          <t>2019-10</t>
        </is>
      </c>
      <c r="F518" s="17" t="inlineStr">
        <is>
          <t>Current on reference date</t>
        </is>
      </c>
      <c r="G518" s="17" t="inlineStr">
        <is>
          <t>(1) Where any property is conveyed by an instrument, the stamp duty with which such instrument is chargeable shall be calculated on the value of the property conveyed.</t>
        </is>
      </c>
      <c r="H518" s="17" t="inlineStr">
        <is>
          <t>http://www.revenuedept.wp.gov.lk/en/wp-content/uploads/2019/12/1990-6.pdf</t>
        </is>
      </c>
      <c r="I518" s="17" t="inlineStr">
        <is>
          <t>Indispensable</t>
        </is>
      </c>
      <c r="J518" s="17" t="inlineStr">
        <is>
          <t>Fixes the base on which duty is computed as the 'value' of the property conveyed, and so sends the Assessor to the statutory definition of 'value' rather than to the consideration or to any figure the parties choose to insert.
TEMPORAL: In force from 1990 per the corpus; no amendment events recorded; treated as in force in October 2019.</t>
        </is>
      </c>
      <c r="K518" s="17" t="inlineStr">
        <is>
          <t>[verified]</t>
        </is>
      </c>
      <c r="L518" s="21" t="n"/>
      <c r="M518" s="21" t="n"/>
      <c r="N518" s="21" t="n"/>
      <c r="O518" s="21" t="n"/>
      <c r="P518" s="21" t="n"/>
      <c r="Q518" s="17">
        <f>IF(OR(A518="",B518=""),"",IF(AND(L518&lt;&gt;"",P518&lt;&gt;"",IF(L518="Wrong citation",AND(M518&lt;&gt;"",N518&lt;&gt;""),TRUE)),"Complete","Pending"))</f>
        <v/>
      </c>
    </row>
    <row r="519">
      <c r="A519" s="19" t="inlineStr">
        <is>
          <t>M081-Q01</t>
        </is>
      </c>
      <c r="B519" s="19" t="inlineStr">
        <is>
          <t>PROV-M081-003</t>
        </is>
      </c>
      <c r="C519" s="17" t="inlineStr">
        <is>
          <t>Western Province Financial Statute Statute No. 6 of 1990 (Provincial Council, Western Province)</t>
        </is>
      </c>
      <c r="D519" s="17" t="inlineStr">
        <is>
          <t>s.106 definition of "value", paragraph (c)</t>
        </is>
      </c>
      <c r="E519" s="17" t="inlineStr">
        <is>
          <t>2019-10</t>
        </is>
      </c>
      <c r="F519" s="17" t="inlineStr">
        <is>
          <t>Current on reference date</t>
        </is>
      </c>
      <c r="G519"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t>
        </is>
      </c>
      <c r="H519" s="17" t="inlineStr">
        <is>
          <t>http://www.revenuedept.wp.gov.lk/en/wp-content/uploads/2019/12/1990-6.pdf</t>
        </is>
      </c>
      <c r="I519" s="17" t="inlineStr">
        <is>
          <t>Indispensable</t>
        </is>
      </c>
      <c r="J519" s="17" t="inlineStr">
        <is>
          <t>This is the operative rule the question asks about. For gifted immovable property acquired by the donor after 31 March 1977 the Assessor does not simply take present market value: he forms two opinions of open-market price, one at the date of acquisition (uplifted by the cost of post-acquisition improvements) and one at the date of the deed of gift, and takes the lower. The donor acquired in March 1978, so paragraph (c) and not paragraph (b) governs.
TEMPORAL: In force from 1990 per the corpus; no amendment events recorded. The 31 March 1977 cut-off is internal to the definition and is unaffected by the October 2019 matter date.</t>
        </is>
      </c>
      <c r="K519" s="17" t="inlineStr">
        <is>
          <t>[verified] Verbatim, including the corpus OCR loss of the limb numeral "(i)"; paragraph (c) is the correct limb because the donor acquired in March 1978, and paragraph (b) (acquisition on or before 31 March 1977) is correctly excluded.</t>
        </is>
      </c>
      <c r="L519" s="21" t="n"/>
      <c r="M519" s="21" t="n"/>
      <c r="N519" s="21" t="n"/>
      <c r="O519" s="21" t="n"/>
      <c r="P519" s="21" t="n"/>
      <c r="Q519" s="17">
        <f>IF(OR(A519="",B519=""),"",IF(AND(L519&lt;&gt;"",P519&lt;&gt;"",IF(L519="Wrong citation",AND(M519&lt;&gt;"",N519&lt;&gt;""),TRUE)),"Complete","Pending"))</f>
        <v/>
      </c>
    </row>
    <row r="520">
      <c r="A520" s="19" t="inlineStr">
        <is>
          <t>M081-Q01</t>
        </is>
      </c>
      <c r="B520" s="19" t="inlineStr">
        <is>
          <t>PROV-M081-004</t>
        </is>
      </c>
      <c r="C520" s="17" t="inlineStr">
        <is>
          <t>Western Province Financial Statute Statute No. 6 of 1990 (Provincial Council, Western Province)</t>
        </is>
      </c>
      <c r="D520" s="17" t="inlineStr">
        <is>
          <t>s.106 definition of "Transfer"</t>
        </is>
      </c>
      <c r="E520" s="17" t="inlineStr">
        <is>
          <t>2019-10</t>
        </is>
      </c>
      <c r="F520" s="17" t="inlineStr">
        <is>
          <t>Current on reference date</t>
        </is>
      </c>
      <c r="G520" s="17" t="inlineStr">
        <is>
          <t>means a sale and shall include a gift or exchange or a conveyance, without consideration, by an executor or administrators of an estate of a deceased to a person beneficially entitled to such property</t>
        </is>
      </c>
      <c r="H520" s="17" t="inlineStr">
        <is>
          <t>http://www.revenuedept.wp.gov.lk/en/wp-content/uploads/2019/12/1990-6.pdf</t>
        </is>
      </c>
      <c r="I520" s="17" t="inlineStr">
        <is>
          <t>Indispensable</t>
        </is>
      </c>
      <c r="J520" s="17" t="inlineStr">
        <is>
          <t>Brings a Deed of Gift inside the section 37 charge on instruments 'relating to a transfer' of immovable property: 'Transfer' is defined to include a gift. Without it the charging section would not obviously reach a gratuitous deed.
TEMPORAL: In force from 1990 per the corpus; no amendment events recorded; treated as in force in October 2019.</t>
        </is>
      </c>
      <c r="K520" s="17" t="inlineStr">
        <is>
          <t>[verified] Verbatim but the excerpt stops before the closing words of the definition, which exclude a deed of partition and an agreement to transfer; neither exclusion touches a deed of gift.</t>
        </is>
      </c>
      <c r="L520" s="21" t="n"/>
      <c r="M520" s="21" t="n"/>
      <c r="N520" s="21" t="n"/>
      <c r="O520" s="21" t="n"/>
      <c r="P520" s="21" t="n"/>
      <c r="Q520" s="17">
        <f>IF(OR(A520="",B520=""),"",IF(AND(L520&lt;&gt;"",P520&lt;&gt;"",IF(L520="Wrong citation",AND(M520&lt;&gt;"",N520&lt;&gt;""),TRUE)),"Complete","Pending"))</f>
        <v/>
      </c>
    </row>
    <row r="521">
      <c r="A521" s="19" t="inlineStr">
        <is>
          <t>M081-Q01</t>
        </is>
      </c>
      <c r="B521" s="19" t="inlineStr">
        <is>
          <t>PROV-M081-005</t>
        </is>
      </c>
      <c r="C521" s="17" t="inlineStr">
        <is>
          <t>Western Province Financial Statute Statute No. 6 of 1990 (Provincial Council, Western Province)</t>
        </is>
      </c>
      <c r="D521" s="17" t="inlineStr">
        <is>
          <t>s.106 definition of "gift"</t>
        </is>
      </c>
      <c r="E521" s="17" t="inlineStr">
        <is>
          <t>2019-10</t>
        </is>
      </c>
      <c r="F521" s="17" t="inlineStr">
        <is>
          <t>Current on reference date</t>
        </is>
      </c>
      <c r="G521" s="17" t="inlineStr">
        <is>
          <t>means a transfer by one person to another ofany movable or immovable property made voluntarily and without consideration in money or money's worth</t>
        </is>
      </c>
      <c r="H521" s="17" t="inlineStr">
        <is>
          <t>http://www.revenuedept.wp.gov.lk/en/wp-content/uploads/2019/12/1990-6.pdf</t>
        </is>
      </c>
      <c r="I521" s="17" t="inlineStr">
        <is>
          <t>Indispensable</t>
        </is>
      </c>
      <c r="J521" s="17" t="inlineStr">
        <is>
          <t>Establishes that the instrument Nimal Perera wants drawn is a 'gift' for the purposes of the Statute, which is the trigger for paragraphs (b) and (c) of the definition of 'value' rather than the ordinary open-market test in paragraph (a).
TEMPORAL: In force from 1990 per the corpus; no amendment events recorded; treated as in force in October 2019.</t>
        </is>
      </c>
      <c r="K521" s="17" t="inlineStr">
        <is>
          <t>[verified]</t>
        </is>
      </c>
      <c r="L521" s="21" t="n"/>
      <c r="M521" s="21" t="n"/>
      <c r="N521" s="21" t="n"/>
      <c r="O521" s="21" t="n"/>
      <c r="P521" s="21" t="n"/>
      <c r="Q521" s="17">
        <f>IF(OR(A521="",B521=""),"",IF(AND(L521&lt;&gt;"",P521&lt;&gt;"",IF(L521="Wrong citation",AND(M521&lt;&gt;"",N521&lt;&gt;""),TRUE)),"Complete","Pending"))</f>
        <v/>
      </c>
    </row>
    <row r="522">
      <c r="A522" s="19" t="inlineStr">
        <is>
          <t>M081-Q01</t>
        </is>
      </c>
      <c r="B522" s="19" t="inlineStr">
        <is>
          <t>PROV-M081-006</t>
        </is>
      </c>
      <c r="C522" s="17" t="inlineStr">
        <is>
          <t>Western Province Financial Statute Statute No. 6 of 1990 (Provincial Council, Western Province)</t>
        </is>
      </c>
      <c r="D522" s="17" t="inlineStr">
        <is>
          <t>s.106 definition of "Assessor" / "Provincial Assessor"</t>
        </is>
      </c>
      <c r="E522" s="17" t="inlineStr">
        <is>
          <t>2019-10</t>
        </is>
      </c>
      <c r="F522" s="17" t="inlineStr">
        <is>
          <t>Current on reference date</t>
        </is>
      </c>
      <c r="G522" s="17" t="inlineStr">
        <is>
          <t>Assessor" means a Provincial Assessor of Revenue appointed for the purposes of and includes a Senior Assessor of Revenue appointed for the purposes of this statute</t>
        </is>
      </c>
      <c r="H522" s="17" t="inlineStr">
        <is>
          <t>http://www.revenuedept.wp.gov.lk/en/wp-content/uploads/2019/12/1990-6.pdf</t>
        </is>
      </c>
      <c r="I522" s="17" t="inlineStr">
        <is>
          <t>Supporting</t>
        </is>
      </c>
      <c r="J522" s="17" t="inlineStr">
        <is>
          <t>Identifies the officer named in the question. An Assessor attached to the Western Provincial Council is a Provincial Assessor of Revenue appointed under this Statute, and it is his opinion that the definition of 'value' makes decisive.
TEMPORAL: In force from 1990 per the corpus; no amendment events recorded; treated as in force in October 2019.</t>
        </is>
      </c>
      <c r="K522" s="17" t="inlineStr">
        <is>
          <t>[verified] Verbatim, including the OCR damage around "appointed for the purposes of"; s.106 separately defines "Provincial Assessor" as an Assessor of Revenue appointed under the Statute, which is consistent.</t>
        </is>
      </c>
      <c r="L522" s="21" t="n"/>
      <c r="M522" s="21" t="n"/>
      <c r="N522" s="21" t="n"/>
      <c r="O522" s="21" t="n"/>
      <c r="P522" s="21" t="n"/>
      <c r="Q522" s="17">
        <f>IF(OR(A522="",B522=""),"",IF(AND(L522&lt;&gt;"",P522&lt;&gt;"",IF(L522="Wrong citation",AND(M522&lt;&gt;"",N522&lt;&gt;""),TRUE)),"Complete","Pending"))</f>
        <v/>
      </c>
    </row>
    <row r="523">
      <c r="A523" s="19" t="inlineStr">
        <is>
          <t>M081-Q01</t>
        </is>
      </c>
      <c r="B523" s="19" t="inlineStr">
        <is>
          <t>PROV-M081-007</t>
        </is>
      </c>
      <c r="C523" s="17" t="inlineStr">
        <is>
          <t>Western Province Financial Statute Statute No. 6 of 1990 (Provincial Council, Western Province)</t>
        </is>
      </c>
      <c r="D523" s="17" t="inlineStr">
        <is>
          <t>s.62</t>
        </is>
      </c>
      <c r="E523" s="17" t="inlineStr">
        <is>
          <t>2019-10</t>
        </is>
      </c>
      <c r="F523" s="17" t="inlineStr">
        <is>
          <t>Current on reference date</t>
        </is>
      </c>
      <c r="G523" s="17" t="inlineStr">
        <is>
          <t>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t>
        </is>
      </c>
      <c r="H523" s="17" t="inlineStr">
        <is>
          <t>http://www.revenuedept.wp.gov.lk/en/wp-content/uploads/2019/12/1990-6.pdf</t>
        </is>
      </c>
      <c r="I523" s="17" t="inlineStr">
        <is>
          <t>Supporting</t>
        </is>
      </c>
      <c r="J523" s="17" t="inlineStr">
        <is>
          <t>The adjudication route by which the Assessor is formally asked to value the property and determine the duty on the draft or executed Deed of Gift, and the source of the written determination.
TEMPORAL: In force from 1990 per the corpus; no amendment events recorded; treated as in force in October 2019. The adjudication fee figure may have been altered by later provincial instruments that are not in the corpus.</t>
        </is>
      </c>
      <c r="K523" s="17" t="inlineStr">
        <is>
          <t>[partially_verified] Wording is verbatim and the role is correctly supporting, but two corrections: adjudication under s.62 is optional (it runs only where the person bringing the instrument applies for the Assessor’s opinion), and the Rs.250 fee inside the excerpt cannot be confirmed as the October 2019 figure from this corpus.</t>
        </is>
      </c>
      <c r="L523" s="21" t="n"/>
      <c r="M523" s="21" t="n"/>
      <c r="N523" s="21" t="n"/>
      <c r="O523" s="21" t="n"/>
      <c r="P523" s="21" t="n"/>
      <c r="Q523" s="17">
        <f>IF(OR(A523="",B523=""),"",IF(AND(L523&lt;&gt;"",P523&lt;&gt;"",IF(L523="Wrong citation",AND(M523&lt;&gt;"",N523&lt;&gt;""),TRUE)),"Complete","Pending"))</f>
        <v/>
      </c>
    </row>
    <row r="524">
      <c r="A524" s="19" t="inlineStr">
        <is>
          <t>M081-Q01</t>
        </is>
      </c>
      <c r="B524" s="19" t="inlineStr">
        <is>
          <t>PROV-M081-008</t>
        </is>
      </c>
      <c r="C524" s="17" t="inlineStr">
        <is>
          <t>Western Province Financial Statute Statute No. 6 of 1990 (Provincial Council, Western Province)</t>
        </is>
      </c>
      <c r="D524" s="17" t="inlineStr">
        <is>
          <t>s.63</t>
        </is>
      </c>
      <c r="E524" s="17" t="inlineStr">
        <is>
          <t>2019-10</t>
        </is>
      </c>
      <c r="F524" s="17" t="inlineStr">
        <is>
          <t>Current on reference date</t>
        </is>
      </c>
      <c r="G524" s="17" t="inlineStr">
        <is>
          <t>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t>
        </is>
      </c>
      <c r="H524" s="17" t="inlineStr">
        <is>
          <t>http://www.revenuedept.wp.gov.lk/en/wp-content/uploads/2019/12/1990-6.pdf</t>
        </is>
      </c>
      <c r="I524" s="17" t="inlineStr">
        <is>
          <t>Supporting</t>
        </is>
      </c>
      <c r="J524" s="17" t="inlineStr">
        <is>
          <t>Explains how the Assessor gathers the material for his opinion: he can call for the 1978 deed of purchase, building plans, bills and receipts for the cost of construction, and evidence of current market price.
TEMPORAL: In force from 1990 per the corpus; no amendment events recorded; treated as in force in October 2019.</t>
        </is>
      </c>
      <c r="K524" s="17" t="inlineStr">
        <is>
          <t>[verified] Excerpt is verbatim; it stops before the proviso relieving a person who furnishes evidence from penalty, which does not affect the valuation point.</t>
        </is>
      </c>
      <c r="L524" s="21" t="n"/>
      <c r="M524" s="21" t="n"/>
      <c r="N524" s="21" t="n"/>
      <c r="O524" s="21" t="n"/>
      <c r="P524" s="21" t="n"/>
      <c r="Q524" s="17">
        <f>IF(OR(A524="",B524=""),"",IF(AND(L524&lt;&gt;"",P524&lt;&gt;"",IF(L524="Wrong citation",AND(M524&lt;&gt;"",N524&lt;&gt;""),TRUE)),"Complete","Pending"))</f>
        <v/>
      </c>
    </row>
    <row r="525">
      <c r="A525" s="19" t="inlineStr">
        <is>
          <t>M081-Q01</t>
        </is>
      </c>
      <c r="B525" s="19" t="inlineStr">
        <is>
          <t>PROV-M081-009</t>
        </is>
      </c>
      <c r="C525" s="17" t="inlineStr">
        <is>
          <t>Western Province Financial Statute Statute No. 6 of 1990 (Provincial Council, Western Province)</t>
        </is>
      </c>
      <c r="D525" s="17" t="inlineStr">
        <is>
          <t>s.64 (1)</t>
        </is>
      </c>
      <c r="E525" s="17" t="inlineStr">
        <is>
          <t>2019-10</t>
        </is>
      </c>
      <c r="F525" s="17" t="inlineStr">
        <is>
          <t>Current on reference date</t>
        </is>
      </c>
      <c r="G525" s="17" t="inlineStr">
        <is>
          <t>(1) The Assessor shall certify by endorsement on any instrument brought to him under Section 62 that any stamp duty with which such instrument is chargeable has been paid or that such instrument is not chargeable with stamp duty.</t>
        </is>
      </c>
      <c r="H525" s="17" t="inlineStr">
        <is>
          <t>http://www.revenuedept.wp.gov.lk/en/wp-content/uploads/2019/12/1990-6.pdf</t>
        </is>
      </c>
      <c r="I525" s="17" t="inlineStr">
        <is>
          <t>Supporting</t>
        </is>
      </c>
      <c r="J525" s="17" t="inlineStr">
        <is>
          <t>Completes the adjudication procedure: once the value is settled and the duty paid, the Assessor endorses the instrument. Supporting context for how the Assessor's valuation is given effect.
TEMPORAL: In force from 1990 per the corpus; no amendment events recorded; treated as in force in October 2019.</t>
        </is>
      </c>
      <c r="K525" s="17" t="inlineStr">
        <is>
          <t>[verified]</t>
        </is>
      </c>
      <c r="L525" s="21" t="n"/>
      <c r="M525" s="21" t="n"/>
      <c r="N525" s="21" t="n"/>
      <c r="O525" s="21" t="n"/>
      <c r="P525" s="21" t="n"/>
      <c r="Q525" s="17">
        <f>IF(OR(A525="",B525=""),"",IF(AND(L525&lt;&gt;"",P525&lt;&gt;"",IF(L525="Wrong citation",AND(M525&lt;&gt;"",N525&lt;&gt;""),TRUE)),"Complete","Pending"))</f>
        <v/>
      </c>
    </row>
    <row r="526">
      <c r="A526" s="19" t="inlineStr">
        <is>
          <t>M081-Q01</t>
        </is>
      </c>
      <c r="B526" s="19" t="inlineStr">
        <is>
          <t>PROV-M081-010</t>
        </is>
      </c>
      <c r="C526" s="17" t="inlineStr">
        <is>
          <t>Western Province Financial Statute Statute No. 6 of 1990 (Provincial Council, Western Province)</t>
        </is>
      </c>
      <c r="D526" s="17" t="inlineStr">
        <is>
          <t>s.78 (2)</t>
        </is>
      </c>
      <c r="E526" s="17" t="inlineStr">
        <is>
          <t>2019-10</t>
        </is>
      </c>
      <c r="F526" s="17" t="inlineStr">
        <is>
          <t>Current on reference date</t>
        </is>
      </c>
      <c r="G526" s="17" t="inlineStr">
        <is>
          <t>Every notary public who attests an instrument of conveyance shall before doing SO take all reasonable steps to satisfy himself that the value on which the stamp duty is paid represents the value of the property conveyed.</t>
        </is>
      </c>
      <c r="H526" s="17" t="inlineStr">
        <is>
          <t>http://www.revenuedept.wp.gov.lk/en/wp-content/uploads/2019/12/1990-6.pdf</t>
        </is>
      </c>
      <c r="I526" s="17" t="inlineStr">
        <is>
          <t>Background</t>
        </is>
      </c>
      <c r="J526" s="17" t="inlineStr">
        <is>
          <t>Background on the drafting notary's own duty. The instructing lawyer must satisfy himself that the value on which duty is paid is the statutory value, which is why the paragraph (c) computation matters at the drafting stage and not only when the Assessor looks at the deed.
TEMPORAL: In force from 1990 per the corpus; no amendment events recorded; treated as in force in October 2019.</t>
        </is>
      </c>
      <c r="K526" s="17" t="inlineStr">
        <is>
          <t>[verified]</t>
        </is>
      </c>
      <c r="L526" s="21" t="n"/>
      <c r="M526" s="21" t="n"/>
      <c r="N526" s="21" t="n"/>
      <c r="O526" s="21" t="n"/>
      <c r="P526" s="21" t="n"/>
      <c r="Q526" s="17">
        <f>IF(OR(A526="",B526=""),"",IF(AND(L526&lt;&gt;"",P526&lt;&gt;"",IF(L526="Wrong citation",AND(M526&lt;&gt;"",N526&lt;&gt;""),TRUE)),"Complete","Pending"))</f>
        <v/>
      </c>
    </row>
    <row r="527">
      <c r="A527" s="19" t="inlineStr">
        <is>
          <t>M081-Q01</t>
        </is>
      </c>
      <c r="B527" s="19" t="inlineStr">
        <is>
          <t>PROV-M081-012</t>
        </is>
      </c>
      <c r="C527" s="17" t="inlineStr">
        <is>
          <t>Stamp Duty (Special Provisions) Act Act No. 12 of 2006</t>
        </is>
      </c>
      <c r="D527" s="17" t="inlineStr">
        <is>
          <t>s.13</t>
        </is>
      </c>
      <c r="E527" s="17" t="inlineStr">
        <is>
          <t>2019-10</t>
        </is>
      </c>
      <c r="F527" s="17" t="inlineStr">
        <is>
          <t>Current on reference date</t>
        </is>
      </c>
      <c r="G527"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 and the provisions of this Act shall prevail.</t>
        </is>
      </c>
      <c r="H527" s="17" t="inlineStr">
        <is>
          <t>https://www.ird.gov.lk/en/Type%20of%20Taxes/Stamp%20Duty_Acts/SDActNo.12%5BE%5D2006ConsolFinal.pdf</t>
        </is>
      </c>
      <c r="I527" s="17" t="inlineStr">
        <is>
          <t>Background</t>
        </is>
      </c>
      <c r="J527" s="17" t="inlineStr">
        <is>
          <t>Background. The national stamp duty statute expressly carves instruments relating to the transfer of immovable property out of the regime it displaces, which is consistent with a Deed of Gift of Kohuwala land being dealt with by the Western Provincial Council's Assessor under Statute No. 6 of 1990 rather than by the Commissioner-General under the 2006 Act.
TEMPORAL: In force from 2006 per the corpus; no amendment events recorded; in force at October 2019.</t>
        </is>
      </c>
      <c r="K527" s="17" t="inlineStr">
        <is>
          <t>[verified]</t>
        </is>
      </c>
      <c r="L527" s="21" t="n"/>
      <c r="M527" s="21" t="n"/>
      <c r="N527" s="21" t="n"/>
      <c r="O527" s="21" t="n"/>
      <c r="P527" s="21" t="n"/>
      <c r="Q527" s="17">
        <f>IF(OR(A527="",B527=""),"",IF(AND(L527&lt;&gt;"",P527&lt;&gt;"",IF(L527="Wrong citation",AND(M527&lt;&gt;"",N527&lt;&gt;""),TRUE)),"Complete","Pending"))</f>
        <v/>
      </c>
    </row>
    <row r="528">
      <c r="A528" s="19" t="inlineStr">
        <is>
          <t>M084-Q01</t>
        </is>
      </c>
      <c r="B528" s="19" t="inlineStr">
        <is>
          <t>PROV-M084-001</t>
        </is>
      </c>
      <c r="C528" s="17" t="inlineStr">
        <is>
          <t>Notaries (Amendment) Act No. 31 of 2022</t>
        </is>
      </c>
      <c r="D528" s="17" t="inlineStr">
        <is>
          <t>s.16 (6)</t>
        </is>
      </c>
      <c r="E528" s="17" t="inlineStr">
        <is>
          <t>2019-10</t>
        </is>
      </c>
      <c r="F528" s="17" t="inlineStr">
        <is>
          <t>Current on reference date</t>
        </is>
      </c>
      <c r="G528" s="17" t="inlineStr">
        <is>
          <t>in rule (9) thereof, by the substitution for the words, "He shall not authenticate or attest any deed or instrument unless the person executing the same be known to him or to at least two of the attesting witnesses thereto;"</t>
        </is>
      </c>
      <c r="H528" s="17" t="inlineStr">
        <is>
          <t>data/legal-sources/library/finalized/1-1907-notaries-ordinance/31-2022-notaries-ordinance-amendment.json</t>
        </is>
      </c>
      <c r="I528" s="17" t="inlineStr">
        <is>
          <t>Indispensable</t>
        </is>
      </c>
      <c r="J528" s="17" t="inlineStr">
        <is>
          <t>This amending subsection recites verbatim the opening words of rule (9) of section 31 of the Notaries Ordinance as they stood immediately before the 2022 substitution, and therefore as they stood at the matter reference date. Those words are the operative rule for this question: a notary may attest only where the executant is known to him, or is known to at least two of the attesting witnesses.
TEMPORAL: Act No. 31 of 2022 was itself not in force in October 2019. What is recorded and relied on here is the wording it quotes as the wording it replaced, which is the rule (9) text in force at the matter reference date. The replacing wording (identity by inspection of a national identity card, passport bio-page or driving licence) came into force only in 2022 and must not be applied to this matter. This is the one entry in the map where the section_id points at an instrument later than the matter date; it is recorded this way because the corpus holds no pre-2022 edition of section 31.</t>
        </is>
      </c>
      <c r="K528" s="17" t="inlineStr">
        <is>
          <t>[partially_verified] Wording confirmed verbatim in 31-2022/s16(6), and the recited words are indeed the rule (9) opening words replaced in 2022, so the substantive law relied on is right for October 2019; the entry is only partially verified because the section_id and act_id point to a 2022 amending Act that was not itself in force at the matter reference date, and a lawyer should confirm the 2019 text from a pre-2022 edition.</t>
        </is>
      </c>
      <c r="L528" s="21" t="n"/>
      <c r="M528" s="21" t="n"/>
      <c r="N528" s="21" t="n"/>
      <c r="O528" s="21" t="n"/>
      <c r="P528" s="21" t="n"/>
      <c r="Q528" s="17">
        <f>IF(OR(A528="",B528=""),"",IF(AND(L528&lt;&gt;"",P528&lt;&gt;"",IF(L528="Wrong citation",AND(M528&lt;&gt;"",N528&lt;&gt;""),TRUE)),"Complete","Pending"))</f>
        <v/>
      </c>
    </row>
    <row r="529">
      <c r="A529" s="19" t="inlineStr">
        <is>
          <t>M084-Q01</t>
        </is>
      </c>
      <c r="B529" s="19" t="inlineStr">
        <is>
          <t>PROV-M084-003</t>
        </is>
      </c>
      <c r="C529" s="17" t="inlineStr">
        <is>
          <t>Notaries Ordinance No. 1 of 1907</t>
        </is>
      </c>
      <c r="D529" s="17" t="inlineStr">
        <is>
          <t>s.31 rule (9), witness-acquaintance and declaration limb</t>
        </is>
      </c>
      <c r="E529" s="17" t="inlineStr">
        <is>
          <t>2019-10</t>
        </is>
      </c>
      <c r="F529" s="17" t="inlineStr">
        <is>
          <t>Current on reference date</t>
        </is>
      </c>
      <c r="G529"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529" s="17" t="inlineStr">
        <is>
          <t>https://www.rgd.gov.lk/web/images/ActsPDF/notary/Notaries-English.pdf</t>
        </is>
      </c>
      <c r="I529" s="17" t="inlineStr">
        <is>
          <t>Indispensable</t>
        </is>
      </c>
      <c r="J529" s="17" t="inlineStr">
        <is>
          <t>Where the notary does not know the executant and proceeds on the witnesses, this limb obliges him to satisfy himself that the attesting witnesses are of good repute and are well acquainted with the executant and know his proper name, occupation and residence, and to have the witnesses sign a declaration to that effect. It is stated of the witnesses in the plural, so one acquainted witness is not enough.
TEMPORAL: This limb was in force at the matter reference date. The only change made to it since is by Act No. 6 of 2024, s.3(3), which substituted the words "he shall" for the introductory words "and in the latter case, he shall". That change is verbal and does not alter the substance relied on. In October 2019 the limb read with the introductory words "and in the latter case,", which tied it to the situation where the notary relies on the witnesses rather than on his own knowledge, which is this matter.</t>
        </is>
      </c>
      <c r="K529" s="17" t="inlineStr">
        <is>
          <t>[partially_verified] Excerpt confirmed verbatim against the consolidated (post-2024) text, and the substance was in force in October 2019, but the quoted words are not the 2019 wording exactly: until Act No. 6 of 2024 s.3(3) the limb opened "and in the latter case, he shall satisfy himself", which the map's temporal_note states correctly.</t>
        </is>
      </c>
      <c r="L529" s="21" t="n"/>
      <c r="M529" s="21" t="n"/>
      <c r="N529" s="21" t="n"/>
      <c r="O529" s="21" t="n"/>
      <c r="P529" s="21" t="n"/>
      <c r="Q529" s="17">
        <f>IF(OR(A529="",B529=""),"",IF(AND(L529&lt;&gt;"",P529&lt;&gt;"",IF(L529="Wrong citation",AND(M529&lt;&gt;"",N529&lt;&gt;""),TRUE)),"Complete","Pending"))</f>
        <v/>
      </c>
    </row>
    <row r="530">
      <c r="A530" s="19" t="inlineStr">
        <is>
          <t>M084-Q01</t>
        </is>
      </c>
      <c r="B530" s="19" t="inlineStr">
        <is>
          <t>PROV-M084-004</t>
        </is>
      </c>
      <c r="C530" s="17" t="inlineStr">
        <is>
          <t>Notaries Ordinance No. 1 of 1907</t>
        </is>
      </c>
      <c r="D530" s="17" t="inlineStr">
        <is>
          <t>s.31 rule (13)</t>
        </is>
      </c>
      <c r="E530" s="17" t="inlineStr">
        <is>
          <t>2019-10</t>
        </is>
      </c>
      <c r="F530" s="17" t="inlineStr">
        <is>
          <t>Current on reference date</t>
        </is>
      </c>
      <c r="G530" s="17" t="inlineStr">
        <is>
          <t>He shall not authenticate or attest any deed or instrument to which he is a party.</t>
        </is>
      </c>
      <c r="H530" s="17" t="inlineStr">
        <is>
          <t>https://www.rgd.gov.lk/web/images/ActsPDF/notary/Notaries-English.pdf</t>
        </is>
      </c>
      <c r="I530" s="17" t="inlineStr">
        <is>
          <t>Indispensable</t>
        </is>
      </c>
      <c r="J530" s="17" t="inlineStr">
        <is>
          <t>This is the only personal disqualification the rules impose on the notary himself. It bars him where he is a party to the deed. It does not reach a case where a relative of his signs as an attesting witness, and no other rule in section 31 disqualifies a witness by reason of kinship to the notary. The rule is therefore what supports the conclusion that the fraternal relationship is not, of itself, a bar to attestation.
TEMPORAL: In force since 1907 and untouched by Acts No. 20 of 1976, No. 47 of 2011, No. 13 of 2013, No. 31 of 2022 or No. 6 of 2024 on the amendment record held in the corpus. In force at the matter reference date.</t>
        </is>
      </c>
      <c r="K530" s="17" t="inlineStr">
        <is>
          <t>[verified]</t>
        </is>
      </c>
      <c r="L530" s="21" t="n"/>
      <c r="M530" s="21" t="n"/>
      <c r="N530" s="21" t="n"/>
      <c r="O530" s="21" t="n"/>
      <c r="P530" s="21" t="n"/>
      <c r="Q530" s="17">
        <f>IF(OR(A530="",B530=""),"",IF(AND(L530&lt;&gt;"",P530&lt;&gt;"",IF(L530="Wrong citation",AND(M530&lt;&gt;"",N530&lt;&gt;""),TRUE)),"Complete","Pending"))</f>
        <v/>
      </c>
    </row>
    <row r="531">
      <c r="A531" s="19" t="inlineStr">
        <is>
          <t>M084-Q01</t>
        </is>
      </c>
      <c r="B531" s="19" t="inlineStr">
        <is>
          <t>PROV-M084-002</t>
        </is>
      </c>
      <c r="C531" s="17" t="inlineStr">
        <is>
          <t>Notaries Ordinance No. 1 of 1907</t>
        </is>
      </c>
      <c r="D531" s="17" t="inlineStr">
        <is>
          <t>s.31 rule (9), opening words (consolidated text, post-2022)</t>
        </is>
      </c>
      <c r="E531" s="17" t="inlineStr">
        <is>
          <t>2019-10</t>
        </is>
      </c>
      <c r="F531" s="17" t="inlineStr">
        <is>
          <t>Unclear</t>
        </is>
      </c>
      <c r="G531"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531" s="17" t="inlineStr">
        <is>
          <t>https://www.rgd.gov.lk/web/images/ActsPDF/notary/Notaries-English.pdf</t>
        </is>
      </c>
      <c r="I531" s="17" t="inlineStr">
        <is>
          <t>Supporting</t>
        </is>
      </c>
      <c r="J531" s="17" t="inlineStr">
        <is>
          <t>Recorded to show what rule (9) says now and to mark the difference from the text applied to this matter. The identity-document route in these words was introduced after the matter reference date and is not available to the notary in October 2019.
TEMPORAL: Substituted into section 31 by Act No. 31 of 2022, s.16(6), which is after the matter reference date of October 2019. Not applied; recorded only so the verifier can see the divergence between the corpus text and the text in force at the matter date.</t>
        </is>
      </c>
      <c r="K531" s="17" t="inlineStr">
        <is>
          <t>[verified]</t>
        </is>
      </c>
      <c r="L531" s="21" t="n"/>
      <c r="M531" s="21" t="n"/>
      <c r="N531" s="21" t="n"/>
      <c r="O531" s="21" t="n"/>
      <c r="P531" s="21" t="n"/>
      <c r="Q531" s="17">
        <f>IF(OR(A531="",B531=""),"",IF(AND(L531&lt;&gt;"",P531&lt;&gt;"",IF(L531="Wrong citation",AND(M531&lt;&gt;"",N531&lt;&gt;""),TRUE)),"Complete","Pending"))</f>
        <v/>
      </c>
    </row>
    <row r="532">
      <c r="A532" s="19" t="inlineStr">
        <is>
          <t>M084-Q01</t>
        </is>
      </c>
      <c r="B532" s="19" t="inlineStr">
        <is>
          <t>PROV-M084-005</t>
        </is>
      </c>
      <c r="C532" s="17" t="inlineStr">
        <is>
          <t>Notaries Ordinance No. 1 of 1907</t>
        </is>
      </c>
      <c r="D532" s="17" t="inlineStr">
        <is>
          <t>s.31 rule (8)</t>
        </is>
      </c>
      <c r="E532" s="17" t="inlineStr">
        <is>
          <t>2019-10</t>
        </is>
      </c>
      <c r="F532" s="17" t="inlineStr">
        <is>
          <t>Current on reference date</t>
        </is>
      </c>
      <c r="G532" s="17" t="inlineStr">
        <is>
          <t>He shall not authenticate or attest any deed or instrument to which at least two witnesses have not subscribed their signatures in letters.</t>
        </is>
      </c>
      <c r="H532" s="17" t="inlineStr">
        <is>
          <t>https://www.rgd.gov.lk/web/images/ActsPDF/notary/Notaries-English.pdf</t>
        </is>
      </c>
      <c r="I532" s="17" t="inlineStr">
        <is>
          <t>Supporting</t>
        </is>
      </c>
      <c r="J532" s="17" t="inlineStr">
        <is>
          <t>Fixes the minimum of two attesting witnesses, which is what makes the plural in the acquaintance and declaration limb bite: there must be at least two attesting witnesses, and the acquaintance requirement is stated of them collectively.
TEMPORAL: Untouched by any amending Act recorded against section 31 in the corpus. In force at the matter reference date.</t>
        </is>
      </c>
      <c r="K532" s="17" t="inlineStr">
        <is>
          <t>[verified]</t>
        </is>
      </c>
      <c r="L532" s="21" t="n"/>
      <c r="M532" s="21" t="n"/>
      <c r="N532" s="21" t="n"/>
      <c r="O532" s="21" t="n"/>
      <c r="P532" s="21" t="n"/>
      <c r="Q532" s="17">
        <f>IF(OR(A532="",B532=""),"",IF(AND(L532&lt;&gt;"",P532&lt;&gt;"",IF(L532="Wrong citation",AND(M532&lt;&gt;"",N532&lt;&gt;""),TRUE)),"Complete","Pending"))</f>
        <v/>
      </c>
    </row>
    <row r="533">
      <c r="A533" s="19" t="inlineStr">
        <is>
          <t>M084-Q01</t>
        </is>
      </c>
      <c r="B533" s="19" t="inlineStr">
        <is>
          <t>PROV-M084-006</t>
        </is>
      </c>
      <c r="C533" s="17" t="inlineStr">
        <is>
          <t>Notaries (Amendment) Act No. 6 of 2024</t>
        </is>
      </c>
      <c r="D533" s="17" t="inlineStr">
        <is>
          <t>s.3 (3) and (4)</t>
        </is>
      </c>
      <c r="E533" s="17" t="inlineStr">
        <is>
          <t>2019-10</t>
        </is>
      </c>
      <c r="F533" s="17" t="inlineStr">
        <is>
          <t>Unclear</t>
        </is>
      </c>
      <c r="G533" s="17" t="inlineStr">
        <is>
          <t>in rule (9) thereof, by the substitution for the words "and in the latter case, he shall", of the words, "he shall"; (4) by the repeal of rule (10) thereof;</t>
        </is>
      </c>
      <c r="H533" s="17" t="inlineStr">
        <is>
          <t>data/legal-sources/library/finalized/1-1907-notaries-ordinance/6-2024-notaries-ordinance-amendment.json</t>
        </is>
      </c>
      <c r="I533" s="17" t="inlineStr">
        <is>
          <t>Supporting</t>
        </is>
      </c>
      <c r="J533" s="17" t="inlineStr">
        <is>
          <t>Evidence of how rule (9) read before 2024: the acquaintance and declaration limb was introduced by the words "and in the latter case,", tying it to the case where the notary relies on the witnesses rather than his own knowledge. It also shows that a separate rule (10) existed at the matter reference date and was repealed only in 2024.
TEMPORAL: A 2024 amending section, later than the matter reference date. Recorded only as the corpus evidence for the wording of rule (9) before 2024 and for the existence of a then rule (10). Not applied as law to this matter.</t>
        </is>
      </c>
      <c r="K533" s="17" t="inlineStr">
        <is>
          <t>[verified]</t>
        </is>
      </c>
      <c r="L533" s="21" t="n"/>
      <c r="M533" s="21" t="n"/>
      <c r="N533" s="21" t="n"/>
      <c r="O533" s="21" t="n"/>
      <c r="P533" s="21" t="n"/>
      <c r="Q533" s="17">
        <f>IF(OR(A533="",B533=""),"",IF(AND(L533&lt;&gt;"",P533&lt;&gt;"",IF(L533="Wrong citation",AND(M533&lt;&gt;"",N533&lt;&gt;""),TRUE)),"Complete","Pending"))</f>
        <v/>
      </c>
    </row>
    <row r="534">
      <c r="A534" s="19" t="inlineStr">
        <is>
          <t>M087-Q01</t>
        </is>
      </c>
      <c r="B534" s="19" t="inlineStr">
        <is>
          <t>PROV-M087-001</t>
        </is>
      </c>
      <c r="C534" s="17" t="inlineStr">
        <is>
          <t>Matrimonial Rights and Inheritance Ordinance No. 15 of 1876</t>
        </is>
      </c>
      <c r="D534" s="17" t="inlineStr">
        <is>
          <t>s.21 (1)</t>
        </is>
      </c>
      <c r="E534" s="17" t="inlineStr">
        <is>
          <t>2019-04</t>
        </is>
      </c>
      <c r="F534" s="17" t="inlineStr">
        <is>
          <t>Current on reference date</t>
        </is>
      </c>
      <c r="G534" s="17" t="inlineStr">
        <is>
          <t>Inheritance ab interstate to the immovable property in Sri Lanka of a person deceased shall be governed and regulated by the following provisions of this Ordinance wherever such person may have or have had his actual or matrimonial domicile.</t>
        </is>
      </c>
      <c r="H534" s="17" t="inlineStr">
        <is>
          <t>https://lankalaw.net/wp-content/uploads/2024/03/mrai69364.pdf</t>
        </is>
      </c>
      <c r="I534" s="17" t="inlineStr">
        <is>
          <t>Indispensable</t>
        </is>
      </c>
      <c r="J534" s="17" t="inlineStr">
        <is>
          <t>The matter concerns immovable property in Colombo devolving on two intestacies. This is the gateway provision that makes Part III of the Ordinance the governing law for that devolution.
TEMPORAL: In force from 1876; the corpus records no amendment event, so the text applies to the deaths in 2014 and to the reference date 2019-04.</t>
        </is>
      </c>
      <c r="K534" s="17" t="inlineStr">
        <is>
          <t>[verified]</t>
        </is>
      </c>
      <c r="L534" s="21" t="n"/>
      <c r="M534" s="21" t="n"/>
      <c r="N534" s="21" t="n"/>
      <c r="O534" s="21" t="n"/>
      <c r="P534" s="21" t="n"/>
      <c r="Q534" s="17">
        <f>IF(OR(A534="",B534=""),"",IF(AND(L534&lt;&gt;"",P534&lt;&gt;"",IF(L534="Wrong citation",AND(M534&lt;&gt;"",N534&lt;&gt;""),TRUE)),"Complete","Pending"))</f>
        <v/>
      </c>
    </row>
    <row r="535">
      <c r="A535" s="19" t="inlineStr">
        <is>
          <t>M087-Q01</t>
        </is>
      </c>
      <c r="B535" s="19" t="inlineStr">
        <is>
          <t>PROV-M087-002</t>
        </is>
      </c>
      <c r="C535" s="17" t="inlineStr">
        <is>
          <t>Matrimonial Rights and Inheritance Ordinance No. 15 of 1876</t>
        </is>
      </c>
      <c r="D535" s="17" t="inlineStr">
        <is>
          <t>s.22</t>
        </is>
      </c>
      <c r="E535" s="17" t="inlineStr">
        <is>
          <t>2019-04</t>
        </is>
      </c>
      <c r="F535" s="17" t="inlineStr">
        <is>
          <t>Current on reference date</t>
        </is>
      </c>
      <c r="G535" s="17" t="inlineStr">
        <is>
          <t>When any person shall die intestate as to any of his or her property, leaving a spouse surviving, the surviving spouse shall inherit one-half of the property of such person.</t>
        </is>
      </c>
      <c r="H535" s="17" t="inlineStr">
        <is>
          <t>https://lankalaw.net/wp-content/uploads/2024/03/mrai69364.pdf</t>
        </is>
      </c>
      <c r="I535" s="17" t="inlineStr">
        <is>
          <t>Indispensable</t>
        </is>
      </c>
      <c r="J535" s="17" t="inlineStr">
        <is>
          <t>Fixes the half share of Kamal De Silva on Kanthi Perera's intestacy and the half share of Anura Fernando on Amali Perera's intestacy. Both deceased left a surviving spouse.
TEMPORAL: In force from 1876; no amendment event recorded in the corpus. Applies to both deaths in 2014.</t>
        </is>
      </c>
      <c r="K535" s="17" t="inlineStr">
        <is>
          <t>[verified]</t>
        </is>
      </c>
      <c r="L535" s="21" t="n"/>
      <c r="M535" s="21" t="n"/>
      <c r="N535" s="21" t="n"/>
      <c r="O535" s="21" t="n"/>
      <c r="P535" s="21" t="n"/>
      <c r="Q535" s="17">
        <f>IF(OR(A535="",B535=""),"",IF(AND(L535&lt;&gt;"",P535&lt;&gt;"",IF(L535="Wrong citation",AND(M535&lt;&gt;"",N535&lt;&gt;""),TRUE)),"Complete","Pending"))</f>
        <v/>
      </c>
    </row>
    <row r="536">
      <c r="A536" s="19" t="inlineStr">
        <is>
          <t>M087-Q01</t>
        </is>
      </c>
      <c r="B536" s="19" t="inlineStr">
        <is>
          <t>PROV-M087-004</t>
        </is>
      </c>
      <c r="C536" s="17" t="inlineStr">
        <is>
          <t>Matrimonial Rights and Inheritance Ordinance No. 15 of 1876</t>
        </is>
      </c>
      <c r="D536" s="17" t="inlineStr">
        <is>
          <t>s.24</t>
        </is>
      </c>
      <c r="E536" s="17" t="inlineStr">
        <is>
          <t>2019-04</t>
        </is>
      </c>
      <c r="F536" s="17" t="inlineStr">
        <is>
          <t>Current on reference date</t>
        </is>
      </c>
      <c r="G536" s="17" t="inlineStr">
        <is>
          <t>Children, grandchildren, and remoter descendants are preferent to all others in the estate of the parents; all the children take equally per capita, but the children or remoter issue of a deceased child take per stirpes or by representation.</t>
        </is>
      </c>
      <c r="H536" s="17" t="inlineStr">
        <is>
          <t>https://lankalaw.net/wp-content/uploads/2024/03/mrai69364.pdf</t>
        </is>
      </c>
      <c r="I536" s="17" t="inlineStr">
        <is>
          <t>Indispensable</t>
        </is>
      </c>
      <c r="J536" s="17" t="inlineStr">
        <is>
          <t>Gives Kanthi Perera's three surviving children, Amali, Anusha and Anuk, the half not taken by the surviving spouse, in equal per capita shares. It also confirms that a child of an earlier marriage takes equally with the children of the later marriage.
TEMPORAL: In force from 1876; no amendment event recorded in the corpus.</t>
        </is>
      </c>
      <c r="K536" s="17" t="inlineStr">
        <is>
          <t>[verified]</t>
        </is>
      </c>
      <c r="L536" s="21" t="n"/>
      <c r="M536" s="21" t="n"/>
      <c r="N536" s="21" t="n"/>
      <c r="O536" s="21" t="n"/>
      <c r="P536" s="21" t="n"/>
      <c r="Q536" s="17">
        <f>IF(OR(A536="",B536=""),"",IF(AND(L536&lt;&gt;"",P536&lt;&gt;"",IF(L536="Wrong citation",AND(M536&lt;&gt;"",N536&lt;&gt;""),TRUE)),"Complete","Pending"))</f>
        <v/>
      </c>
    </row>
    <row r="537">
      <c r="A537" s="19" t="inlineStr">
        <is>
          <t>M087-Q01</t>
        </is>
      </c>
      <c r="B537" s="19" t="inlineStr">
        <is>
          <t>PROV-M087-006</t>
        </is>
      </c>
      <c r="C537" s="17" t="inlineStr">
        <is>
          <t>Matrimonial Rights and Inheritance Ordinance No. 15 of 1876</t>
        </is>
      </c>
      <c r="D537" s="17" t="inlineStr">
        <is>
          <t>s.26</t>
        </is>
      </c>
      <c r="E537" s="17" t="inlineStr">
        <is>
          <t>2019-04</t>
        </is>
      </c>
      <c r="F537" s="17" t="inlineStr">
        <is>
          <t>Current on reference date</t>
        </is>
      </c>
      <c r="G537" s="17" t="inlineStr">
        <is>
          <t>Father and mother both failing, the property of the intestate goes to his brothers and sisters, whether of the whole or balf-blood, and their children and other issue by representation.</t>
        </is>
      </c>
      <c r="H537" s="17" t="inlineStr">
        <is>
          <t>https://lankalaw.net/wp-content/uploads/2024/03/mrai69364.pdf</t>
        </is>
      </c>
      <c r="I537" s="17" t="inlineStr">
        <is>
          <t>Indispensable</t>
        </is>
      </c>
      <c r="J537" s="17" t="inlineStr">
        <is>
          <t>Both of Amali Perera's parents predeceased her, so the half of her estate not taken by her surviving husband goes to her brothers and sisters. Anusha and Anuk are her half-blood siblings on the mother's side and are expressly included.
TEMPORAL: In force from 1876; no amendment event recorded in the corpus. The corpus body carries the typographical error balf-blood for half-blood; the excerpt is reproduced exactly as it stands in the corpus.</t>
        </is>
      </c>
      <c r="K537" s="17" t="inlineStr">
        <is>
          <t>[verified]</t>
        </is>
      </c>
      <c r="L537" s="21" t="n"/>
      <c r="M537" s="21" t="n"/>
      <c r="N537" s="21" t="n"/>
      <c r="O537" s="21" t="n"/>
      <c r="P537" s="21" t="n"/>
      <c r="Q537" s="17">
        <f>IF(OR(A537="",B537=""),"",IF(AND(L537&lt;&gt;"",P537&lt;&gt;"",IF(L537="Wrong citation",AND(M537&lt;&gt;"",N537&lt;&gt;""),TRUE)),"Complete","Pending"))</f>
        <v/>
      </c>
    </row>
    <row r="538">
      <c r="A538" s="19" t="inlineStr">
        <is>
          <t>M087-Q01</t>
        </is>
      </c>
      <c r="B538" s="19" t="inlineStr">
        <is>
          <t>PROV-M087-007</t>
        </is>
      </c>
      <c r="C538" s="17" t="inlineStr">
        <is>
          <t>Matrimonial Rights and Inheritance Ordinance No. 15 of 1876</t>
        </is>
      </c>
      <c r="D538" s="17" t="inlineStr">
        <is>
          <t>s.29</t>
        </is>
      </c>
      <c r="E538" s="17" t="inlineStr">
        <is>
          <t>2019-04</t>
        </is>
      </c>
      <c r="F538" s="17" t="inlineStr">
        <is>
          <t>Current on reference date</t>
        </is>
      </c>
      <c r="G538"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538" s="17" t="inlineStr">
        <is>
          <t>https://lankalaw.net/wp-content/uploads/2024/03/mrai69364.pdf</t>
        </is>
      </c>
      <c r="I538" s="17" t="inlineStr">
        <is>
          <t>Indispensable</t>
        </is>
      </c>
      <c r="J538" s="17" t="inlineStr">
        <is>
          <t>Amali Perera left no full brother or sister; her only siblings were the two half-blood siblings on her mother's side. This section, not the split in s.27, governs and gives them the whole of the collateral half, subject to there being no surviving ascendant on her father's side.
TEMPORAL: In force from 1876; no amendment event recorded in the corpus.</t>
        </is>
      </c>
      <c r="K538" s="17" t="inlineStr">
        <is>
          <t>[verified]</t>
        </is>
      </c>
      <c r="L538" s="21" t="n"/>
      <c r="M538" s="21" t="n"/>
      <c r="N538" s="21" t="n"/>
      <c r="O538" s="21" t="n"/>
      <c r="P538" s="21" t="n"/>
      <c r="Q538" s="17">
        <f>IF(OR(A538="",B538=""),"",IF(AND(L538&lt;&gt;"",P538&lt;&gt;"",IF(L538="Wrong citation",AND(M538&lt;&gt;"",N538&lt;&gt;""),TRUE)),"Complete","Pending"))</f>
        <v/>
      </c>
    </row>
    <row r="539">
      <c r="A539" s="19" t="inlineStr">
        <is>
          <t>M087-Q01</t>
        </is>
      </c>
      <c r="B539" s="19" t="inlineStr">
        <is>
          <t>PROV-M087-008</t>
        </is>
      </c>
      <c r="C539" s="17" t="inlineStr">
        <is>
          <t>Matrimonial Rights and Inheritance Ordinance No. 15 of 1876</t>
        </is>
      </c>
      <c r="D539" s="17" t="inlineStr">
        <is>
          <t>s.30</t>
        </is>
      </c>
      <c r="E539" s="17" t="inlineStr">
        <is>
          <t>2019-04</t>
        </is>
      </c>
      <c r="F539" s="17" t="inlineStr">
        <is>
          <t>Current on reference date</t>
        </is>
      </c>
      <c r="G539" s="17" t="inlineStr">
        <is>
          <t>if all those who succeed to the inheritance are equally near in degree to the intestate, they take per capita, and not per stirpes.</t>
        </is>
      </c>
      <c r="H539" s="17" t="inlineStr">
        <is>
          <t>https://lankalaw.net/wp-content/uploads/2024/03/mrai69364.pdf</t>
        </is>
      </c>
      <c r="I539" s="17" t="inlineStr">
        <is>
          <t>Indispensable</t>
        </is>
      </c>
      <c r="J539" s="17" t="inlineStr">
        <is>
          <t>Anusha and Anuk are equally near in degree to Amali Perera, so the collateral half is divided between them per capita and not by representation.
TEMPORAL: In force from 1876; no amendment event recorded in the corpus.</t>
        </is>
      </c>
      <c r="K539" s="17" t="inlineStr">
        <is>
          <t>[partially_verified] Verbatim but the excerpt drops the opening qualifier 'Except when otherwise expressly provided,', which matters because ss.25, 26 and 27 expressly provide for taking by representation.</t>
        </is>
      </c>
      <c r="L539" s="21" t="n"/>
      <c r="M539" s="21" t="n"/>
      <c r="N539" s="21" t="n"/>
      <c r="O539" s="21" t="n"/>
      <c r="P539" s="21" t="n"/>
      <c r="Q539" s="17">
        <f>IF(OR(A539="",B539=""),"",IF(AND(L539&lt;&gt;"",P539&lt;&gt;"",IF(L539="Wrong citation",AND(M539&lt;&gt;"",N539&lt;&gt;""),TRUE)),"Complete","Pending"))</f>
        <v/>
      </c>
    </row>
    <row r="540">
      <c r="A540" s="19" t="inlineStr">
        <is>
          <t>M087-Q01</t>
        </is>
      </c>
      <c r="B540" s="19" t="inlineStr">
        <is>
          <t>PROV-M087-003</t>
        </is>
      </c>
      <c r="C540" s="17" t="inlineStr">
        <is>
          <t>Matrimonial Rights and Inheritance Ordinance No. 15 of 1876</t>
        </is>
      </c>
      <c r="D540" s="17" t="inlineStr">
        <is>
          <t>s.23</t>
        </is>
      </c>
      <c r="E540" s="17" t="inlineStr">
        <is>
          <t>2019-04</t>
        </is>
      </c>
      <c r="F540" s="17" t="inlineStr">
        <is>
          <t>Current on reference date</t>
        </is>
      </c>
      <c r="G540" s="17" t="inlineStr">
        <is>
          <t>Subject to the right of the surviving spouse in the preceding section mentioned, the right of inheritance is divided in the following order as respects (a) descendants, (b) ascendants, (c) collaterals.</t>
        </is>
      </c>
      <c r="H540" s="17" t="inlineStr">
        <is>
          <t>https://lankalaw.net/wp-content/uploads/2024/03/mrai69364.pdf</t>
        </is>
      </c>
      <c r="I540" s="17" t="inlineStr">
        <is>
          <t>Supporting</t>
        </is>
      </c>
      <c r="J540" s="17" t="inlineStr">
        <is>
          <t>Sets the order in which the remaining half devolves. It links s.22 to the class provisions: s.24 for Kanthi Perera's children, and ss.25 to 29 for Amali Perera's collaterals.
TEMPORAL: In force from 1876; no amendment event recorded in the corpus.</t>
        </is>
      </c>
      <c r="K540" s="17" t="inlineStr">
        <is>
          <t>[verified]</t>
        </is>
      </c>
      <c r="L540" s="21" t="n"/>
      <c r="M540" s="21" t="n"/>
      <c r="N540" s="21" t="n"/>
      <c r="O540" s="21" t="n"/>
      <c r="P540" s="21" t="n"/>
      <c r="Q540" s="17">
        <f>IF(OR(A540="",B540=""),"",IF(AND(L540&lt;&gt;"",P540&lt;&gt;"",IF(L540="Wrong citation",AND(M540&lt;&gt;"",N540&lt;&gt;""),TRUE)),"Complete","Pending"))</f>
        <v/>
      </c>
    </row>
    <row r="541">
      <c r="A541" s="19" t="inlineStr">
        <is>
          <t>M087-Q01</t>
        </is>
      </c>
      <c r="B541" s="19" t="inlineStr">
        <is>
          <t>PROV-M087-005</t>
        </is>
      </c>
      <c r="C541" s="17" t="inlineStr">
        <is>
          <t>Matrimonial Rights and Inheritance Ordinance No. 15 of 1876</t>
        </is>
      </c>
      <c r="D541" s="17" t="inlineStr">
        <is>
          <t>s.25</t>
        </is>
      </c>
      <c r="E541" s="17" t="inlineStr">
        <is>
          <t>2019-04</t>
        </is>
      </c>
      <c r="F541" s="17" t="inlineStr">
        <is>
          <t>Current on reference date</t>
        </is>
      </c>
      <c r="G541" s="17" t="inlineStr">
        <is>
          <t>The children and remoter descendants failing, the inheritance of the deceased goes to his father and mother in case they are both alive; but if only one of the parents be alive, the surviving parent takes half</t>
        </is>
      </c>
      <c r="H541" s="17" t="inlineStr">
        <is>
          <t>https://lankalaw.net/wp-content/uploads/2024/03/mrai69364.pdf</t>
        </is>
      </c>
      <c r="I541" s="17" t="inlineStr">
        <is>
          <t>Supporting</t>
        </is>
      </c>
      <c r="J541" s="17" t="inlineStr">
        <is>
          <t>Amali Perera died issueless, so descendants fail. This section would have given a surviving parent a share, but both her parents were dead before her, which is what carries the devolution on to s.26.
TEMPORAL: In force from 1876; no amendment event recorded in the corpus.</t>
        </is>
      </c>
      <c r="K541" s="17" t="inlineStr">
        <is>
          <t>[partially_verified]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t>
        </is>
      </c>
      <c r="L541" s="21" t="n"/>
      <c r="M541" s="21" t="n"/>
      <c r="N541" s="21" t="n"/>
      <c r="O541" s="21" t="n"/>
      <c r="P541" s="21" t="n"/>
      <c r="Q541" s="17">
        <f>IF(OR(A541="",B541=""),"",IF(AND(L541&lt;&gt;"",P541&lt;&gt;"",IF(L541="Wrong citation",AND(M541&lt;&gt;"",N541&lt;&gt;""),TRUE)),"Complete","Pending"))</f>
        <v/>
      </c>
    </row>
    <row r="542">
      <c r="A542" s="19" t="inlineStr">
        <is>
          <t>M087-Q01</t>
        </is>
      </c>
      <c r="B542" s="19" t="inlineStr">
        <is>
          <t>PROV-M087-009</t>
        </is>
      </c>
      <c r="C542" s="17" t="inlineStr">
        <is>
          <t>Matrimonial Rights and Inheritance Ordinance No. 15 of 1876</t>
        </is>
      </c>
      <c r="D542" s="17" t="inlineStr">
        <is>
          <t>s.2</t>
        </is>
      </c>
      <c r="E542" s="17" t="inlineStr">
        <is>
          <t>2019-04</t>
        </is>
      </c>
      <c r="F542" s="17" t="inlineStr">
        <is>
          <t>Current on reference date</t>
        </is>
      </c>
      <c r="G542" s="17" t="inlineStr">
        <is>
          <t>Save as aforesaid, this Ordinance shall not apply to Kandyans or Muslims, or to Tamils of the Northern Province who are or may become subject to the Tesawalamai.</t>
        </is>
      </c>
      <c r="H542" s="17" t="inlineStr">
        <is>
          <t>https://lankalaw.net/wp-content/uploads/2024/03/mrai69364.pdf</t>
        </is>
      </c>
      <c r="I542" s="17" t="inlineStr">
        <is>
          <t>Supporting</t>
        </is>
      </c>
      <c r="J542" s="17" t="inlineStr">
        <is>
          <t>Sets the boundary of the Ordinance. The devolution answers hold only if the family is governed by the general law rather than by Kandyan law, Muslim law or the Tesawalamai. Nothing in the scenario suggests any of the three, and the property and the parties are in Colombo.
TEMPORAL: In force from 1876; no amendment event recorded in the corpus.</t>
        </is>
      </c>
      <c r="K542" s="17" t="inlineStr">
        <is>
          <t>[verified]</t>
        </is>
      </c>
      <c r="L542" s="21" t="n"/>
      <c r="M542" s="21" t="n"/>
      <c r="N542" s="21" t="n"/>
      <c r="O542" s="21" t="n"/>
      <c r="P542" s="21" t="n"/>
      <c r="Q542" s="17">
        <f>IF(OR(A542="",B542=""),"",IF(AND(L542&lt;&gt;"",P542&lt;&gt;"",IF(L542="Wrong citation",AND(M542&lt;&gt;"",N542&lt;&gt;""),TRUE)),"Complete","Pending"))</f>
        <v/>
      </c>
    </row>
    <row r="543">
      <c r="A543" s="19" t="inlineStr">
        <is>
          <t>M087-Q01</t>
        </is>
      </c>
      <c r="B543" s="19" t="inlineStr">
        <is>
          <t>PROV-M087-010</t>
        </is>
      </c>
      <c r="C543" s="17" t="inlineStr">
        <is>
          <t>Matrimonial Rights and Inheritance Ordinance No. 15 of 1876</t>
        </is>
      </c>
      <c r="D543" s="17" t="inlineStr">
        <is>
          <t>s.20</t>
        </is>
      </c>
      <c r="E543" s="17" t="inlineStr">
        <is>
          <t>2019-04</t>
        </is>
      </c>
      <c r="F543" s="17" t="inlineStr">
        <is>
          <t>Current on reference date</t>
        </is>
      </c>
      <c r="G543"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543" s="17" t="inlineStr">
        <is>
          <t>https://lankalaw.net/wp-content/uploads/2024/03/mrai69364.pdf</t>
        </is>
      </c>
      <c r="I543" s="17" t="inlineStr">
        <is>
          <t>Supporting</t>
        </is>
      </c>
      <c r="J543" s="17" t="inlineStr">
        <is>
          <t>Confirms that Part III applies to these estates: both Kanthi Perera and Amali Perera died in 2014 and both were married long after the proclamation of the Ordinance.
TEMPORAL: In force from 1876; no amendment event recorded in the corpus.</t>
        </is>
      </c>
      <c r="K543" s="17" t="inlineStr">
        <is>
          <t>[verified]</t>
        </is>
      </c>
      <c r="L543" s="21" t="n"/>
      <c r="M543" s="21" t="n"/>
      <c r="N543" s="21" t="n"/>
      <c r="O543" s="21" t="n"/>
      <c r="P543" s="21" t="n"/>
      <c r="Q543" s="17">
        <f>IF(OR(A543="",B543=""),"",IF(AND(L543&lt;&gt;"",P543&lt;&gt;"",IF(L543="Wrong citation",AND(M543&lt;&gt;"",N543&lt;&gt;""),TRUE)),"Complete","Pending"))</f>
        <v/>
      </c>
    </row>
    <row r="544">
      <c r="A544" s="19" t="inlineStr">
        <is>
          <t>M087-Q01</t>
        </is>
      </c>
      <c r="B544" s="19" t="inlineStr">
        <is>
          <t>PROV-M087-011</t>
        </is>
      </c>
      <c r="C544" s="17" t="inlineStr">
        <is>
          <t>Prevention of Frauds Ordinance No. 7 of 1840</t>
        </is>
      </c>
      <c r="D544" s="17" t="inlineStr">
        <is>
          <t>s.2 (1)(a)</t>
        </is>
      </c>
      <c r="E544" s="17" t="inlineStr">
        <is>
          <t>2019-04</t>
        </is>
      </c>
      <c r="F544" s="17" t="inlineStr">
        <is>
          <t>Unclear</t>
        </is>
      </c>
      <c r="G544"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544" s="17" t="inlineStr">
        <is>
          <t>https://lankalaw.net/wp-content/uploads/2025/03/Prevention-of-Frauds-Consolidated-2024.pdf</t>
        </is>
      </c>
      <c r="I544" s="17" t="inlineStr">
        <is>
          <t>Background</t>
        </is>
      </c>
      <c r="J544" s="17" t="inlineStr">
        <is>
          <t>Every inter vivos link in the pedigree, the 2000 transfer, the 2005 gift, the 2013 sale, the 2015 administrator's conveyance and the later gift by the administrator, is a notarially attested deed, because a disposition of immovable property has no force in law otherwise.
TEMPORAL: The corpus holds the consolidated text carrying the amendments by Act No. 30 of 2022 and Act No. 4 of 2024. The quoted wording therefore post-dates the matter reference date of April 2019 and all the deeds in the scenario. The underlying requirement of a written, notarially attested deed dates from 1840, but the exact wording relied on here cannot be shown from the corpus to have been in force in 2005, 2013 or 2015. Used as background only.</t>
        </is>
      </c>
      <c r="K544" s="17" t="inlineStr">
        <is>
          <t>[verified] Excerpt and temporal note both check out: the corpus body is the consolidated text with latest_change_year 2024 and amendment events for 60-1947, 30-2022 and 4-2024, so the quoted wording cannot be shown to have been in force for the 2000 to 2015 deeds; correctly confined to background.</t>
        </is>
      </c>
      <c r="L544" s="21" t="n"/>
      <c r="M544" s="21" t="n"/>
      <c r="N544" s="21" t="n"/>
      <c r="O544" s="21" t="n"/>
      <c r="P544" s="21" t="n"/>
      <c r="Q544" s="17">
        <f>IF(OR(A544="",B544=""),"",IF(AND(L544&lt;&gt;"",P544&lt;&gt;"",IF(L544="Wrong citation",AND(M544&lt;&gt;"",N544&lt;&gt;""),TRUE)),"Complete","Pending"))</f>
        <v/>
      </c>
    </row>
    <row r="545">
      <c r="A545" s="19" t="inlineStr">
        <is>
          <t>M087-Q03</t>
        </is>
      </c>
      <c r="B545" s="19" t="inlineStr">
        <is>
          <t>PROV-M087-001</t>
        </is>
      </c>
      <c r="C545" s="17" t="inlineStr">
        <is>
          <t>Matrimonial Rights and Inheritance Ordinance No. 15 of 1876</t>
        </is>
      </c>
      <c r="D545" s="17" t="inlineStr">
        <is>
          <t>s.21 (1)</t>
        </is>
      </c>
      <c r="E545" s="17" t="inlineStr">
        <is>
          <t>2019-04</t>
        </is>
      </c>
      <c r="F545" s="17" t="inlineStr">
        <is>
          <t>Current on reference date</t>
        </is>
      </c>
      <c r="G545" s="17" t="inlineStr">
        <is>
          <t>Inheritance ab interstate to the immovable property in Sri Lanka of a person deceased shall be governed and regulated by the following provisions of this Ordinance wherever such person may have or have had his actual or matrimonial domicile.</t>
        </is>
      </c>
      <c r="H545" s="17" t="inlineStr">
        <is>
          <t>https://lankalaw.net/wp-content/uploads/2024/03/mrai69364.pdf</t>
        </is>
      </c>
      <c r="I545" s="17" t="inlineStr">
        <is>
          <t>Indispensable</t>
        </is>
      </c>
      <c r="J545" s="17" t="inlineStr">
        <is>
          <t>The matter concerns immovable property in Colombo devolving on two intestacies. This is the gateway provision that makes Part III of the Ordinance the governing law for that devolution.
TEMPORAL: In force from 1876; the corpus records no amendment event, so the text applies to the deaths in 2014 and to the reference date 2019-04.</t>
        </is>
      </c>
      <c r="K545" s="17" t="inlineStr">
        <is>
          <t>[verified]</t>
        </is>
      </c>
      <c r="L545" s="21" t="n"/>
      <c r="M545" s="21" t="n"/>
      <c r="N545" s="21" t="n"/>
      <c r="O545" s="21" t="n"/>
      <c r="P545" s="21" t="n"/>
      <c r="Q545" s="17">
        <f>IF(OR(A545="",B545=""),"",IF(AND(L545&lt;&gt;"",P545&lt;&gt;"",IF(L545="Wrong citation",AND(M545&lt;&gt;"",N545&lt;&gt;""),TRUE)),"Complete","Pending"))</f>
        <v/>
      </c>
    </row>
    <row r="546">
      <c r="A546" s="19" t="inlineStr">
        <is>
          <t>M087-Q03</t>
        </is>
      </c>
      <c r="B546" s="19" t="inlineStr">
        <is>
          <t>PROV-M087-002</t>
        </is>
      </c>
      <c r="C546" s="17" t="inlineStr">
        <is>
          <t>Matrimonial Rights and Inheritance Ordinance No. 15 of 1876</t>
        </is>
      </c>
      <c r="D546" s="17" t="inlineStr">
        <is>
          <t>s.22</t>
        </is>
      </c>
      <c r="E546" s="17" t="inlineStr">
        <is>
          <t>2019-04</t>
        </is>
      </c>
      <c r="F546" s="17" t="inlineStr">
        <is>
          <t>Current on reference date</t>
        </is>
      </c>
      <c r="G546" s="17" t="inlineStr">
        <is>
          <t>When any person shall die intestate as to any of his or her property, leaving a spouse surviving, the surviving spouse shall inherit one-half of the property of such person.</t>
        </is>
      </c>
      <c r="H546" s="17" t="inlineStr">
        <is>
          <t>https://lankalaw.net/wp-content/uploads/2024/03/mrai69364.pdf</t>
        </is>
      </c>
      <c r="I546" s="17" t="inlineStr">
        <is>
          <t>Indispensable</t>
        </is>
      </c>
      <c r="J546" s="17" t="inlineStr">
        <is>
          <t>Fixes the half share of Kamal De Silva on Kanthi Perera's intestacy and the half share of Anura Fernando on Amali Perera's intestacy. Both deceased left a surviving spouse.
TEMPORAL: In force from 1876; no amendment event recorded in the corpus. Applies to both deaths in 2014.</t>
        </is>
      </c>
      <c r="K546" s="17" t="inlineStr">
        <is>
          <t>[verified]</t>
        </is>
      </c>
      <c r="L546" s="21" t="n"/>
      <c r="M546" s="21" t="n"/>
      <c r="N546" s="21" t="n"/>
      <c r="O546" s="21" t="n"/>
      <c r="P546" s="21" t="n"/>
      <c r="Q546" s="17">
        <f>IF(OR(A546="",B546=""),"",IF(AND(L546&lt;&gt;"",P546&lt;&gt;"",IF(L546="Wrong citation",AND(M546&lt;&gt;"",N546&lt;&gt;""),TRUE)),"Complete","Pending"))</f>
        <v/>
      </c>
    </row>
    <row r="547">
      <c r="A547" s="19" t="inlineStr">
        <is>
          <t>M087-Q03</t>
        </is>
      </c>
      <c r="B547" s="19" t="inlineStr">
        <is>
          <t>PROV-M087-004</t>
        </is>
      </c>
      <c r="C547" s="17" t="inlineStr">
        <is>
          <t>Matrimonial Rights and Inheritance Ordinance No. 15 of 1876</t>
        </is>
      </c>
      <c r="D547" s="17" t="inlineStr">
        <is>
          <t>s.24</t>
        </is>
      </c>
      <c r="E547" s="17" t="inlineStr">
        <is>
          <t>2019-04</t>
        </is>
      </c>
      <c r="F547" s="17" t="inlineStr">
        <is>
          <t>Current on reference date</t>
        </is>
      </c>
      <c r="G547" s="17" t="inlineStr">
        <is>
          <t>Children, grandchildren, and remoter descendants are preferent to all others in the estate of the parents; all the children take equally per capita, but the children or remoter issue of a deceased child take per stirpes or by representation.</t>
        </is>
      </c>
      <c r="H547" s="17" t="inlineStr">
        <is>
          <t>https://lankalaw.net/wp-content/uploads/2024/03/mrai69364.pdf</t>
        </is>
      </c>
      <c r="I547" s="17" t="inlineStr">
        <is>
          <t>Indispensable</t>
        </is>
      </c>
      <c r="J547" s="17" t="inlineStr">
        <is>
          <t>Gives Kanthi Perera's three surviving children, Amali, Anusha and Anuk, the half not taken by the surviving spouse, in equal per capita shares. It also confirms that a child of an earlier marriage takes equally with the children of the later marriage.
TEMPORAL: In force from 1876; no amendment event recorded in the corpus.</t>
        </is>
      </c>
      <c r="K547" s="17" t="inlineStr">
        <is>
          <t>[verified]</t>
        </is>
      </c>
      <c r="L547" s="21" t="n"/>
      <c r="M547" s="21" t="n"/>
      <c r="N547" s="21" t="n"/>
      <c r="O547" s="21" t="n"/>
      <c r="P547" s="21" t="n"/>
      <c r="Q547" s="17">
        <f>IF(OR(A547="",B547=""),"",IF(AND(L547&lt;&gt;"",P547&lt;&gt;"",IF(L547="Wrong citation",AND(M547&lt;&gt;"",N547&lt;&gt;""),TRUE)),"Complete","Pending"))</f>
        <v/>
      </c>
    </row>
    <row r="548">
      <c r="A548" s="19" t="inlineStr">
        <is>
          <t>M087-Q03</t>
        </is>
      </c>
      <c r="B548" s="19" t="inlineStr">
        <is>
          <t>PROV-M087-006</t>
        </is>
      </c>
      <c r="C548" s="17" t="inlineStr">
        <is>
          <t>Matrimonial Rights and Inheritance Ordinance No. 15 of 1876</t>
        </is>
      </c>
      <c r="D548" s="17" t="inlineStr">
        <is>
          <t>s.26</t>
        </is>
      </c>
      <c r="E548" s="17" t="inlineStr">
        <is>
          <t>2019-04</t>
        </is>
      </c>
      <c r="F548" s="17" t="inlineStr">
        <is>
          <t>Current on reference date</t>
        </is>
      </c>
      <c r="G548" s="17" t="inlineStr">
        <is>
          <t>Father and mother both failing, the property of the intestate goes to his brothers and sisters, whether of the whole or balf-blood, and their children and other issue by representation.</t>
        </is>
      </c>
      <c r="H548" s="17" t="inlineStr">
        <is>
          <t>https://lankalaw.net/wp-content/uploads/2024/03/mrai69364.pdf</t>
        </is>
      </c>
      <c r="I548" s="17" t="inlineStr">
        <is>
          <t>Indispensable</t>
        </is>
      </c>
      <c r="J548" s="17" t="inlineStr">
        <is>
          <t>Both of Amali Perera's parents predeceased her, so the half of her estate not taken by her surviving husband goes to her brothers and sisters. Anusha and Anuk are her half-blood siblings on the mother's side and are expressly included.
TEMPORAL: In force from 1876; no amendment event recorded in the corpus. The corpus body carries the typographical error balf-blood for half-blood; the excerpt is reproduced exactly as it stands in the corpus.</t>
        </is>
      </c>
      <c r="K548" s="17" t="inlineStr">
        <is>
          <t>[verified]</t>
        </is>
      </c>
      <c r="L548" s="21" t="n"/>
      <c r="M548" s="21" t="n"/>
      <c r="N548" s="21" t="n"/>
      <c r="O548" s="21" t="n"/>
      <c r="P548" s="21" t="n"/>
      <c r="Q548" s="17">
        <f>IF(OR(A548="",B548=""),"",IF(AND(L548&lt;&gt;"",P548&lt;&gt;"",IF(L548="Wrong citation",AND(M548&lt;&gt;"",N548&lt;&gt;""),TRUE)),"Complete","Pending"))</f>
        <v/>
      </c>
    </row>
    <row r="549">
      <c r="A549" s="19" t="inlineStr">
        <is>
          <t>M087-Q03</t>
        </is>
      </c>
      <c r="B549" s="19" t="inlineStr">
        <is>
          <t>PROV-M087-007</t>
        </is>
      </c>
      <c r="C549" s="17" t="inlineStr">
        <is>
          <t>Matrimonial Rights and Inheritance Ordinance No. 15 of 1876</t>
        </is>
      </c>
      <c r="D549" s="17" t="inlineStr">
        <is>
          <t>s.29</t>
        </is>
      </c>
      <c r="E549" s="17" t="inlineStr">
        <is>
          <t>2019-04</t>
        </is>
      </c>
      <c r="F549" s="17" t="inlineStr">
        <is>
          <t>Current on reference date</t>
        </is>
      </c>
      <c r="G549"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549" s="17" t="inlineStr">
        <is>
          <t>https://lankalaw.net/wp-content/uploads/2024/03/mrai69364.pdf</t>
        </is>
      </c>
      <c r="I549" s="17" t="inlineStr">
        <is>
          <t>Indispensable</t>
        </is>
      </c>
      <c r="J549" s="17" t="inlineStr">
        <is>
          <t>Amali Perera left no full brother or sister; her only siblings were the two half-blood siblings on her mother's side. This section, not the split in s.27, governs and gives them the whole of the collateral half, subject to there being no surviving ascendant on her father's side.
TEMPORAL: In force from 1876; no amendment event recorded in the corpus.</t>
        </is>
      </c>
      <c r="K549" s="17" t="inlineStr">
        <is>
          <t>[verified]</t>
        </is>
      </c>
      <c r="L549" s="21" t="n"/>
      <c r="M549" s="21" t="n"/>
      <c r="N549" s="21" t="n"/>
      <c r="O549" s="21" t="n"/>
      <c r="P549" s="21" t="n"/>
      <c r="Q549" s="17">
        <f>IF(OR(A549="",B549=""),"",IF(AND(L549&lt;&gt;"",P549&lt;&gt;"",IF(L549="Wrong citation",AND(M549&lt;&gt;"",N549&lt;&gt;""),TRUE)),"Complete","Pending"))</f>
        <v/>
      </c>
    </row>
    <row r="550">
      <c r="A550" s="19" t="inlineStr">
        <is>
          <t>M087-Q03</t>
        </is>
      </c>
      <c r="B550" s="19" t="inlineStr">
        <is>
          <t>PROV-M087-008</t>
        </is>
      </c>
      <c r="C550" s="17" t="inlineStr">
        <is>
          <t>Matrimonial Rights and Inheritance Ordinance No. 15 of 1876</t>
        </is>
      </c>
      <c r="D550" s="17" t="inlineStr">
        <is>
          <t>s.30</t>
        </is>
      </c>
      <c r="E550" s="17" t="inlineStr">
        <is>
          <t>2019-04</t>
        </is>
      </c>
      <c r="F550" s="17" t="inlineStr">
        <is>
          <t>Current on reference date</t>
        </is>
      </c>
      <c r="G550" s="17" t="inlineStr">
        <is>
          <t>if all those who succeed to the inheritance are equally near in degree to the intestate, they take per capita, and not per stirpes.</t>
        </is>
      </c>
      <c r="H550" s="17" t="inlineStr">
        <is>
          <t>https://lankalaw.net/wp-content/uploads/2024/03/mrai69364.pdf</t>
        </is>
      </c>
      <c r="I550" s="17" t="inlineStr">
        <is>
          <t>Indispensable</t>
        </is>
      </c>
      <c r="J550" s="17" t="inlineStr">
        <is>
          <t>Anusha and Anuk are equally near in degree to Amali Perera, so the collateral half is divided between them per capita and not by representation.
TEMPORAL: In force from 1876; no amendment event recorded in the corpus.</t>
        </is>
      </c>
      <c r="K550" s="17" t="inlineStr">
        <is>
          <t>[partially_verified] Verbatim but the excerpt drops the opening qualifier 'Except when otherwise expressly provided,', which matters because ss.25, 26 and 27 expressly provide for taking by representation.</t>
        </is>
      </c>
      <c r="L550" s="21" t="n"/>
      <c r="M550" s="21" t="n"/>
      <c r="N550" s="21" t="n"/>
      <c r="O550" s="21" t="n"/>
      <c r="P550" s="21" t="n"/>
      <c r="Q550" s="17">
        <f>IF(OR(A550="",B550=""),"",IF(AND(L550&lt;&gt;"",P550&lt;&gt;"",IF(L550="Wrong citation",AND(M550&lt;&gt;"",N550&lt;&gt;""),TRUE)),"Complete","Pending"))</f>
        <v/>
      </c>
    </row>
    <row r="551">
      <c r="A551" s="19" t="inlineStr">
        <is>
          <t>M087-Q03</t>
        </is>
      </c>
      <c r="B551" s="19" t="inlineStr">
        <is>
          <t>PROV-M087-003</t>
        </is>
      </c>
      <c r="C551" s="17" t="inlineStr">
        <is>
          <t>Matrimonial Rights and Inheritance Ordinance No. 15 of 1876</t>
        </is>
      </c>
      <c r="D551" s="17" t="inlineStr">
        <is>
          <t>s.23</t>
        </is>
      </c>
      <c r="E551" s="17" t="inlineStr">
        <is>
          <t>2019-04</t>
        </is>
      </c>
      <c r="F551" s="17" t="inlineStr">
        <is>
          <t>Current on reference date</t>
        </is>
      </c>
      <c r="G551" s="17" t="inlineStr">
        <is>
          <t>Subject to the right of the surviving spouse in the preceding section mentioned, the right of inheritance is divided in the following order as respects (a) descendants, (b) ascendants, (c) collaterals.</t>
        </is>
      </c>
      <c r="H551" s="17" t="inlineStr">
        <is>
          <t>https://lankalaw.net/wp-content/uploads/2024/03/mrai69364.pdf</t>
        </is>
      </c>
      <c r="I551" s="17" t="inlineStr">
        <is>
          <t>Supporting</t>
        </is>
      </c>
      <c r="J551" s="17" t="inlineStr">
        <is>
          <t>Sets the order in which the remaining half devolves. It links s.22 to the class provisions: s.24 for Kanthi Perera's children, and ss.25 to 29 for Amali Perera's collaterals.
TEMPORAL: In force from 1876; no amendment event recorded in the corpus.</t>
        </is>
      </c>
      <c r="K551" s="17" t="inlineStr">
        <is>
          <t>[verified]</t>
        </is>
      </c>
      <c r="L551" s="21" t="n"/>
      <c r="M551" s="21" t="n"/>
      <c r="N551" s="21" t="n"/>
      <c r="O551" s="21" t="n"/>
      <c r="P551" s="21" t="n"/>
      <c r="Q551" s="17">
        <f>IF(OR(A551="",B551=""),"",IF(AND(L551&lt;&gt;"",P551&lt;&gt;"",IF(L551="Wrong citation",AND(M551&lt;&gt;"",N551&lt;&gt;""),TRUE)),"Complete","Pending"))</f>
        <v/>
      </c>
    </row>
    <row r="552">
      <c r="A552" s="19" t="inlineStr">
        <is>
          <t>M087-Q03</t>
        </is>
      </c>
      <c r="B552" s="19" t="inlineStr">
        <is>
          <t>PROV-M087-005</t>
        </is>
      </c>
      <c r="C552" s="17" t="inlineStr">
        <is>
          <t>Matrimonial Rights and Inheritance Ordinance No. 15 of 1876</t>
        </is>
      </c>
      <c r="D552" s="17" t="inlineStr">
        <is>
          <t>s.25</t>
        </is>
      </c>
      <c r="E552" s="17" t="inlineStr">
        <is>
          <t>2019-04</t>
        </is>
      </c>
      <c r="F552" s="17" t="inlineStr">
        <is>
          <t>Current on reference date</t>
        </is>
      </c>
      <c r="G552" s="17" t="inlineStr">
        <is>
          <t>The children and remoter descendants failing, the inheritance of the deceased goes to his father and mother in case they are both alive; but if only one of the parents be alive, the surviving parent takes half</t>
        </is>
      </c>
      <c r="H552" s="17" t="inlineStr">
        <is>
          <t>https://lankalaw.net/wp-content/uploads/2024/03/mrai69364.pdf</t>
        </is>
      </c>
      <c r="I552" s="17" t="inlineStr">
        <is>
          <t>Supporting</t>
        </is>
      </c>
      <c r="J552" s="17" t="inlineStr">
        <is>
          <t>Amali Perera died issueless, so descendants fail. This section would have given a surviving parent a share, but both her parents were dead before her, which is what carries the devolution on to s.26.
TEMPORAL: In force from 1876; no amendment event recorded in the corpus.</t>
        </is>
      </c>
      <c r="K552" s="17" t="inlineStr">
        <is>
          <t>[partially_verified]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t>
        </is>
      </c>
      <c r="L552" s="21" t="n"/>
      <c r="M552" s="21" t="n"/>
      <c r="N552" s="21" t="n"/>
      <c r="O552" s="21" t="n"/>
      <c r="P552" s="21" t="n"/>
      <c r="Q552" s="17">
        <f>IF(OR(A552="",B552=""),"",IF(AND(L552&lt;&gt;"",P552&lt;&gt;"",IF(L552="Wrong citation",AND(M552&lt;&gt;"",N552&lt;&gt;""),TRUE)),"Complete","Pending"))</f>
        <v/>
      </c>
    </row>
    <row r="553">
      <c r="A553" s="19" t="inlineStr">
        <is>
          <t>M087-Q03</t>
        </is>
      </c>
      <c r="B553" s="19" t="inlineStr">
        <is>
          <t>PROV-M087-009</t>
        </is>
      </c>
      <c r="C553" s="17" t="inlineStr">
        <is>
          <t>Matrimonial Rights and Inheritance Ordinance No. 15 of 1876</t>
        </is>
      </c>
      <c r="D553" s="17" t="inlineStr">
        <is>
          <t>s.2</t>
        </is>
      </c>
      <c r="E553" s="17" t="inlineStr">
        <is>
          <t>2019-04</t>
        </is>
      </c>
      <c r="F553" s="17" t="inlineStr">
        <is>
          <t>Current on reference date</t>
        </is>
      </c>
      <c r="G553" s="17" t="inlineStr">
        <is>
          <t>Save as aforesaid, this Ordinance shall not apply to Kandyans or Muslims, or to Tamils of the Northern Province who are or may become subject to the Tesawalamai.</t>
        </is>
      </c>
      <c r="H553" s="17" t="inlineStr">
        <is>
          <t>https://lankalaw.net/wp-content/uploads/2024/03/mrai69364.pdf</t>
        </is>
      </c>
      <c r="I553" s="17" t="inlineStr">
        <is>
          <t>Supporting</t>
        </is>
      </c>
      <c r="J553" s="17" t="inlineStr">
        <is>
          <t>Sets the boundary of the Ordinance. The devolution answers hold only if the family is governed by the general law rather than by Kandyan law, Muslim law or the Tesawalamai. Nothing in the scenario suggests any of the three, and the property and the parties are in Colombo.
TEMPORAL: In force from 1876; no amendment event recorded in the corpus.</t>
        </is>
      </c>
      <c r="K553" s="17" t="inlineStr">
        <is>
          <t>[verified]</t>
        </is>
      </c>
      <c r="L553" s="21" t="n"/>
      <c r="M553" s="21" t="n"/>
      <c r="N553" s="21" t="n"/>
      <c r="O553" s="21" t="n"/>
      <c r="P553" s="21" t="n"/>
      <c r="Q553" s="17">
        <f>IF(OR(A553="",B553=""),"",IF(AND(L553&lt;&gt;"",P553&lt;&gt;"",IF(L553="Wrong citation",AND(M553&lt;&gt;"",N553&lt;&gt;""),TRUE)),"Complete","Pending"))</f>
        <v/>
      </c>
    </row>
    <row r="554">
      <c r="A554" s="19" t="inlineStr">
        <is>
          <t>M087-Q03</t>
        </is>
      </c>
      <c r="B554" s="19" t="inlineStr">
        <is>
          <t>PROV-M087-010</t>
        </is>
      </c>
      <c r="C554" s="17" t="inlineStr">
        <is>
          <t>Matrimonial Rights and Inheritance Ordinance No. 15 of 1876</t>
        </is>
      </c>
      <c r="D554" s="17" t="inlineStr">
        <is>
          <t>s.20</t>
        </is>
      </c>
      <c r="E554" s="17" t="inlineStr">
        <is>
          <t>2019-04</t>
        </is>
      </c>
      <c r="F554" s="17" t="inlineStr">
        <is>
          <t>Current on reference date</t>
        </is>
      </c>
      <c r="G554"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554" s="17" t="inlineStr">
        <is>
          <t>https://lankalaw.net/wp-content/uploads/2024/03/mrai69364.pdf</t>
        </is>
      </c>
      <c r="I554" s="17" t="inlineStr">
        <is>
          <t>Supporting</t>
        </is>
      </c>
      <c r="J554" s="17" t="inlineStr">
        <is>
          <t>Confirms that Part III applies to these estates: both Kanthi Perera and Amali Perera died in 2014 and both were married long after the proclamation of the Ordinance.
TEMPORAL: In force from 1876; no amendment event recorded in the corpus.</t>
        </is>
      </c>
      <c r="K554" s="17" t="inlineStr">
        <is>
          <t>[verified]</t>
        </is>
      </c>
      <c r="L554" s="21" t="n"/>
      <c r="M554" s="21" t="n"/>
      <c r="N554" s="21" t="n"/>
      <c r="O554" s="21" t="n"/>
      <c r="P554" s="21" t="n"/>
      <c r="Q554" s="17">
        <f>IF(OR(A554="",B554=""),"",IF(AND(L554&lt;&gt;"",P554&lt;&gt;"",IF(L554="Wrong citation",AND(M554&lt;&gt;"",N554&lt;&gt;""),TRUE)),"Complete","Pending"))</f>
        <v/>
      </c>
    </row>
    <row r="555">
      <c r="A555" s="19" t="inlineStr">
        <is>
          <t>M098-Q02</t>
        </is>
      </c>
      <c r="B555" s="19" t="inlineStr">
        <is>
          <t>PROV-M098-001</t>
        </is>
      </c>
      <c r="C555" s="17" t="inlineStr">
        <is>
          <t>Registration of Documents Ordinance No. 23 of 1927</t>
        </is>
      </c>
      <c r="D555" s="17" t="inlineStr">
        <is>
          <t>s.35 (1)</t>
        </is>
      </c>
      <c r="E555" s="17" t="inlineStr">
        <is>
          <t>2018-10</t>
        </is>
      </c>
      <c r="F555" s="17" t="inlineStr">
        <is>
          <t>Current on reference date</t>
        </is>
      </c>
      <c r="G555" s="17" t="inlineStr">
        <is>
          <t>Where it is shown to the satisfaction of the Registrar-General that any error or omission has been made in registering any instrument, whether before or after the commencement of this Ordinance, the Registrar-General shall issue notice in writing in the prescribed form (a) in the case of a deed to the parties thereto; or (b) in the case of a will to the executor or administrator, as the case may be; or (c) in the case of any other instrument to the person who presented it for registration, and order such error or omission to be corrected</t>
        </is>
      </c>
      <c r="H555" s="17" t="inlineStr">
        <is>
          <t>https://lankalaw.net/wp-content/uploads/2025/03/Registration-of-Documents-Consolidated-2024.pdf</t>
        </is>
      </c>
      <c r="I555" s="17" t="inlineStr">
        <is>
          <t>Indispensable</t>
        </is>
      </c>
      <c r="J555" s="17" t="inlineStr">
        <is>
          <t>This is the operative correction power. It fixes the first three steps of the procedure: the error must be shown to the satisfaction of the Registrar-General, who then issues written notice in the prescribed form to the parties to the deed (Deed No. 351), and orders the correction. Registering the sub-divided Lot 3A in the parent folio Vol/Folio A 350/25 is an error or omission made in registering an instrument.
TEMPORAL: Subsection (1) was repealed and re-substituted by section 3 of the Registration of Documents (Amendment) Act, No. 50 of 1982; the consolidated corpus text is that substituted text and it is the text in force in October 2018. No later amendment in the corpus (Nos. 5 of 1990, 21 of 2013, 32 of 2022, 18 of 2024) touches section 35.</t>
        </is>
      </c>
      <c r="K555" s="17" t="inlineStr">
        <is>
          <t>[verified]</t>
        </is>
      </c>
      <c r="L555" s="21" t="n"/>
      <c r="M555" s="21" t="n"/>
      <c r="N555" s="21" t="n"/>
      <c r="O555" s="21" t="n"/>
      <c r="P555" s="21" t="n"/>
      <c r="Q555" s="17">
        <f>IF(OR(A555="",B555=""),"",IF(AND(L555&lt;&gt;"",P555&lt;&gt;"",IF(L555="Wrong citation",AND(M555&lt;&gt;"",N555&lt;&gt;""),TRUE)),"Complete","Pending"))</f>
        <v/>
      </c>
    </row>
    <row r="556">
      <c r="A556" s="19" t="inlineStr">
        <is>
          <t>M098-Q02</t>
        </is>
      </c>
      <c r="B556" s="19" t="inlineStr">
        <is>
          <t>PROV-M098-002</t>
        </is>
      </c>
      <c r="C556" s="17" t="inlineStr">
        <is>
          <t>Registration of Documents Ordinance No. 23 of 1927</t>
        </is>
      </c>
      <c r="D556" s="17" t="inlineStr">
        <is>
          <t>s.35 (1)</t>
        </is>
      </c>
      <c r="E556" s="17" t="inlineStr">
        <is>
          <t>2018-10</t>
        </is>
      </c>
      <c r="F556" s="17" t="inlineStr">
        <is>
          <t>Current on reference date</t>
        </is>
      </c>
      <c r="G556" s="17" t="inlineStr">
        <is>
          <t>and order such error or omission to be corrected and the correction shall then be made by the Registrar concerned in the prescribed manner, but shall not affect any priority accrued before the correction is made</t>
        </is>
      </c>
      <c r="H556" s="17" t="inlineStr">
        <is>
          <t>https://lankalaw.net/wp-content/uploads/2025/03/Registration-of-Documents-Consolidated-2024.pdf</t>
        </is>
      </c>
      <c r="I556" s="17" t="inlineStr">
        <is>
          <t>Indispensable</t>
        </is>
      </c>
      <c r="J556" s="17" t="inlineStr">
        <is>
          <t>Fixes the last two steps: after the Registrar-General's order the correction is made by the Registrar concerned (here the Registrar of Lands, Homagama) in the prescribed manner, and it does not disturb any priority that accrued before it. Without this the procedure is incomplete and the effect of the correction on priority is unstated.
TEMPORAL: Same 1982 substituted text as PROV-M098-001; in force at the matter reference date of October 2018.</t>
        </is>
      </c>
      <c r="K556" s="17" t="inlineStr">
        <is>
          <t>[verified]</t>
        </is>
      </c>
      <c r="L556" s="21" t="n"/>
      <c r="M556" s="21" t="n"/>
      <c r="N556" s="21" t="n"/>
      <c r="O556" s="21" t="n"/>
      <c r="P556" s="21" t="n"/>
      <c r="Q556" s="17">
        <f>IF(OR(A556="",B556=""),"",IF(AND(L556&lt;&gt;"",P556&lt;&gt;"",IF(L556="Wrong citation",AND(M556&lt;&gt;"",N556&lt;&gt;""),TRUE)),"Complete","Pending"))</f>
        <v/>
      </c>
    </row>
    <row r="557">
      <c r="A557" s="19" t="inlineStr">
        <is>
          <t>M098-Q02</t>
        </is>
      </c>
      <c r="B557" s="19" t="inlineStr">
        <is>
          <t>PROV-M098-004</t>
        </is>
      </c>
      <c r="C557" s="17" t="inlineStr">
        <is>
          <t>Registration of Documents Ordinance No. 23 of 1927</t>
        </is>
      </c>
      <c r="D557" s="17" t="inlineStr">
        <is>
          <t>s.14 (1)</t>
        </is>
      </c>
      <c r="E557" s="17" t="inlineStr">
        <is>
          <t>2018-10</t>
        </is>
      </c>
      <c r="F557" s="17" t="inlineStr">
        <is>
          <t>Current on reference date</t>
        </is>
      </c>
      <c r="G557" s="17" t="inlineStr">
        <is>
          <t>Every instrument presented for registration shall be registered in the book allotted to the division in which the land affected by the instrument is situated and in the folio in which 1974] the first registered instrument affecting the same land is registered, or in another folio (whether of the same volume or of another volume) bearing a separate number, opened in continuation thereof, cross reference being entered in the prescribed manner so as to connect the said folios</t>
        </is>
      </c>
      <c r="H557" s="17" t="inlineStr">
        <is>
          <t>https://lankalaw.net/wp-content/uploads/2025/03/Registration-of-Documents-Consolidated-2024.pdf</t>
        </is>
      </c>
      <c r="I557" s="17" t="inlineStr">
        <is>
          <t>Indispensable</t>
        </is>
      </c>
      <c r="J557" s="17" t="inlineStr">
        <is>
          <t>Supplies the standard that was breached and so identifies what the error is. It is what makes the registration of the divided Lot 3A in the parent folio of Lot 3 wrong: the sub-divided lot should have been carried to a separate folio opened in continuation, connected by cross reference. Without it the assertion that there is an error in registering has no statutory support.
TEMPORAL: Amended by Act No. 14 of 1974; the corpus consolidated text carries the 1974 wording (the stray '1974]' marker is an artefact of the consolidated source). In force at October 2018.</t>
        </is>
      </c>
      <c r="K557" s="17" t="inlineStr">
        <is>
          <t>[partially_verified] Wording, role and 1974 dating confirmed, but the excerpt carries a stray '1974]' marker from the consolidated source that is absent from the substituting text in 14-1974/s.2, so the excerpt should not be reproduced as the clean statutory wording.</t>
        </is>
      </c>
      <c r="L557" s="21" t="n"/>
      <c r="M557" s="21" t="n"/>
      <c r="N557" s="21" t="n"/>
      <c r="O557" s="21" t="n"/>
      <c r="P557" s="21" t="n"/>
      <c r="Q557" s="17">
        <f>IF(OR(A557="",B557=""),"",IF(AND(L557&lt;&gt;"",P557&lt;&gt;"",IF(L557="Wrong citation",AND(M557&lt;&gt;"",N557&lt;&gt;""),TRUE)),"Complete","Pending"))</f>
        <v/>
      </c>
    </row>
    <row r="558">
      <c r="A558" s="19" t="inlineStr">
        <is>
          <t>M098-Q02</t>
        </is>
      </c>
      <c r="B558" s="19" t="inlineStr">
        <is>
          <t>PROV-M098-003</t>
        </is>
      </c>
      <c r="C558" s="17" t="inlineStr">
        <is>
          <t>Registration of Documents Ordinance No. 23 of 1927</t>
        </is>
      </c>
      <c r="D558" s="17" t="inlineStr">
        <is>
          <t>s.35 (1) proviso</t>
        </is>
      </c>
      <c r="E558" s="17" t="inlineStr">
        <is>
          <t>2018-10</t>
        </is>
      </c>
      <c r="F558" s="17" t="inlineStr">
        <is>
          <t>Current on reference date</t>
        </is>
      </c>
      <c r="G558" s="17" t="inlineStr">
        <is>
          <t>Provided that the Registrar-General may with like effect make such an order for the correction of any error or omission made in registering any such instrument if it is proved to his satisfaction by any person interested that by reason of the death or legal incapacity of any person or party to whom notice is required to be issued as aforesaid or for any other sufficient cause whatsoever, such notice cannot be issued.</t>
        </is>
      </c>
      <c r="H558" s="17" t="inlineStr">
        <is>
          <t>https://lankalaw.net/wp-content/uploads/2025/03/Registration-of-Documents-Consolidated-2024.pdf</t>
        </is>
      </c>
      <c r="I558" s="17" t="inlineStr">
        <is>
          <t>Supporting</t>
        </is>
      </c>
      <c r="J558" s="17" t="inlineStr">
        <is>
          <t>Supplies the alternative route where notice to a party to Deed No. 351 cannot be issued. Supporting rather than indispensable, because the facts do not state that any party has died or is incapacitated, but a complete statement of the procedure should note it.
TEMPORAL: Same 1982 substituted text; in force at October 2018.</t>
        </is>
      </c>
      <c r="K558" s="17" t="inlineStr">
        <is>
          <t>[verified]</t>
        </is>
      </c>
      <c r="L558" s="21" t="n"/>
      <c r="M558" s="21" t="n"/>
      <c r="N558" s="21" t="n"/>
      <c r="O558" s="21" t="n"/>
      <c r="P558" s="21" t="n"/>
      <c r="Q558" s="17">
        <f>IF(OR(A558="",B558=""),"",IF(AND(L558&lt;&gt;"",P558&lt;&gt;"",IF(L558="Wrong citation",AND(M558&lt;&gt;"",N558&lt;&gt;""),TRUE)),"Complete","Pending"))</f>
        <v/>
      </c>
    </row>
    <row r="559">
      <c r="A559" s="19" t="inlineStr">
        <is>
          <t>M098-Q02</t>
        </is>
      </c>
      <c r="B559" s="19" t="inlineStr">
        <is>
          <t>PROV-M098-005</t>
        </is>
      </c>
      <c r="C559" s="17" t="inlineStr">
        <is>
          <t>Registration of Documents Ordinance No. 23 of 1927</t>
        </is>
      </c>
      <c r="D559" s="17" t="inlineStr">
        <is>
          <t>s.14 (1) proviso (a)</t>
        </is>
      </c>
      <c r="E559" s="17" t="inlineStr">
        <is>
          <t>2018-10</t>
        </is>
      </c>
      <c r="F559" s="17" t="inlineStr">
        <is>
          <t>Current on reference date</t>
        </is>
      </c>
      <c r="G559" s="17" t="inlineStr">
        <is>
          <t>(a) an instrument may, if the Registrar thinks fit, be entered in a new folio, cross references being entered in the prescribed manner so as to connect the registration with any previous registration affecting the same land or any part thereof</t>
        </is>
      </c>
      <c r="H559" s="17" t="inlineStr">
        <is>
          <t>https://lankalaw.net/wp-content/uploads/2025/03/Registration-of-Documents-Consolidated-2024.pdf</t>
        </is>
      </c>
      <c r="I559" s="17" t="inlineStr">
        <is>
          <t>Supporting</t>
        </is>
      </c>
      <c r="J559" s="17" t="inlineStr">
        <is>
          <t>Shows the form the corrected registration should take: a new folio for Lot 3A with cross references back to Vol/Folio A 350/25. Supporting, because the corrective act itself is ordered under section 35.
TEMPORAL: Part of the section 14 text in force at October 2018.</t>
        </is>
      </c>
      <c r="K559" s="17" t="inlineStr">
        <is>
          <t>[verified]</t>
        </is>
      </c>
      <c r="L559" s="21" t="n"/>
      <c r="M559" s="21" t="n"/>
      <c r="N559" s="21" t="n"/>
      <c r="O559" s="21" t="n"/>
      <c r="P559" s="21" t="n"/>
      <c r="Q559" s="17">
        <f>IF(OR(A559="",B559=""),"",IF(AND(L559&lt;&gt;"",P559&lt;&gt;"",IF(L559="Wrong citation",AND(M559&lt;&gt;"",N559&lt;&gt;""),TRUE)),"Complete","Pending"))</f>
        <v/>
      </c>
    </row>
    <row r="560">
      <c r="A560" s="19" t="inlineStr">
        <is>
          <t>M098-Q02</t>
        </is>
      </c>
      <c r="B560" s="19" t="inlineStr">
        <is>
          <t>PROV-M098-006</t>
        </is>
      </c>
      <c r="C560" s="17" t="inlineStr">
        <is>
          <t>Registration of Documents Ordinance No. 23 of 1927</t>
        </is>
      </c>
      <c r="D560" s="17" t="inlineStr">
        <is>
          <t>s.14 (2)</t>
        </is>
      </c>
      <c r="E560" s="17" t="inlineStr">
        <is>
          <t>2018-10</t>
        </is>
      </c>
      <c r="F560" s="17" t="inlineStr">
        <is>
          <t>Current on reference date</t>
        </is>
      </c>
      <c r="G560" s="17" t="inlineStr">
        <is>
          <t>An instrument, whether registered before or after the commencement of this Ordinance, shall not be deemed to be duly registered under this Chapter unless it is registered in accordance with the foregoing provisions of this section.</t>
        </is>
      </c>
      <c r="H560" s="17" t="inlineStr">
        <is>
          <t>https://lankalaw.net/wp-content/uploads/2025/03/Registration-of-Documents-Consolidated-2024.pdf</t>
        </is>
      </c>
      <c r="I560" s="17" t="inlineStr">
        <is>
          <t>Supporting</t>
        </is>
      </c>
      <c r="J560" s="17" t="inlineStr">
        <is>
          <t>Explains why the mis-folioed registration must be put right rather than left alone: registration otherwise than in accordance with section 14 is not due registration, so the chain of registration for Lot 3A is defective until corrected.
TEMPORAL: In force at October 2018.</t>
        </is>
      </c>
      <c r="K560" s="17" t="inlineStr">
        <is>
          <t>[verified]</t>
        </is>
      </c>
      <c r="L560" s="21" t="n"/>
      <c r="M560" s="21" t="n"/>
      <c r="N560" s="21" t="n"/>
      <c r="O560" s="21" t="n"/>
      <c r="P560" s="21" t="n"/>
      <c r="Q560" s="17">
        <f>IF(OR(A560="",B560=""),"",IF(AND(L560&lt;&gt;"",P560&lt;&gt;"",IF(L560="Wrong citation",AND(M560&lt;&gt;"",N560&lt;&gt;""),TRUE)),"Complete","Pending"))</f>
        <v/>
      </c>
    </row>
    <row r="561">
      <c r="A561" s="19" t="inlineStr">
        <is>
          <t>M098-Q02</t>
        </is>
      </c>
      <c r="B561" s="19" t="inlineStr">
        <is>
          <t>PROV-M098-007</t>
        </is>
      </c>
      <c r="C561" s="17" t="inlineStr">
        <is>
          <t>Registration of Documents Ordinance No. 23 of 1927</t>
        </is>
      </c>
      <c r="D561" s="17" t="inlineStr">
        <is>
          <t>s.2 (6)</t>
        </is>
      </c>
      <c r="E561" s="17" t="inlineStr">
        <is>
          <t>2018-10</t>
        </is>
      </c>
      <c r="F561" s="17" t="inlineStr">
        <is>
          <t>Current on reference date</t>
        </is>
      </c>
      <c r="G561" s="17" t="inlineStr">
        <is>
          <t>The Registrar-General may, if he thinks fit. exercise all or any of the powers possessed by a Registrar.</t>
        </is>
      </c>
      <c r="H561" s="17" t="inlineStr">
        <is>
          <t>https://lankalaw.net/wp-content/uploads/2025/03/Registration-of-Documents-Consolidated-2024.pdf</t>
        </is>
      </c>
      <c r="I561" s="17" t="inlineStr">
        <is>
          <t>Supporting</t>
        </is>
      </c>
      <c r="J561" s="17" t="inlineStr">
        <is>
          <t>Identifies the officers named in section 35, the Registrar-General of Lands and the Registrar of the division (Homagama), and confirms the Registrar-General's own competence over registration acts. Contextual support for who the application is addressed to.
TEMPORAL: In force at October 2018; subsection (7) also permits a Deputy or Assistant Registrar-General to act.</t>
        </is>
      </c>
      <c r="K561" s="17" t="inlineStr">
        <is>
          <t>[partially_verified] Section 2(6) is verbatim and does allow the Registrar-General to exercise a Registrar's powers, but it is section 2(2), not 2(6), that constitutes the offices of Registrar-General and Registrar; the why_relevant over-reads the subsection.</t>
        </is>
      </c>
      <c r="L561" s="21" t="n"/>
      <c r="M561" s="21" t="n"/>
      <c r="N561" s="21" t="n"/>
      <c r="O561" s="21" t="n"/>
      <c r="P561" s="21" t="n"/>
      <c r="Q561" s="17">
        <f>IF(OR(A561="",B561=""),"",IF(AND(L561&lt;&gt;"",P561&lt;&gt;"",IF(L561="Wrong citation",AND(M561&lt;&gt;"",N561&lt;&gt;""),TRUE)),"Complete","Pending"))</f>
        <v/>
      </c>
    </row>
    <row r="562">
      <c r="A562" s="19" t="inlineStr">
        <is>
          <t>M098-Q02</t>
        </is>
      </c>
      <c r="B562" s="19" t="inlineStr">
        <is>
          <t>PROV-M098-008</t>
        </is>
      </c>
      <c r="C562" s="17" t="inlineStr">
        <is>
          <t>Registration of Documents Ordinance No. 23 of 1927</t>
        </is>
      </c>
      <c r="D562" s="17" t="inlineStr">
        <is>
          <t>s.49 (1)</t>
        </is>
      </c>
      <c r="E562" s="17" t="inlineStr">
        <is>
          <t>2018-10</t>
        </is>
      </c>
      <c r="F562" s="17" t="inlineStr">
        <is>
          <t>Current on reference date</t>
        </is>
      </c>
      <c r="G562" s="17" t="inlineStr">
        <is>
          <t>The Minister may make regulations, to be published in the Gazette, as to any matter which by this Ordinance may or is to be prescribed and generally for regulating the forms to be used and the procedure and practice to be observed in carrying this Ordinance into effect.</t>
        </is>
      </c>
      <c r="H562" s="17" t="inlineStr">
        <is>
          <t>https://lankalaw.net/wp-content/uploads/2025/03/Registration-of-Documents-Consolidated-2024.pdf</t>
        </is>
      </c>
      <c r="I562" s="17" t="inlineStr">
        <is>
          <t>Supporting</t>
        </is>
      </c>
      <c r="J562" s="17" t="inlineStr">
        <is>
          <t>Section 35 twice defers to what is prescribed: the form of the notice and the manner of correction. This section is the source of that prescription, so it locates the detailed procedural steps outside the Ordinance itself.
TEMPORAL: In force at October 2018. The regulations made under it are not in the frozen corpus.</t>
        </is>
      </c>
      <c r="K562" s="17" t="inlineStr">
        <is>
          <t>[verified]</t>
        </is>
      </c>
      <c r="L562" s="21" t="n"/>
      <c r="M562" s="21" t="n"/>
      <c r="N562" s="21" t="n"/>
      <c r="O562" s="21" t="n"/>
      <c r="P562" s="21" t="n"/>
      <c r="Q562" s="17">
        <f>IF(OR(A562="",B562=""),"",IF(AND(L562&lt;&gt;"",P562&lt;&gt;"",IF(L562="Wrong citation",AND(M562&lt;&gt;"",N562&lt;&gt;""),TRUE)),"Complete","Pending"))</f>
        <v/>
      </c>
    </row>
    <row r="563">
      <c r="A563" s="19" t="inlineStr">
        <is>
          <t>M098-Q02</t>
        </is>
      </c>
      <c r="B563" s="19" t="inlineStr">
        <is>
          <t>PROV-M098-009</t>
        </is>
      </c>
      <c r="C563" s="17" t="inlineStr">
        <is>
          <t>Registration of Documents Ordinance No. 23 of 1927</t>
        </is>
      </c>
      <c r="D563" s="17" t="inlineStr">
        <is>
          <t>s.50</t>
        </is>
      </c>
      <c r="E563" s="17" t="inlineStr">
        <is>
          <t>2018-10</t>
        </is>
      </c>
      <c r="F563" s="17" t="inlineStr">
        <is>
          <t>Current on reference date</t>
        </is>
      </c>
      <c r="G563" s="17" t="inlineStr">
        <is>
          <t>The forms contained in the Second Schedule shall be used with such variations as circumstances may require</t>
        </is>
      </c>
      <c r="H563" s="17" t="inlineStr">
        <is>
          <t>https://lankalaw.net/wp-content/uploads/2025/03/Registration-of-Documents-Consolidated-2024.pdf</t>
        </is>
      </c>
      <c r="I563" s="17" t="inlineStr">
        <is>
          <t>Background</t>
        </is>
      </c>
      <c r="J563" s="17" t="inlineStr">
        <is>
          <t>Background: the prescribed forms referred to in section 35(1) are those in the Second Schedule as altered by regulation. The Schedule text itself is not in the corpus.
TEMPORAL: The Second Schedule was amended by section 5 of the Registration of Documents (Amendment) Act, No. 32 of 2022, which post-dates the matter; only the pre-2022 position is relevant here.</t>
        </is>
      </c>
      <c r="K563" s="17" t="inlineStr">
        <is>
          <t>[verified]</t>
        </is>
      </c>
      <c r="L563" s="21" t="n"/>
      <c r="M563" s="21" t="n"/>
      <c r="N563" s="21" t="n"/>
      <c r="O563" s="21" t="n"/>
      <c r="P563" s="21" t="n"/>
      <c r="Q563" s="17">
        <f>IF(OR(A563="",B563=""),"",IF(AND(L563&lt;&gt;"",P563&lt;&gt;"",IF(L563="Wrong citation",AND(M563&lt;&gt;"",N563&lt;&gt;""),TRUE)),"Complete","Pending"))</f>
        <v/>
      </c>
    </row>
    <row r="564">
      <c r="A564" s="19" t="inlineStr">
        <is>
          <t>M098-Q02</t>
        </is>
      </c>
      <c r="B564" s="19" t="inlineStr">
        <is>
          <t>PROV-M098-010</t>
        </is>
      </c>
      <c r="C564" s="17" t="inlineStr">
        <is>
          <t>Registration of Documents Ordinance No. 23 of 1927</t>
        </is>
      </c>
      <c r="D564" s="17" t="inlineStr">
        <is>
          <t>s.38 (1)</t>
        </is>
      </c>
      <c r="E564" s="17" t="inlineStr">
        <is>
          <t>2018-10</t>
        </is>
      </c>
      <c r="F564" s="17" t="inlineStr">
        <is>
          <t>Current on reference date</t>
        </is>
      </c>
      <c r="G564" s="17" t="inlineStr">
        <is>
          <t>Any person aggrieved by an order of a Registrar refusing to register an, instrument may, within thirty days from the date of the order being communicated to him, appeal to the Registrar-General, who may vary or reverse the order.</t>
        </is>
      </c>
      <c r="H564" s="17" t="inlineStr">
        <is>
          <t>https://lankalaw.net/wp-content/uploads/2025/03/Registration-of-Documents-Consolidated-2024.pdf</t>
        </is>
      </c>
      <c r="I564" s="17" t="inlineStr">
        <is>
          <t>Background</t>
        </is>
      </c>
      <c r="J564" s="17" t="inlineStr">
        <is>
          <t>Background only. The lease was refused registration, so if the Registrar makes a formal order of refusal there is a separate thirty-day appeal to the Registrar-General, and thereafter a District Court suit under subsection (2). It is not the route for correcting the folio error, which is section 35.
TEMPORAL: In force at October 2018.</t>
        </is>
      </c>
      <c r="K564" s="17" t="inlineStr">
        <is>
          <t>[verified]</t>
        </is>
      </c>
      <c r="L564" s="21" t="n"/>
      <c r="M564" s="21" t="n"/>
      <c r="N564" s="21" t="n"/>
      <c r="O564" s="21" t="n"/>
      <c r="P564" s="21" t="n"/>
      <c r="Q564" s="17">
        <f>IF(OR(A564="",B564=""),"",IF(AND(L564&lt;&gt;"",P564&lt;&gt;"",IF(L564="Wrong citation",AND(M564&lt;&gt;"",N564&lt;&gt;""),TRUE)),"Complete","Pending"))</f>
        <v/>
      </c>
    </row>
    <row r="565">
      <c r="A565" s="19" t="inlineStr">
        <is>
          <t>M106-Q01</t>
        </is>
      </c>
      <c r="B565" s="19" t="inlineStr">
        <is>
          <t>PROV-M106-003</t>
        </is>
      </c>
      <c r="C565" s="17" t="inlineStr">
        <is>
          <t>Matrimonial Rights and Inheritance Ordinance No. 15 of 1876</t>
        </is>
      </c>
      <c r="D565" s="17" t="inlineStr">
        <is>
          <t>s.21 (1)</t>
        </is>
      </c>
      <c r="E565" s="17" t="inlineStr">
        <is>
          <t>2018-04</t>
        </is>
      </c>
      <c r="F565" s="17" t="inlineStr">
        <is>
          <t>Current on reference date</t>
        </is>
      </c>
      <c r="G565" s="17" t="inlineStr">
        <is>
          <t>Inheritance ab interstate to the immovable property in Sri Lanka of a person deceased shall be governed and regulated by the following provisions of this Ordinance wherever such person may have or have had his actual or matrimonial domicile.</t>
        </is>
      </c>
      <c r="H565" s="17" t="inlineStr">
        <is>
          <t>https://lankalaw.net/wp-content/uploads/2024/03/mrai69364.pdf</t>
        </is>
      </c>
      <c r="I565" s="17" t="inlineStr">
        <is>
          <t>Indispensable</t>
        </is>
      </c>
      <c r="J565" s="17" t="inlineStr">
        <is>
          <t>The subject matter is divided and defined lots of land in Galle, that is immovable property in Sri Lanka, and each of the three deaths was intestate. This subsection makes the Ordinance the governing law of the devolution, irrespective of domicile.
TEMPORAL: Section is part of the 1876 principal Ordinance; corpus records in_force_from_year 1876 and no amendment events, so the text was in force at each death (2008, 2009, 2010) and at the matter reference date 2018-04.</t>
        </is>
      </c>
      <c r="K565" s="17" t="inlineStr">
        <is>
          <t>[verified]</t>
        </is>
      </c>
      <c r="L565" s="21" t="n"/>
      <c r="M565" s="21" t="n"/>
      <c r="N565" s="21" t="n"/>
      <c r="O565" s="21" t="n"/>
      <c r="P565" s="21" t="n"/>
      <c r="Q565" s="17">
        <f>IF(OR(A565="",B565=""),"",IF(AND(L565&lt;&gt;"",P565&lt;&gt;"",IF(L565="Wrong citation",AND(M565&lt;&gt;"",N565&lt;&gt;""),TRUE)),"Complete","Pending"))</f>
        <v/>
      </c>
    </row>
    <row r="566">
      <c r="A566" s="19" t="inlineStr">
        <is>
          <t>M106-Q01</t>
        </is>
      </c>
      <c r="B566" s="19" t="inlineStr">
        <is>
          <t>PROV-M106-004</t>
        </is>
      </c>
      <c r="C566" s="17" t="inlineStr">
        <is>
          <t>Matrimonial Rights and Inheritance Ordinance No. 15 of 1876</t>
        </is>
      </c>
      <c r="D566" s="17" t="inlineStr">
        <is>
          <t>s.22</t>
        </is>
      </c>
      <c r="E566" s="17" t="inlineStr">
        <is>
          <t>2018-04</t>
        </is>
      </c>
      <c r="F566" s="17" t="inlineStr">
        <is>
          <t>Current on reference date</t>
        </is>
      </c>
      <c r="G566" s="17" t="inlineStr">
        <is>
          <t>When any person shall die intestate as to any of his or her property, leaving a spouse surviving, the surviving spouse shall inherit one-half of the property of such person.</t>
        </is>
      </c>
      <c r="H566" s="17" t="inlineStr">
        <is>
          <t>https://lankalaw.net/wp-content/uploads/2024/03/mrai69364.pdf</t>
        </is>
      </c>
      <c r="I566" s="17" t="inlineStr">
        <is>
          <t>Indispensable</t>
        </is>
      </c>
      <c r="J566" s="17" t="inlineStr">
        <is>
          <t>Gives Nalini one-half of Nimal's estate on his death in 2008, and gives Amali one-half of Bimal's estate on his death in 2010. It is the first deduction to be made from each estate before the remainder passes down the section 23 order.
TEMPORAL: Section is part of the 1876 principal Ordinance; corpus records in_force_from_year 1876 and no amendment events, so the text was in force at each death (2008, 2009, 2010) and at the matter reference date 2018-04.</t>
        </is>
      </c>
      <c r="K566" s="17" t="inlineStr">
        <is>
          <t>[verified]</t>
        </is>
      </c>
      <c r="L566" s="21" t="n"/>
      <c r="M566" s="21" t="n"/>
      <c r="N566" s="21" t="n"/>
      <c r="O566" s="21" t="n"/>
      <c r="P566" s="21" t="n"/>
      <c r="Q566" s="17">
        <f>IF(OR(A566="",B566=""),"",IF(AND(L566&lt;&gt;"",P566&lt;&gt;"",IF(L566="Wrong citation",AND(M566&lt;&gt;"",N566&lt;&gt;""),TRUE)),"Complete","Pending"))</f>
        <v/>
      </c>
    </row>
    <row r="567">
      <c r="A567" s="19" t="inlineStr">
        <is>
          <t>M106-Q01</t>
        </is>
      </c>
      <c r="B567" s="19" t="inlineStr">
        <is>
          <t>PROV-M106-005</t>
        </is>
      </c>
      <c r="C567" s="17" t="inlineStr">
        <is>
          <t>Matrimonial Rights and Inheritance Ordinance No. 15 of 1876</t>
        </is>
      </c>
      <c r="D567" s="17" t="inlineStr">
        <is>
          <t>s.23</t>
        </is>
      </c>
      <c r="E567" s="17" t="inlineStr">
        <is>
          <t>2018-04</t>
        </is>
      </c>
      <c r="F567" s="17" t="inlineStr">
        <is>
          <t>Current on reference date</t>
        </is>
      </c>
      <c r="G567" s="17" t="inlineStr">
        <is>
          <t>Subject to the right of the surviving spouse in the preceding section mentioned, the right of inheritance is divided in the following order as respects (a) descendants, (b) ascendants, (c) collaterals.</t>
        </is>
      </c>
      <c r="H567" s="17" t="inlineStr">
        <is>
          <t>https://lankalaw.net/wp-content/uploads/2024/03/mrai69364.pdf</t>
        </is>
      </c>
      <c r="I567" s="17" t="inlineStr">
        <is>
          <t>Indispensable</t>
        </is>
      </c>
      <c r="J567" s="17" t="inlineStr">
        <is>
          <t>Sets the order in which the residue after the surviving spouse's half is taken: descendants first (Nimal's and Nalini's estates), and only on their failure ascendants and then collaterals (Bimal's estate).
TEMPORAL: Section is part of the 1876 principal Ordinance; corpus records in_force_from_year 1876 and no amendment events, so the text was in force at each death (2008, 2009, 2010) and at the matter reference date 2018-04.</t>
        </is>
      </c>
      <c r="K567" s="17" t="inlineStr">
        <is>
          <t>[verified]</t>
        </is>
      </c>
      <c r="L567" s="21" t="n"/>
      <c r="M567" s="21" t="n"/>
      <c r="N567" s="21" t="n"/>
      <c r="O567" s="21" t="n"/>
      <c r="P567" s="21" t="n"/>
      <c r="Q567" s="17">
        <f>IF(OR(A567="",B567=""),"",IF(AND(L567&lt;&gt;"",P567&lt;&gt;"",IF(L567="Wrong citation",AND(M567&lt;&gt;"",N567&lt;&gt;""),TRUE)),"Complete","Pending"))</f>
        <v/>
      </c>
    </row>
    <row r="568">
      <c r="A568" s="19" t="inlineStr">
        <is>
          <t>M106-Q01</t>
        </is>
      </c>
      <c r="B568" s="19" t="inlineStr">
        <is>
          <t>PROV-M106-006</t>
        </is>
      </c>
      <c r="C568" s="17" t="inlineStr">
        <is>
          <t>Matrimonial Rights and Inheritance Ordinance No. 15 of 1876</t>
        </is>
      </c>
      <c r="D568" s="17" t="inlineStr">
        <is>
          <t>s.24</t>
        </is>
      </c>
      <c r="E568" s="17" t="inlineStr">
        <is>
          <t>2018-04</t>
        </is>
      </c>
      <c r="F568" s="17" t="inlineStr">
        <is>
          <t>Current on reference date</t>
        </is>
      </c>
      <c r="G568" s="17" t="inlineStr">
        <is>
          <t>Children, grandchildren, and remoter descendants are preferent to all others in the estate of the parents; all the children take equally per capita, but the children or remoter issue of a deceased child take per stirpes or by representation.</t>
        </is>
      </c>
      <c r="H568" s="17" t="inlineStr">
        <is>
          <t>https://lankalaw.net/wp-content/uploads/2024/03/mrai69364.pdf</t>
        </is>
      </c>
      <c r="I568" s="17" t="inlineStr">
        <is>
          <t>Indispensable</t>
        </is>
      </c>
      <c r="J568" s="17" t="inlineStr">
        <is>
          <t>Divides the residue of Nimal's estate equally among his four surviving children (Achini, Amal, Bimal, Krishni), and the whole of Nalini's estate equally among her three children (Amal, Bimal, Krishni). Achini, not being a child of Nalini, is excluded from Nalini's estate.
TEMPORAL: Section is part of the 1876 principal Ordinance; corpus records in_force_from_year 1876 and no amendment events, so the text was in force at each death (2008, 2009, 2010) and at the matter reference date 2018-04.</t>
        </is>
      </c>
      <c r="K568" s="17" t="inlineStr">
        <is>
          <t>[verified]</t>
        </is>
      </c>
      <c r="L568" s="21" t="n"/>
      <c r="M568" s="21" t="n"/>
      <c r="N568" s="21" t="n"/>
      <c r="O568" s="21" t="n"/>
      <c r="P568" s="21" t="n"/>
      <c r="Q568" s="17">
        <f>IF(OR(A568="",B568=""),"",IF(AND(L568&lt;&gt;"",P568&lt;&gt;"",IF(L568="Wrong citation",AND(M568&lt;&gt;"",N568&lt;&gt;""),TRUE)),"Complete","Pending"))</f>
        <v/>
      </c>
    </row>
    <row r="569">
      <c r="A569" s="19" t="inlineStr">
        <is>
          <t>M106-Q01</t>
        </is>
      </c>
      <c r="B569" s="19" t="inlineStr">
        <is>
          <t>PROV-M106-007</t>
        </is>
      </c>
      <c r="C569" s="17" t="inlineStr">
        <is>
          <t>Matrimonial Rights and Inheritance Ordinance No. 15 of 1876</t>
        </is>
      </c>
      <c r="D569" s="17" t="inlineStr">
        <is>
          <t>s.25</t>
        </is>
      </c>
      <c r="E569" s="17" t="inlineStr">
        <is>
          <t>2018-04</t>
        </is>
      </c>
      <c r="F569" s="17" t="inlineStr">
        <is>
          <t>Current on reference date</t>
        </is>
      </c>
      <c r="G569" s="17" t="inlineStr">
        <is>
          <t>The children and remoter descendants failing, the inheritance of the deceased goes to his father and mother in case they are both alive; but if only one of the parents be alive, the surviving parent takes half</t>
        </is>
      </c>
      <c r="H569" s="17" t="inlineStr">
        <is>
          <t>https://lankalaw.net/wp-content/uploads/2024/03/mrai69364.pdf</t>
        </is>
      </c>
      <c r="I569" s="17" t="inlineStr">
        <is>
          <t>Indispensable</t>
        </is>
      </c>
      <c r="J569" s="17" t="inlineStr">
        <is>
          <t>Bimal died issueless, so his descendants fail and the residue after Amali's half would go to his parents. Both Nimal and Nalini had already died, so no ascendant of the first degree survives and the devolution moves on to collaterals.
TEMPORAL: Section is part of the 1876 principal Ordinance; corpus records in_force_from_year 1876 and no amendment events, so the text was in force at each death (2008, 2009, 2010) and at the matter reference date 2018-04.</t>
        </is>
      </c>
      <c r="K569" s="17" t="inlineStr">
        <is>
          <t>[verified]</t>
        </is>
      </c>
      <c r="L569" s="21" t="n"/>
      <c r="M569" s="21" t="n"/>
      <c r="N569" s="21" t="n"/>
      <c r="O569" s="21" t="n"/>
      <c r="P569" s="21" t="n"/>
      <c r="Q569" s="17">
        <f>IF(OR(A569="",B569=""),"",IF(AND(L569&lt;&gt;"",P569&lt;&gt;"",IF(L569="Wrong citation",AND(M569&lt;&gt;"",N569&lt;&gt;""),TRUE)),"Complete","Pending"))</f>
        <v/>
      </c>
    </row>
    <row r="570">
      <c r="A570" s="19" t="inlineStr">
        <is>
          <t>M106-Q01</t>
        </is>
      </c>
      <c r="B570" s="19" t="inlineStr">
        <is>
          <t>PROV-M106-008</t>
        </is>
      </c>
      <c r="C570" s="17" t="inlineStr">
        <is>
          <t>Matrimonial Rights and Inheritance Ordinance No. 15 of 1876</t>
        </is>
      </c>
      <c r="D570" s="17" t="inlineStr">
        <is>
          <t>s.26</t>
        </is>
      </c>
      <c r="E570" s="17" t="inlineStr">
        <is>
          <t>2018-04</t>
        </is>
      </c>
      <c r="F570" s="17" t="inlineStr">
        <is>
          <t>Current on reference date</t>
        </is>
      </c>
      <c r="G570" s="17" t="inlineStr">
        <is>
          <t>Father and mother both failing, the property of the intestate goes to his brothers and sisters, whether of the whole or balf-blood, and their children and other issue by representation.</t>
        </is>
      </c>
      <c r="H570" s="17" t="inlineStr">
        <is>
          <t>https://lankalaw.net/wp-content/uploads/2024/03/mrai69364.pdf</t>
        </is>
      </c>
      <c r="I570" s="17" t="inlineStr">
        <is>
          <t>Indispensable</t>
        </is>
      </c>
      <c r="J570" s="17" t="inlineStr">
        <is>
          <t>Both of Bimal's parents having predeceased him, the residue of his estate after Amali's half goes to his brothers and sisters, expressly including half-blood siblings. This brings in Amal and Krishni (full blood) and Achini (half blood on the father's side).
TEMPORAL: Section is part of the 1876 principal Ordinance; corpus records in_force_from_year 1876 and no amendment events, so the text was in force at each death (2008, 2009, 2010) and at the matter reference date 2018-04.</t>
        </is>
      </c>
      <c r="K570" s="17" t="inlineStr">
        <is>
          <t>[verified] Wording and role confirmed; note that the corpus body carries the OCR form "balf-blood" where the Ordinance reads "half-blood", so the excerpt reproduces a corpus artefact rather than a drafting variant.</t>
        </is>
      </c>
      <c r="L570" s="21" t="n"/>
      <c r="M570" s="21" t="n"/>
      <c r="N570" s="21" t="n"/>
      <c r="O570" s="21" t="n"/>
      <c r="P570" s="21" t="n"/>
      <c r="Q570" s="17">
        <f>IF(OR(A570="",B570=""),"",IF(AND(L570&lt;&gt;"",P570&lt;&gt;"",IF(L570="Wrong citation",AND(M570&lt;&gt;"",N570&lt;&gt;""),TRUE)),"Complete","Pending"))</f>
        <v/>
      </c>
    </row>
    <row r="571">
      <c r="A571" s="19" t="inlineStr">
        <is>
          <t>M106-Q01</t>
        </is>
      </c>
      <c r="B571" s="19" t="inlineStr">
        <is>
          <t>PROV-M106-009</t>
        </is>
      </c>
      <c r="C571" s="17" t="inlineStr">
        <is>
          <t>Matrimonial Rights and Inheritance Ordinance No. 15 of 1876</t>
        </is>
      </c>
      <c r="D571" s="17" t="inlineStr">
        <is>
          <t>s.27</t>
        </is>
      </c>
      <c r="E571" s="17" t="inlineStr">
        <is>
          <t>2018-04</t>
        </is>
      </c>
      <c r="F571" s="17" t="inlineStr">
        <is>
          <t>Current on reference date</t>
        </is>
      </c>
      <c r="G571"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571" s="17" t="inlineStr">
        <is>
          <t>https://lankalaw.net/wp-content/uploads/2024/03/mrai69364.pdf</t>
        </is>
      </c>
      <c r="I571" s="17" t="inlineStr">
        <is>
          <t>Indispensable</t>
        </is>
      </c>
      <c r="J571" s="17" t="inlineStr">
        <is>
          <t>Achini is a half-sister on the father's side only and there is no half-sibling on the mother's side. This limb therefore governs: Amal and Krishni take one half of the sibling portion of Bimal's estate first, and share the other half with Achini.
TEMPORAL: Section is part of the 1876 principal Ordinance; corpus records in_force_from_year 1876 and no amendment events, so the text was in force at each death (2008, 2009, 2010) and at the matter reference date 2018-04.</t>
        </is>
      </c>
      <c r="K571" s="17" t="inlineStr">
        <is>
          <t>[partially_verified]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t>
        </is>
      </c>
      <c r="L571" s="21" t="n"/>
      <c r="M571" s="21" t="n"/>
      <c r="N571" s="21" t="n"/>
      <c r="O571" s="21" t="n"/>
      <c r="P571" s="21" t="n"/>
      <c r="Q571" s="17">
        <f>IF(OR(A571="",B571=""),"",IF(AND(L571&lt;&gt;"",P571&lt;&gt;"",IF(L571="Wrong citation",AND(M571&lt;&gt;"",N571&lt;&gt;""),TRUE)),"Complete","Pending"))</f>
        <v/>
      </c>
    </row>
    <row r="572">
      <c r="A572" s="19" t="inlineStr">
        <is>
          <t>M106-Q01</t>
        </is>
      </c>
      <c r="B572" s="19" t="inlineStr">
        <is>
          <t>PROV-M106-001</t>
        </is>
      </c>
      <c r="C572" s="17" t="inlineStr">
        <is>
          <t>Matrimonial Rights and Inheritance Ordinance No. 15 of 1876</t>
        </is>
      </c>
      <c r="D572" s="17" t="inlineStr">
        <is>
          <t>s.2</t>
        </is>
      </c>
      <c r="E572" s="17" t="inlineStr">
        <is>
          <t>2018-04</t>
        </is>
      </c>
      <c r="F572" s="17" t="inlineStr">
        <is>
          <t>Current on reference date</t>
        </is>
      </c>
      <c r="G572" s="17" t="inlineStr">
        <is>
          <t>Save as aforesaid, this Ordinance shall not apply to Kandyans or Muslims, or to Tamils of the Northern Province who are or may become subject to the Tesawalamai.</t>
        </is>
      </c>
      <c r="H572" s="17" t="inlineStr">
        <is>
          <t>https://lankalaw.net/wp-content/uploads/2024/03/mrai69364.pdf</t>
        </is>
      </c>
      <c r="I572" s="17" t="inlineStr">
        <is>
          <t>Supporting</t>
        </is>
      </c>
      <c r="J572" s="17" t="inlineStr">
        <is>
          <t>Fixes the personal-law gateway. Nothing in the facts indicates that Nimal or his family were Kandyan, Muslim or Tamils of the Northern Province subject to the Thesawalamai, so the general law of intestate succession in this Ordinance applies to the devolution of lots 6 and 7.
TEMPORAL: Section is part of the 1876 principal Ordinance; corpus records in_force_from_year 1876 and no amendment events, so the text was in force at each death (2008, 2009, 2010) and at the matter reference date 2018-04.</t>
        </is>
      </c>
      <c r="K572" s="17" t="inlineStr">
        <is>
          <t>[verified]</t>
        </is>
      </c>
      <c r="L572" s="21" t="n"/>
      <c r="M572" s="21" t="n"/>
      <c r="N572" s="21" t="n"/>
      <c r="O572" s="21" t="n"/>
      <c r="P572" s="21" t="n"/>
      <c r="Q572" s="17">
        <f>IF(OR(A572="",B572=""),"",IF(AND(L572&lt;&gt;"",P572&lt;&gt;"",IF(L572="Wrong citation",AND(M572&lt;&gt;"",N572&lt;&gt;""),TRUE)),"Complete","Pending"))</f>
        <v/>
      </c>
    </row>
    <row r="573">
      <c r="A573" s="19" t="inlineStr">
        <is>
          <t>M106-Q01</t>
        </is>
      </c>
      <c r="B573" s="19" t="inlineStr">
        <is>
          <t>PROV-M106-002</t>
        </is>
      </c>
      <c r="C573" s="17" t="inlineStr">
        <is>
          <t>Matrimonial Rights and Inheritance Ordinance No. 15 of 1876</t>
        </is>
      </c>
      <c r="D573" s="17" t="inlineStr">
        <is>
          <t>s.20</t>
        </is>
      </c>
      <c r="E573" s="17" t="inlineStr">
        <is>
          <t>2018-04</t>
        </is>
      </c>
      <c r="F573" s="17" t="inlineStr">
        <is>
          <t>Current on reference date</t>
        </is>
      </c>
      <c r="G573"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573" s="17" t="inlineStr">
        <is>
          <t>https://lankalaw.net/wp-content/uploads/2024/03/mrai69364.pdf</t>
        </is>
      </c>
      <c r="I573" s="17" t="inlineStr">
        <is>
          <t>Supporting</t>
        </is>
      </c>
      <c r="J573" s="17" t="inlineStr">
        <is>
          <t>Temporal condition on Part III. Every death in the scenario (2008, 2009, 2010) and every marriage in it post-dates the 1876 proclamation, so the inheritance sections apply to each of these estates.
TEMPORAL: Section is part of the 1876 principal Ordinance; corpus records in_force_from_year 1876 and no amendment events, so the text was in force at each death (2008, 2009, 2010) and at the matter reference date 2018-04.</t>
        </is>
      </c>
      <c r="K573" s="17" t="inlineStr">
        <is>
          <t>[verified]</t>
        </is>
      </c>
      <c r="L573" s="21" t="n"/>
      <c r="M573" s="21" t="n"/>
      <c r="N573" s="21" t="n"/>
      <c r="O573" s="21" t="n"/>
      <c r="P573" s="21" t="n"/>
      <c r="Q573" s="17">
        <f>IF(OR(A573="",B573=""),"",IF(AND(L573&lt;&gt;"",P573&lt;&gt;"",IF(L573="Wrong citation",AND(M573&lt;&gt;"",N573&lt;&gt;""),TRUE)),"Complete","Pending"))</f>
        <v/>
      </c>
    </row>
    <row r="574">
      <c r="A574" s="19" t="inlineStr">
        <is>
          <t>M106-Q01</t>
        </is>
      </c>
      <c r="B574" s="19" t="inlineStr">
        <is>
          <t>PROV-M106-010</t>
        </is>
      </c>
      <c r="C574" s="17" t="inlineStr">
        <is>
          <t>Matrimonial Rights and Inheritance Ordinance No. 15 of 1876</t>
        </is>
      </c>
      <c r="D574" s="17" t="inlineStr">
        <is>
          <t>s.30</t>
        </is>
      </c>
      <c r="E574" s="17" t="inlineStr">
        <is>
          <t>2018-04</t>
        </is>
      </c>
      <c r="F574" s="17" t="inlineStr">
        <is>
          <t>Current on reference date</t>
        </is>
      </c>
      <c r="G574" s="17" t="inlineStr">
        <is>
          <t>if all those who succeed to the inheritance are equally near in degree to the intestate, they take per capita, and not per stirpes.</t>
        </is>
      </c>
      <c r="H574" s="17" t="inlineStr">
        <is>
          <t>https://lankalaw.net/wp-content/uploads/2024/03/mrai69364.pdf</t>
        </is>
      </c>
      <c r="I574" s="17" t="inlineStr">
        <is>
          <t>Supporting</t>
        </is>
      </c>
      <c r="J574" s="17" t="inlineStr">
        <is>
          <t>Confirms per capita division among heirs of the same degree: the four children of Nimal, the three children of Nalini, and the three siblings sharing the second half of the sibling portion of Bimal's estate.
TEMPORAL: Section is part of the 1876 principal Ordinance; corpus records in_force_from_year 1876 and no amendment events, so the text was in force at each death (2008, 2009, 2010) and at the matter reference date 2018-04.</t>
        </is>
      </c>
      <c r="K574" s="17" t="inlineStr">
        <is>
          <t>[partially_verified]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t>
        </is>
      </c>
      <c r="L574" s="21" t="n"/>
      <c r="M574" s="21" t="n"/>
      <c r="N574" s="21" t="n"/>
      <c r="O574" s="21" t="n"/>
      <c r="P574" s="21" t="n"/>
      <c r="Q574" s="17">
        <f>IF(OR(A574="",B574=""),"",IF(AND(L574&lt;&gt;"",P574&lt;&gt;"",IF(L574="Wrong citation",AND(M574&lt;&gt;"",N574&lt;&gt;""),TRUE)),"Complete","Pending"))</f>
        <v/>
      </c>
    </row>
    <row r="575">
      <c r="A575" s="19" t="inlineStr">
        <is>
          <t>M106-Q01</t>
        </is>
      </c>
      <c r="B575" s="19" t="inlineStr">
        <is>
          <t>PROV-M106-011</t>
        </is>
      </c>
      <c r="C575" s="17" t="inlineStr">
        <is>
          <t>Matrimonial Rights and Inheritance Ordinance No. 15 of 1876</t>
        </is>
      </c>
      <c r="D575" s="17" t="inlineStr">
        <is>
          <t>s.3</t>
        </is>
      </c>
      <c r="E575" s="17" t="inlineStr">
        <is>
          <t>2018-04</t>
        </is>
      </c>
      <c r="F575" s="17" t="inlineStr">
        <is>
          <t>Current on reference date</t>
        </is>
      </c>
      <c r="G575" s="17" t="inlineStr">
        <is>
          <t>includes land, incorporeal tenements, and things attached to the earth or permanently fastened to anything which is attached to the earth, and any interest in land except that of a mortgagee</t>
        </is>
      </c>
      <c r="H575" s="17" t="inlineStr">
        <is>
          <t>https://lankalaw.net/wp-content/uploads/2024/03/mrai69364.pdf</t>
        </is>
      </c>
      <c r="I575" s="17" t="inlineStr">
        <is>
          <t>Supporting</t>
        </is>
      </c>
      <c r="J575" s="17" t="inlineStr">
        <is>
          <t>Defines 'immovable property' for the Ordinance. The divided and defined lots 6 and 7, and the undivided share interests in them, fall within this definition, which is the term on which section 21(1) turns.
TEMPORAL: Section is part of the 1876 principal Ordinance; corpus records in_force_from_year 1876 and no amendment events, so the text was in force at each death (2008, 2009, 2010) and at the matter reference date 2018-04.</t>
        </is>
      </c>
      <c r="K575" s="17" t="inlineStr">
        <is>
          <t>[partially_verified] Excerpt is verbatim, but the corpus body of s.3 has lost the defined-term labels, so the attribution of these words to "immovable property" rests on the corpus defined_terms list and the s.21 defines edge, not on the section text as it stands in the corpus.</t>
        </is>
      </c>
      <c r="L575" s="21" t="n"/>
      <c r="M575" s="21" t="n"/>
      <c r="N575" s="21" t="n"/>
      <c r="O575" s="21" t="n"/>
      <c r="P575" s="21" t="n"/>
      <c r="Q575" s="17">
        <f>IF(OR(A575="",B575=""),"",IF(AND(L575&lt;&gt;"",P575&lt;&gt;"",IF(L575="Wrong citation",AND(M575&lt;&gt;"",N575&lt;&gt;""),TRUE)),"Complete","Pending"))</f>
        <v/>
      </c>
    </row>
    <row r="576">
      <c r="A576" s="19" t="inlineStr">
        <is>
          <t>M106-Q01</t>
        </is>
      </c>
      <c r="B576" s="19" t="inlineStr">
        <is>
          <t>PROV-M106-901</t>
        </is>
      </c>
      <c r="C576" s="17" t="inlineStr">
        <is>
          <t>Matrimonial Rights and Inheritance Ordinance No. 15 of 1876</t>
        </is>
      </c>
      <c r="D576" s="17" t="inlineStr">
        <is>
          <t>s.7</t>
        </is>
      </c>
      <c r="E576" s="17" t="inlineStr">
        <is>
          <t>2018-04</t>
        </is>
      </c>
      <c r="F576" s="17" t="inlineStr">
        <is>
          <t>Current on reference date</t>
        </is>
      </c>
      <c r="G576" s="17" t="inlineStr">
        <is>
          <t>There shall be no community of goods between husband and wife, married after the proclamation of this Ordinance, as a consequence of marriage, either in respect of movable or immovable property.</t>
        </is>
      </c>
      <c r="H576" s="17" t="inlineStr">
        <is>
          <t>https://lankalaw.net/wp-content/uploads/2024/03/mrai69364.pdf</t>
        </is>
      </c>
      <c r="I576" s="17" t="inlineStr">
        <is>
          <t>Supporting</t>
        </is>
      </c>
      <c r="J576" s="17" t="inlineStr">
        <is>
          <t>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TEMPORAL: Section is part of the 1876 principal Ordinance; corpus records in_force_from_year 1876 and no amendment events, so the text was in force at each death (2008, 2009, 2010) and at the matter reference date 2018-04.</t>
        </is>
      </c>
      <c r="K576" s="17" t="inlineStr">
        <is>
          <t>[verified] Added by the verifier; excerpt is the whole body of 15-1876/s7 and was checked verbatim.</t>
        </is>
      </c>
      <c r="L576" s="21" t="n"/>
      <c r="M576" s="21" t="n"/>
      <c r="N576" s="21" t="n"/>
      <c r="O576" s="21" t="n"/>
      <c r="P576" s="21" t="n"/>
      <c r="Q576" s="17">
        <f>IF(OR(A576="",B576=""),"",IF(AND(L576&lt;&gt;"",P576&lt;&gt;"",IF(L576="Wrong citation",AND(M576&lt;&gt;"",N576&lt;&gt;""),TRUE)),"Complete","Pending"))</f>
        <v/>
      </c>
    </row>
    <row r="577">
      <c r="A577" s="19" t="inlineStr">
        <is>
          <t>M106-Q01</t>
        </is>
      </c>
      <c r="B577" s="19" t="inlineStr">
        <is>
          <t>PROV-M106-012</t>
        </is>
      </c>
      <c r="C577" s="17" t="inlineStr">
        <is>
          <t>Matrimonial Rights and Inheritance Ordinance No. 15 of 1876</t>
        </is>
      </c>
      <c r="D577" s="17" t="inlineStr">
        <is>
          <t>s.36</t>
        </is>
      </c>
      <c r="E577" s="17" t="inlineStr">
        <is>
          <t>2018-04</t>
        </is>
      </c>
      <c r="F577" s="17" t="inlineStr">
        <is>
          <t>Current on reference date</t>
        </is>
      </c>
      <c r="G577" s="17" t="inlineStr">
        <is>
          <t>In all questions relating to the distribution of the property of an intestate, if the present Ordinance is silent, the rules of the Roman-Dutch law as it prevailed in North Holland are to govern and be followed.</t>
        </is>
      </c>
      <c r="H577" s="17" t="inlineStr">
        <is>
          <t>https://lankalaw.net/wp-content/uploads/2024/03/mrai69364.pdf</t>
        </is>
      </c>
      <c r="I577" s="17" t="inlineStr">
        <is>
          <t>Background</t>
        </is>
      </c>
      <c r="J577" s="17" t="inlineStr">
        <is>
          <t>Residual clause. Recorded as background to show that the Ordinance itself directs where to look if it were silent; here sections 22 to 27 and 30 cover each step, so no resort to the residual rule is required.
TEMPORAL: Section is part of the 1876 principal Ordinance; corpus records in_force_from_year 1876 and no amendment events, so the text was in force at each death (2008, 2009, 2010) and at the matter reference date 2018-04.</t>
        </is>
      </c>
      <c r="K577" s="17" t="inlineStr">
        <is>
          <t>[verified]</t>
        </is>
      </c>
      <c r="L577" s="21" t="n"/>
      <c r="M577" s="21" t="n"/>
      <c r="N577" s="21" t="n"/>
      <c r="O577" s="21" t="n"/>
      <c r="P577" s="21" t="n"/>
      <c r="Q577" s="17">
        <f>IF(OR(A577="",B577=""),"",IF(AND(L577&lt;&gt;"",P577&lt;&gt;"",IF(L577="Wrong citation",AND(M577&lt;&gt;"",N577&lt;&gt;""),TRUE)),"Complete","Pending"))</f>
        <v/>
      </c>
    </row>
    <row r="578">
      <c r="A578" s="19" t="inlineStr">
        <is>
          <t>M106-Q01</t>
        </is>
      </c>
      <c r="B578" s="19" t="inlineStr">
        <is>
          <t>PROV-M106-013</t>
        </is>
      </c>
      <c r="C578" s="17" t="inlineStr">
        <is>
          <t>Prevention of Frauds Ordinance No. 7 of 1840</t>
        </is>
      </c>
      <c r="D578" s="17" t="inlineStr">
        <is>
          <t>s.2 (1)</t>
        </is>
      </c>
      <c r="E578" s="17" t="inlineStr">
        <is>
          <t>2018-04</t>
        </is>
      </c>
      <c r="F578" s="17" t="inlineStr">
        <is>
          <t>Unclear</t>
        </is>
      </c>
      <c r="G578"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578" s="17" t="inlineStr">
        <is>
          <t>https://lankalaw.net/wp-content/uploads/2025/03/Prevention-of-Frauds-Consolidated-2024.pdf</t>
        </is>
      </c>
      <c r="I578" s="17" t="inlineStr">
        <is>
          <t>Background</t>
        </is>
      </c>
      <c r="J578" s="17" t="inlineStr">
        <is>
          <t>Background only: it explains why the 1998 notarially attested Deed of Transfer No. 346 was effective to move Aruni's 1/12 share to Nimal, which is the reason Nimal's estate is 6/12 and not 5/12. The share is taken from the facts, not from this section.
TEMPORAL: The corpus holds the consolidated text of section 2 as amended by Act No. 30 of 2022 and Act No. 4 of 2024. That wording was not in force in June 1998 when Deed No. 346 was executed, nor at the matter reference date 2018-04. It is recorded as background context only and no claim rests on it.</t>
        </is>
      </c>
      <c r="K578" s="17" t="inlineStr">
        <is>
          <t>[partially_verified] Excerpt verbatim and the background-only treatment is right, but the temporal note is incomplete: the corpus records three amendment events on 7-1840/s2 (No. 60 of 1947, No. 30 of 2022, No. 4 of 2024), not two, so the 1947 change is also outside the note.</t>
        </is>
      </c>
      <c r="L578" s="21" t="n"/>
      <c r="M578" s="21" t="n"/>
      <c r="N578" s="21" t="n"/>
      <c r="O578" s="21" t="n"/>
      <c r="P578" s="21" t="n"/>
      <c r="Q578" s="17">
        <f>IF(OR(A578="",B578=""),"",IF(AND(L578&lt;&gt;"",P578&lt;&gt;"",IF(L578="Wrong citation",AND(M578&lt;&gt;"",N578&lt;&gt;""),TRUE)),"Complete","Pending"))</f>
        <v/>
      </c>
    </row>
    <row r="579">
      <c r="A579" s="19" t="inlineStr">
        <is>
          <t>M106-Q01</t>
        </is>
      </c>
      <c r="B579" s="19" t="inlineStr">
        <is>
          <t>PROV-M106-902</t>
        </is>
      </c>
      <c r="C579" s="17" t="inlineStr">
        <is>
          <t>Matrimonial Rights and Inheritance Ordinance No. 15 of 1876</t>
        </is>
      </c>
      <c r="D579" s="17" t="inlineStr">
        <is>
          <t>s.33</t>
        </is>
      </c>
      <c r="E579" s="17" t="inlineStr">
        <is>
          <t>2018-04</t>
        </is>
      </c>
      <c r="F579" s="17" t="inlineStr">
        <is>
          <t>Current on reference date</t>
        </is>
      </c>
      <c r="G579" s="17" t="inlineStr">
        <is>
          <t>Illegitimate children inherit the property of their intestate mother, but not that of their father or that of the relatives of their mother.</t>
        </is>
      </c>
      <c r="H579" s="17" t="inlineStr">
        <is>
          <t>https://lankalaw.net/wp-content/uploads/2024/03/mrai69364.pdf</t>
        </is>
      </c>
      <c r="I579" s="17" t="inlineStr">
        <is>
          <t>Background</t>
        </is>
      </c>
      <c r="J579" s="17" t="inlineStr">
        <is>
          <t>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TEMPORAL: Section is part of the 1876 principal Ordinance; corpus records in_force_from_year 1876 and no amendment events, so the text was in force at each death (2008, 2009, 2010) and at the matter reference date 2018-04.</t>
        </is>
      </c>
      <c r="K579" s="17" t="inlineStr">
        <is>
          <t>[verified] Added by the verifier; excerpt is the first sentence of 15-1876/s33 and was checked verbatim. It is background, not authority for Achini's status, which the corpus cannot supply.</t>
        </is>
      </c>
      <c r="L579" s="21" t="n"/>
      <c r="M579" s="21" t="n"/>
      <c r="N579" s="21" t="n"/>
      <c r="O579" s="21" t="n"/>
      <c r="P579" s="21" t="n"/>
      <c r="Q579" s="17">
        <f>IF(OR(A579="",B579=""),"",IF(AND(L579&lt;&gt;"",P579&lt;&gt;"",IF(L579="Wrong citation",AND(M579&lt;&gt;"",N579&lt;&gt;""),TRUE)),"Complete","Pending"))</f>
        <v/>
      </c>
    </row>
    <row r="580">
      <c r="A580" s="19" t="inlineStr">
        <is>
          <t>M106-Q02</t>
        </is>
      </c>
      <c r="B580" s="19" t="inlineStr">
        <is>
          <t>PROV-M106-003</t>
        </is>
      </c>
      <c r="C580" s="17" t="inlineStr">
        <is>
          <t>Matrimonial Rights and Inheritance Ordinance No. 15 of 1876</t>
        </is>
      </c>
      <c r="D580" s="17" t="inlineStr">
        <is>
          <t>s.21 (1)</t>
        </is>
      </c>
      <c r="E580" s="17" t="inlineStr">
        <is>
          <t>2018-04</t>
        </is>
      </c>
      <c r="F580" s="17" t="inlineStr">
        <is>
          <t>Current on reference date</t>
        </is>
      </c>
      <c r="G580" s="17" t="inlineStr">
        <is>
          <t>Inheritance ab interstate to the immovable property in Sri Lanka of a person deceased shall be governed and regulated by the following provisions of this Ordinance wherever such person may have or have had his actual or matrimonial domicile.</t>
        </is>
      </c>
      <c r="H580" s="17" t="inlineStr">
        <is>
          <t>https://lankalaw.net/wp-content/uploads/2024/03/mrai69364.pdf</t>
        </is>
      </c>
      <c r="I580" s="17" t="inlineStr">
        <is>
          <t>Indispensable</t>
        </is>
      </c>
      <c r="J580" s="17" t="inlineStr">
        <is>
          <t>The subject matter is divided and defined lots of land in Galle, that is immovable property in Sri Lanka, and each of the three deaths was intestate. This subsection makes the Ordinance the governing law of the devolution, irrespective of domicile.
TEMPORAL: Section is part of the 1876 principal Ordinance; corpus records in_force_from_year 1876 and no amendment events, so the text was in force at each death (2008, 2009, 2010) and at the matter reference date 2018-04.</t>
        </is>
      </c>
      <c r="K580" s="17" t="inlineStr">
        <is>
          <t>[verified]</t>
        </is>
      </c>
      <c r="L580" s="21" t="n"/>
      <c r="M580" s="21" t="n"/>
      <c r="N580" s="21" t="n"/>
      <c r="O580" s="21" t="n"/>
      <c r="P580" s="21" t="n"/>
      <c r="Q580" s="17">
        <f>IF(OR(A580="",B580=""),"",IF(AND(L580&lt;&gt;"",P580&lt;&gt;"",IF(L580="Wrong citation",AND(M580&lt;&gt;"",N580&lt;&gt;""),TRUE)),"Complete","Pending"))</f>
        <v/>
      </c>
    </row>
    <row r="581">
      <c r="A581" s="19" t="inlineStr">
        <is>
          <t>M106-Q02</t>
        </is>
      </c>
      <c r="B581" s="19" t="inlineStr">
        <is>
          <t>PROV-M106-004</t>
        </is>
      </c>
      <c r="C581" s="17" t="inlineStr">
        <is>
          <t>Matrimonial Rights and Inheritance Ordinance No. 15 of 1876</t>
        </is>
      </c>
      <c r="D581" s="17" t="inlineStr">
        <is>
          <t>s.22</t>
        </is>
      </c>
      <c r="E581" s="17" t="inlineStr">
        <is>
          <t>2018-04</t>
        </is>
      </c>
      <c r="F581" s="17" t="inlineStr">
        <is>
          <t>Current on reference date</t>
        </is>
      </c>
      <c r="G581" s="17" t="inlineStr">
        <is>
          <t>When any person shall die intestate as to any of his or her property, leaving a spouse surviving, the surviving spouse shall inherit one-half of the property of such person.</t>
        </is>
      </c>
      <c r="H581" s="17" t="inlineStr">
        <is>
          <t>https://lankalaw.net/wp-content/uploads/2024/03/mrai69364.pdf</t>
        </is>
      </c>
      <c r="I581" s="17" t="inlineStr">
        <is>
          <t>Indispensable</t>
        </is>
      </c>
      <c r="J581" s="17" t="inlineStr">
        <is>
          <t>Gives Nalini one-half of Nimal's estate on his death in 2008, and gives Amali one-half of Bimal's estate on his death in 2010. It is the first deduction to be made from each estate before the remainder passes down the section 23 order.
TEMPORAL: Section is part of the 1876 principal Ordinance; corpus records in_force_from_year 1876 and no amendment events, so the text was in force at each death (2008, 2009, 2010) and at the matter reference date 2018-04.</t>
        </is>
      </c>
      <c r="K581" s="17" t="inlineStr">
        <is>
          <t>[verified]</t>
        </is>
      </c>
      <c r="L581" s="21" t="n"/>
      <c r="M581" s="21" t="n"/>
      <c r="N581" s="21" t="n"/>
      <c r="O581" s="21" t="n"/>
      <c r="P581" s="21" t="n"/>
      <c r="Q581" s="17">
        <f>IF(OR(A581="",B581=""),"",IF(AND(L581&lt;&gt;"",P581&lt;&gt;"",IF(L581="Wrong citation",AND(M581&lt;&gt;"",N581&lt;&gt;""),TRUE)),"Complete","Pending"))</f>
        <v/>
      </c>
    </row>
    <row r="582">
      <c r="A582" s="19" t="inlineStr">
        <is>
          <t>M106-Q02</t>
        </is>
      </c>
      <c r="B582" s="19" t="inlineStr">
        <is>
          <t>PROV-M106-005</t>
        </is>
      </c>
      <c r="C582" s="17" t="inlineStr">
        <is>
          <t>Matrimonial Rights and Inheritance Ordinance No. 15 of 1876</t>
        </is>
      </c>
      <c r="D582" s="17" t="inlineStr">
        <is>
          <t>s.23</t>
        </is>
      </c>
      <c r="E582" s="17" t="inlineStr">
        <is>
          <t>2018-04</t>
        </is>
      </c>
      <c r="F582" s="17" t="inlineStr">
        <is>
          <t>Current on reference date</t>
        </is>
      </c>
      <c r="G582" s="17" t="inlineStr">
        <is>
          <t>Subject to the right of the surviving spouse in the preceding section mentioned, the right of inheritance is divided in the following order as respects (a) descendants, (b) ascendants, (c) collaterals.</t>
        </is>
      </c>
      <c r="H582" s="17" t="inlineStr">
        <is>
          <t>https://lankalaw.net/wp-content/uploads/2024/03/mrai69364.pdf</t>
        </is>
      </c>
      <c r="I582" s="17" t="inlineStr">
        <is>
          <t>Indispensable</t>
        </is>
      </c>
      <c r="J582" s="17" t="inlineStr">
        <is>
          <t>Sets the order in which the residue after the surviving spouse's half is taken: descendants first (Nimal's and Nalini's estates), and only on their failure ascendants and then collaterals (Bimal's estate).
TEMPORAL: Section is part of the 1876 principal Ordinance; corpus records in_force_from_year 1876 and no amendment events, so the text was in force at each death (2008, 2009, 2010) and at the matter reference date 2018-04.</t>
        </is>
      </c>
      <c r="K582" s="17" t="inlineStr">
        <is>
          <t>[verified]</t>
        </is>
      </c>
      <c r="L582" s="21" t="n"/>
      <c r="M582" s="21" t="n"/>
      <c r="N582" s="21" t="n"/>
      <c r="O582" s="21" t="n"/>
      <c r="P582" s="21" t="n"/>
      <c r="Q582" s="17">
        <f>IF(OR(A582="",B582=""),"",IF(AND(L582&lt;&gt;"",P582&lt;&gt;"",IF(L582="Wrong citation",AND(M582&lt;&gt;"",N582&lt;&gt;""),TRUE)),"Complete","Pending"))</f>
        <v/>
      </c>
    </row>
    <row r="583">
      <c r="A583" s="19" t="inlineStr">
        <is>
          <t>M106-Q02</t>
        </is>
      </c>
      <c r="B583" s="19" t="inlineStr">
        <is>
          <t>PROV-M106-006</t>
        </is>
      </c>
      <c r="C583" s="17" t="inlineStr">
        <is>
          <t>Matrimonial Rights and Inheritance Ordinance No. 15 of 1876</t>
        </is>
      </c>
      <c r="D583" s="17" t="inlineStr">
        <is>
          <t>s.24</t>
        </is>
      </c>
      <c r="E583" s="17" t="inlineStr">
        <is>
          <t>2018-04</t>
        </is>
      </c>
      <c r="F583" s="17" t="inlineStr">
        <is>
          <t>Current on reference date</t>
        </is>
      </c>
      <c r="G583" s="17" t="inlineStr">
        <is>
          <t>Children, grandchildren, and remoter descendants are preferent to all others in the estate of the parents; all the children take equally per capita, but the children or remoter issue of a deceased child take per stirpes or by representation.</t>
        </is>
      </c>
      <c r="H583" s="17" t="inlineStr">
        <is>
          <t>https://lankalaw.net/wp-content/uploads/2024/03/mrai69364.pdf</t>
        </is>
      </c>
      <c r="I583" s="17" t="inlineStr">
        <is>
          <t>Indispensable</t>
        </is>
      </c>
      <c r="J583" s="17" t="inlineStr">
        <is>
          <t>Divides the residue of Nimal's estate equally among his four surviving children (Achini, Amal, Bimal, Krishni), and the whole of Nalini's estate equally among her three children (Amal, Bimal, Krishni). Achini, not being a child of Nalini, is excluded from Nalini's estate.
TEMPORAL: Section is part of the 1876 principal Ordinance; corpus records in_force_from_year 1876 and no amendment events, so the text was in force at each death (2008, 2009, 2010) and at the matter reference date 2018-04.</t>
        </is>
      </c>
      <c r="K583" s="17" t="inlineStr">
        <is>
          <t>[verified]</t>
        </is>
      </c>
      <c r="L583" s="21" t="n"/>
      <c r="M583" s="21" t="n"/>
      <c r="N583" s="21" t="n"/>
      <c r="O583" s="21" t="n"/>
      <c r="P583" s="21" t="n"/>
      <c r="Q583" s="17">
        <f>IF(OR(A583="",B583=""),"",IF(AND(L583&lt;&gt;"",P583&lt;&gt;"",IF(L583="Wrong citation",AND(M583&lt;&gt;"",N583&lt;&gt;""),TRUE)),"Complete","Pending"))</f>
        <v/>
      </c>
    </row>
    <row r="584">
      <c r="A584" s="19" t="inlineStr">
        <is>
          <t>M106-Q02</t>
        </is>
      </c>
      <c r="B584" s="19" t="inlineStr">
        <is>
          <t>PROV-M106-007</t>
        </is>
      </c>
      <c r="C584" s="17" t="inlineStr">
        <is>
          <t>Matrimonial Rights and Inheritance Ordinance No. 15 of 1876</t>
        </is>
      </c>
      <c r="D584" s="17" t="inlineStr">
        <is>
          <t>s.25</t>
        </is>
      </c>
      <c r="E584" s="17" t="inlineStr">
        <is>
          <t>2018-04</t>
        </is>
      </c>
      <c r="F584" s="17" t="inlineStr">
        <is>
          <t>Current on reference date</t>
        </is>
      </c>
      <c r="G584" s="17" t="inlineStr">
        <is>
          <t>The children and remoter descendants failing, the inheritance of the deceased goes to his father and mother in case they are both alive; but if only one of the parents be alive, the surviving parent takes half</t>
        </is>
      </c>
      <c r="H584" s="17" t="inlineStr">
        <is>
          <t>https://lankalaw.net/wp-content/uploads/2024/03/mrai69364.pdf</t>
        </is>
      </c>
      <c r="I584" s="17" t="inlineStr">
        <is>
          <t>Indispensable</t>
        </is>
      </c>
      <c r="J584" s="17" t="inlineStr">
        <is>
          <t>Bimal died issueless, so his descendants fail and the residue after Amali's half would go to his parents. Both Nimal and Nalini had already died, so no ascendant of the first degree survives and the devolution moves on to collaterals.
TEMPORAL: Section is part of the 1876 principal Ordinance; corpus records in_force_from_year 1876 and no amendment events, so the text was in force at each death (2008, 2009, 2010) and at the matter reference date 2018-04.</t>
        </is>
      </c>
      <c r="K584" s="17" t="inlineStr">
        <is>
          <t>[verified]</t>
        </is>
      </c>
      <c r="L584" s="21" t="n"/>
      <c r="M584" s="21" t="n"/>
      <c r="N584" s="21" t="n"/>
      <c r="O584" s="21" t="n"/>
      <c r="P584" s="21" t="n"/>
      <c r="Q584" s="17">
        <f>IF(OR(A584="",B584=""),"",IF(AND(L584&lt;&gt;"",P584&lt;&gt;"",IF(L584="Wrong citation",AND(M584&lt;&gt;"",N584&lt;&gt;""),TRUE)),"Complete","Pending"))</f>
        <v/>
      </c>
    </row>
    <row r="585">
      <c r="A585" s="19" t="inlineStr">
        <is>
          <t>M106-Q02</t>
        </is>
      </c>
      <c r="B585" s="19" t="inlineStr">
        <is>
          <t>PROV-M106-008</t>
        </is>
      </c>
      <c r="C585" s="17" t="inlineStr">
        <is>
          <t>Matrimonial Rights and Inheritance Ordinance No. 15 of 1876</t>
        </is>
      </c>
      <c r="D585" s="17" t="inlineStr">
        <is>
          <t>s.26</t>
        </is>
      </c>
      <c r="E585" s="17" t="inlineStr">
        <is>
          <t>2018-04</t>
        </is>
      </c>
      <c r="F585" s="17" t="inlineStr">
        <is>
          <t>Current on reference date</t>
        </is>
      </c>
      <c r="G585" s="17" t="inlineStr">
        <is>
          <t>Father and mother both failing, the property of the intestate goes to his brothers and sisters, whether of the whole or balf-blood, and their children and other issue by representation.</t>
        </is>
      </c>
      <c r="H585" s="17" t="inlineStr">
        <is>
          <t>https://lankalaw.net/wp-content/uploads/2024/03/mrai69364.pdf</t>
        </is>
      </c>
      <c r="I585" s="17" t="inlineStr">
        <is>
          <t>Indispensable</t>
        </is>
      </c>
      <c r="J585" s="17" t="inlineStr">
        <is>
          <t>Both of Bimal's parents having predeceased him, the residue of his estate after Amali's half goes to his brothers and sisters, expressly including half-blood siblings. This brings in Amal and Krishni (full blood) and Achini (half blood on the father's side).
TEMPORAL: Section is part of the 1876 principal Ordinance; corpus records in_force_from_year 1876 and no amendment events, so the text was in force at each death (2008, 2009, 2010) and at the matter reference date 2018-04.</t>
        </is>
      </c>
      <c r="K585" s="17" t="inlineStr">
        <is>
          <t>[verified] Wording and role confirmed; note that the corpus body carries the OCR form "balf-blood" where the Ordinance reads "half-blood", so the excerpt reproduces a corpus artefact rather than a drafting variant.</t>
        </is>
      </c>
      <c r="L585" s="21" t="n"/>
      <c r="M585" s="21" t="n"/>
      <c r="N585" s="21" t="n"/>
      <c r="O585" s="21" t="n"/>
      <c r="P585" s="21" t="n"/>
      <c r="Q585" s="17">
        <f>IF(OR(A585="",B585=""),"",IF(AND(L585&lt;&gt;"",P585&lt;&gt;"",IF(L585="Wrong citation",AND(M585&lt;&gt;"",N585&lt;&gt;""),TRUE)),"Complete","Pending"))</f>
        <v/>
      </c>
    </row>
    <row r="586">
      <c r="A586" s="19" t="inlineStr">
        <is>
          <t>M106-Q02</t>
        </is>
      </c>
      <c r="B586" s="19" t="inlineStr">
        <is>
          <t>PROV-M106-009</t>
        </is>
      </c>
      <c r="C586" s="17" t="inlineStr">
        <is>
          <t>Matrimonial Rights and Inheritance Ordinance No. 15 of 1876</t>
        </is>
      </c>
      <c r="D586" s="17" t="inlineStr">
        <is>
          <t>s.27</t>
        </is>
      </c>
      <c r="E586" s="17" t="inlineStr">
        <is>
          <t>2018-04</t>
        </is>
      </c>
      <c r="F586" s="17" t="inlineStr">
        <is>
          <t>Current on reference date</t>
        </is>
      </c>
      <c r="G586"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586" s="17" t="inlineStr">
        <is>
          <t>https://lankalaw.net/wp-content/uploads/2024/03/mrai69364.pdf</t>
        </is>
      </c>
      <c r="I586" s="17" t="inlineStr">
        <is>
          <t>Indispensable</t>
        </is>
      </c>
      <c r="J586" s="17" t="inlineStr">
        <is>
          <t>Achini is a half-sister on the father's side only and there is no half-sibling on the mother's side. This limb therefore governs: Amal and Krishni take one half of the sibling portion of Bimal's estate first, and share the other half with Achini.
TEMPORAL: Section is part of the 1876 principal Ordinance; corpus records in_force_from_year 1876 and no amendment events, so the text was in force at each death (2008, 2009, 2010) and at the matter reference date 2018-04.</t>
        </is>
      </c>
      <c r="K586" s="17" t="inlineStr">
        <is>
          <t>[partially_verified]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t>
        </is>
      </c>
      <c r="L586" s="21" t="n"/>
      <c r="M586" s="21" t="n"/>
      <c r="N586" s="21" t="n"/>
      <c r="O586" s="21" t="n"/>
      <c r="P586" s="21" t="n"/>
      <c r="Q586" s="17">
        <f>IF(OR(A586="",B586=""),"",IF(AND(L586&lt;&gt;"",P586&lt;&gt;"",IF(L586="Wrong citation",AND(M586&lt;&gt;"",N586&lt;&gt;""),TRUE)),"Complete","Pending"))</f>
        <v/>
      </c>
    </row>
    <row r="587">
      <c r="A587" s="19" t="inlineStr">
        <is>
          <t>M106-Q02</t>
        </is>
      </c>
      <c r="B587" s="19" t="inlineStr">
        <is>
          <t>PROV-M106-001</t>
        </is>
      </c>
      <c r="C587" s="17" t="inlineStr">
        <is>
          <t>Matrimonial Rights and Inheritance Ordinance No. 15 of 1876</t>
        </is>
      </c>
      <c r="D587" s="17" t="inlineStr">
        <is>
          <t>s.2</t>
        </is>
      </c>
      <c r="E587" s="17" t="inlineStr">
        <is>
          <t>2018-04</t>
        </is>
      </c>
      <c r="F587" s="17" t="inlineStr">
        <is>
          <t>Current on reference date</t>
        </is>
      </c>
      <c r="G587" s="17" t="inlineStr">
        <is>
          <t>Save as aforesaid, this Ordinance shall not apply to Kandyans or Muslims, or to Tamils of the Northern Province who are or may become subject to the Tesawalamai.</t>
        </is>
      </c>
      <c r="H587" s="17" t="inlineStr">
        <is>
          <t>https://lankalaw.net/wp-content/uploads/2024/03/mrai69364.pdf</t>
        </is>
      </c>
      <c r="I587" s="17" t="inlineStr">
        <is>
          <t>Supporting</t>
        </is>
      </c>
      <c r="J587" s="17" t="inlineStr">
        <is>
          <t>Fixes the personal-law gateway. Nothing in the facts indicates that Nimal or his family were Kandyan, Muslim or Tamils of the Northern Province subject to the Thesawalamai, so the general law of intestate succession in this Ordinance applies to the devolution of lots 6 and 7.
TEMPORAL: Section is part of the 1876 principal Ordinance; corpus records in_force_from_year 1876 and no amendment events, so the text was in force at each death (2008, 2009, 2010) and at the matter reference date 2018-04.</t>
        </is>
      </c>
      <c r="K587" s="17" t="inlineStr">
        <is>
          <t>[verified]</t>
        </is>
      </c>
      <c r="L587" s="21" t="n"/>
      <c r="M587" s="21" t="n"/>
      <c r="N587" s="21" t="n"/>
      <c r="O587" s="21" t="n"/>
      <c r="P587" s="21" t="n"/>
      <c r="Q587" s="17">
        <f>IF(OR(A587="",B587=""),"",IF(AND(L587&lt;&gt;"",P587&lt;&gt;"",IF(L587="Wrong citation",AND(M587&lt;&gt;"",N587&lt;&gt;""),TRUE)),"Complete","Pending"))</f>
        <v/>
      </c>
    </row>
    <row r="588">
      <c r="A588" s="19" t="inlineStr">
        <is>
          <t>M106-Q02</t>
        </is>
      </c>
      <c r="B588" s="19" t="inlineStr">
        <is>
          <t>PROV-M106-002</t>
        </is>
      </c>
      <c r="C588" s="17" t="inlineStr">
        <is>
          <t>Matrimonial Rights and Inheritance Ordinance No. 15 of 1876</t>
        </is>
      </c>
      <c r="D588" s="17" t="inlineStr">
        <is>
          <t>s.20</t>
        </is>
      </c>
      <c r="E588" s="17" t="inlineStr">
        <is>
          <t>2018-04</t>
        </is>
      </c>
      <c r="F588" s="17" t="inlineStr">
        <is>
          <t>Current on reference date</t>
        </is>
      </c>
      <c r="G588"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588" s="17" t="inlineStr">
        <is>
          <t>https://lankalaw.net/wp-content/uploads/2024/03/mrai69364.pdf</t>
        </is>
      </c>
      <c r="I588" s="17" t="inlineStr">
        <is>
          <t>Supporting</t>
        </is>
      </c>
      <c r="J588" s="17" t="inlineStr">
        <is>
          <t>Temporal condition on Part III. Every death in the scenario (2008, 2009, 2010) and every marriage in it post-dates the 1876 proclamation, so the inheritance sections apply to each of these estates.
TEMPORAL: Section is part of the 1876 principal Ordinance; corpus records in_force_from_year 1876 and no amendment events, so the text was in force at each death (2008, 2009, 2010) and at the matter reference date 2018-04.</t>
        </is>
      </c>
      <c r="K588" s="17" t="inlineStr">
        <is>
          <t>[verified]</t>
        </is>
      </c>
      <c r="L588" s="21" t="n"/>
      <c r="M588" s="21" t="n"/>
      <c r="N588" s="21" t="n"/>
      <c r="O588" s="21" t="n"/>
      <c r="P588" s="21" t="n"/>
      <c r="Q588" s="17">
        <f>IF(OR(A588="",B588=""),"",IF(AND(L588&lt;&gt;"",P588&lt;&gt;"",IF(L588="Wrong citation",AND(M588&lt;&gt;"",N588&lt;&gt;""),TRUE)),"Complete","Pending"))</f>
        <v/>
      </c>
    </row>
    <row r="589">
      <c r="A589" s="19" t="inlineStr">
        <is>
          <t>M106-Q02</t>
        </is>
      </c>
      <c r="B589" s="19" t="inlineStr">
        <is>
          <t>PROV-M106-010</t>
        </is>
      </c>
      <c r="C589" s="17" t="inlineStr">
        <is>
          <t>Matrimonial Rights and Inheritance Ordinance No. 15 of 1876</t>
        </is>
      </c>
      <c r="D589" s="17" t="inlineStr">
        <is>
          <t>s.30</t>
        </is>
      </c>
      <c r="E589" s="17" t="inlineStr">
        <is>
          <t>2018-04</t>
        </is>
      </c>
      <c r="F589" s="17" t="inlineStr">
        <is>
          <t>Current on reference date</t>
        </is>
      </c>
      <c r="G589" s="17" t="inlineStr">
        <is>
          <t>if all those who succeed to the inheritance are equally near in degree to the intestate, they take per capita, and not per stirpes.</t>
        </is>
      </c>
      <c r="H589" s="17" t="inlineStr">
        <is>
          <t>https://lankalaw.net/wp-content/uploads/2024/03/mrai69364.pdf</t>
        </is>
      </c>
      <c r="I589" s="17" t="inlineStr">
        <is>
          <t>Supporting</t>
        </is>
      </c>
      <c r="J589" s="17" t="inlineStr">
        <is>
          <t>Confirms per capita division among heirs of the same degree: the four children of Nimal, the three children of Nalini, and the three siblings sharing the second half of the sibling portion of Bimal's estate.
TEMPORAL: Section is part of the 1876 principal Ordinance; corpus records in_force_from_year 1876 and no amendment events, so the text was in force at each death (2008, 2009, 2010) and at the matter reference date 2018-04.</t>
        </is>
      </c>
      <c r="K589" s="17" t="inlineStr">
        <is>
          <t>[partially_verified]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t>
        </is>
      </c>
      <c r="L589" s="21" t="n"/>
      <c r="M589" s="21" t="n"/>
      <c r="N589" s="21" t="n"/>
      <c r="O589" s="21" t="n"/>
      <c r="P589" s="21" t="n"/>
      <c r="Q589" s="17">
        <f>IF(OR(A589="",B589=""),"",IF(AND(L589&lt;&gt;"",P589&lt;&gt;"",IF(L589="Wrong citation",AND(M589&lt;&gt;"",N589&lt;&gt;""),TRUE)),"Complete","Pending"))</f>
        <v/>
      </c>
    </row>
    <row r="590">
      <c r="A590" s="19" t="inlineStr">
        <is>
          <t>M106-Q02</t>
        </is>
      </c>
      <c r="B590" s="19" t="inlineStr">
        <is>
          <t>PROV-M106-011</t>
        </is>
      </c>
      <c r="C590" s="17" t="inlineStr">
        <is>
          <t>Matrimonial Rights and Inheritance Ordinance No. 15 of 1876</t>
        </is>
      </c>
      <c r="D590" s="17" t="inlineStr">
        <is>
          <t>s.3</t>
        </is>
      </c>
      <c r="E590" s="17" t="inlineStr">
        <is>
          <t>2018-04</t>
        </is>
      </c>
      <c r="F590" s="17" t="inlineStr">
        <is>
          <t>Current on reference date</t>
        </is>
      </c>
      <c r="G590" s="17" t="inlineStr">
        <is>
          <t>includes land, incorporeal tenements, and things attached to the earth or permanently fastened to anything which is attached to the earth, and any interest in land except that of a mortgagee</t>
        </is>
      </c>
      <c r="H590" s="17" t="inlineStr">
        <is>
          <t>https://lankalaw.net/wp-content/uploads/2024/03/mrai69364.pdf</t>
        </is>
      </c>
      <c r="I590" s="17" t="inlineStr">
        <is>
          <t>Supporting</t>
        </is>
      </c>
      <c r="J590" s="17" t="inlineStr">
        <is>
          <t>Defines 'immovable property' for the Ordinance. The divided and defined lots 6 and 7, and the undivided share interests in them, fall within this definition, which is the term on which section 21(1) turns.
TEMPORAL: Section is part of the 1876 principal Ordinance; corpus records in_force_from_year 1876 and no amendment events, so the text was in force at each death (2008, 2009, 2010) and at the matter reference date 2018-04.</t>
        </is>
      </c>
      <c r="K590" s="17" t="inlineStr">
        <is>
          <t>[partially_verified] Excerpt is verbatim, but the corpus body of s.3 has lost the defined-term labels, so the attribution of these words to "immovable property" rests on the corpus defined_terms list and the s.21 defines edge, not on the section text as it stands in the corpus.</t>
        </is>
      </c>
      <c r="L590" s="21" t="n"/>
      <c r="M590" s="21" t="n"/>
      <c r="N590" s="21" t="n"/>
      <c r="O590" s="21" t="n"/>
      <c r="P590" s="21" t="n"/>
      <c r="Q590" s="17">
        <f>IF(OR(A590="",B590=""),"",IF(AND(L590&lt;&gt;"",P590&lt;&gt;"",IF(L590="Wrong citation",AND(M590&lt;&gt;"",N590&lt;&gt;""),TRUE)),"Complete","Pending"))</f>
        <v/>
      </c>
    </row>
    <row r="591">
      <c r="A591" s="19" t="inlineStr">
        <is>
          <t>M106-Q02</t>
        </is>
      </c>
      <c r="B591" s="19" t="inlineStr">
        <is>
          <t>PROV-M106-901</t>
        </is>
      </c>
      <c r="C591" s="17" t="inlineStr">
        <is>
          <t>Matrimonial Rights and Inheritance Ordinance No. 15 of 1876</t>
        </is>
      </c>
      <c r="D591" s="17" t="inlineStr">
        <is>
          <t>s.7</t>
        </is>
      </c>
      <c r="E591" s="17" t="inlineStr">
        <is>
          <t>2018-04</t>
        </is>
      </c>
      <c r="F591" s="17" t="inlineStr">
        <is>
          <t>Current on reference date</t>
        </is>
      </c>
      <c r="G591" s="17" t="inlineStr">
        <is>
          <t>There shall be no community of goods between husband and wife, married after the proclamation of this Ordinance, as a consequence of marriage, either in respect of movable or immovable property.</t>
        </is>
      </c>
      <c r="H591" s="17" t="inlineStr">
        <is>
          <t>https://lankalaw.net/wp-content/uploads/2024/03/mrai69364.pdf</t>
        </is>
      </c>
      <c r="I591" s="17" t="inlineStr">
        <is>
          <t>Supporting</t>
        </is>
      </c>
      <c r="J591" s="17" t="inlineStr">
        <is>
          <t>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TEMPORAL: Section is part of the 1876 principal Ordinance; corpus records in_force_from_year 1876 and no amendment events, so the text was in force at each death (2008, 2009, 2010) and at the matter reference date 2018-04.</t>
        </is>
      </c>
      <c r="K591" s="17" t="inlineStr">
        <is>
          <t>[verified] Added by the verifier; excerpt is the whole body of 15-1876/s7 and was checked verbatim.</t>
        </is>
      </c>
      <c r="L591" s="21" t="n"/>
      <c r="M591" s="21" t="n"/>
      <c r="N591" s="21" t="n"/>
      <c r="O591" s="21" t="n"/>
      <c r="P591" s="21" t="n"/>
      <c r="Q591" s="17">
        <f>IF(OR(A591="",B591=""),"",IF(AND(L591&lt;&gt;"",P591&lt;&gt;"",IF(L591="Wrong citation",AND(M591&lt;&gt;"",N591&lt;&gt;""),TRUE)),"Complete","Pending"))</f>
        <v/>
      </c>
    </row>
    <row r="592">
      <c r="A592" s="19" t="inlineStr">
        <is>
          <t>M106-Q02</t>
        </is>
      </c>
      <c r="B592" s="19" t="inlineStr">
        <is>
          <t>PROV-M106-012</t>
        </is>
      </c>
      <c r="C592" s="17" t="inlineStr">
        <is>
          <t>Matrimonial Rights and Inheritance Ordinance No. 15 of 1876</t>
        </is>
      </c>
      <c r="D592" s="17" t="inlineStr">
        <is>
          <t>s.36</t>
        </is>
      </c>
      <c r="E592" s="17" t="inlineStr">
        <is>
          <t>2018-04</t>
        </is>
      </c>
      <c r="F592" s="17" t="inlineStr">
        <is>
          <t>Current on reference date</t>
        </is>
      </c>
      <c r="G592" s="17" t="inlineStr">
        <is>
          <t>In all questions relating to the distribution of the property of an intestate, if the present Ordinance is silent, the rules of the Roman-Dutch law as it prevailed in North Holland are to govern and be followed.</t>
        </is>
      </c>
      <c r="H592" s="17" t="inlineStr">
        <is>
          <t>https://lankalaw.net/wp-content/uploads/2024/03/mrai69364.pdf</t>
        </is>
      </c>
      <c r="I592" s="17" t="inlineStr">
        <is>
          <t>Background</t>
        </is>
      </c>
      <c r="J592" s="17" t="inlineStr">
        <is>
          <t>Residual clause. Recorded as background to show that the Ordinance itself directs where to look if it were silent; here sections 22 to 27 and 30 cover each step, so no resort to the residual rule is required.
TEMPORAL: Section is part of the 1876 principal Ordinance; corpus records in_force_from_year 1876 and no amendment events, so the text was in force at each death (2008, 2009, 2010) and at the matter reference date 2018-04.</t>
        </is>
      </c>
      <c r="K592" s="17" t="inlineStr">
        <is>
          <t>[verified]</t>
        </is>
      </c>
      <c r="L592" s="21" t="n"/>
      <c r="M592" s="21" t="n"/>
      <c r="N592" s="21" t="n"/>
      <c r="O592" s="21" t="n"/>
      <c r="P592" s="21" t="n"/>
      <c r="Q592" s="17">
        <f>IF(OR(A592="",B592=""),"",IF(AND(L592&lt;&gt;"",P592&lt;&gt;"",IF(L592="Wrong citation",AND(M592&lt;&gt;"",N592&lt;&gt;""),TRUE)),"Complete","Pending"))</f>
        <v/>
      </c>
    </row>
    <row r="593">
      <c r="A593" s="19" t="inlineStr">
        <is>
          <t>M106-Q02</t>
        </is>
      </c>
      <c r="B593" s="19" t="inlineStr">
        <is>
          <t>PROV-M106-013</t>
        </is>
      </c>
      <c r="C593" s="17" t="inlineStr">
        <is>
          <t>Prevention of Frauds Ordinance No. 7 of 1840</t>
        </is>
      </c>
      <c r="D593" s="17" t="inlineStr">
        <is>
          <t>s.2 (1)</t>
        </is>
      </c>
      <c r="E593" s="17" t="inlineStr">
        <is>
          <t>2018-04</t>
        </is>
      </c>
      <c r="F593" s="17" t="inlineStr">
        <is>
          <t>Unclear</t>
        </is>
      </c>
      <c r="G593"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593" s="17" t="inlineStr">
        <is>
          <t>https://lankalaw.net/wp-content/uploads/2025/03/Prevention-of-Frauds-Consolidated-2024.pdf</t>
        </is>
      </c>
      <c r="I593" s="17" t="inlineStr">
        <is>
          <t>Background</t>
        </is>
      </c>
      <c r="J593" s="17" t="inlineStr">
        <is>
          <t>Background only: it explains why the 1998 notarially attested Deed of Transfer No. 346 was effective to move Aruni's 1/12 share to Nimal, which is the reason Nimal's estate is 6/12 and not 5/12. The share is taken from the facts, not from this section.
TEMPORAL: The corpus holds the consolidated text of section 2 as amended by Act No. 30 of 2022 and Act No. 4 of 2024. That wording was not in force in June 1998 when Deed No. 346 was executed, nor at the matter reference date 2018-04. It is recorded as background context only and no claim rests on it.</t>
        </is>
      </c>
      <c r="K593" s="17" t="inlineStr">
        <is>
          <t>[partially_verified] Excerpt verbatim and the background-only treatment is right, but the temporal note is incomplete: the corpus records three amendment events on 7-1840/s2 (No. 60 of 1947, No. 30 of 2022, No. 4 of 2024), not two, so the 1947 change is also outside the note.</t>
        </is>
      </c>
      <c r="L593" s="21" t="n"/>
      <c r="M593" s="21" t="n"/>
      <c r="N593" s="21" t="n"/>
      <c r="O593" s="21" t="n"/>
      <c r="P593" s="21" t="n"/>
      <c r="Q593" s="17">
        <f>IF(OR(A593="",B593=""),"",IF(AND(L593&lt;&gt;"",P593&lt;&gt;"",IF(L593="Wrong citation",AND(M593&lt;&gt;"",N593&lt;&gt;""),TRUE)),"Complete","Pending"))</f>
        <v/>
      </c>
    </row>
    <row r="594">
      <c r="A594" s="19" t="inlineStr">
        <is>
          <t>M106-Q02</t>
        </is>
      </c>
      <c r="B594" s="19" t="inlineStr">
        <is>
          <t>PROV-M106-902</t>
        </is>
      </c>
      <c r="C594" s="17" t="inlineStr">
        <is>
          <t>Matrimonial Rights and Inheritance Ordinance No. 15 of 1876</t>
        </is>
      </c>
      <c r="D594" s="17" t="inlineStr">
        <is>
          <t>s.33</t>
        </is>
      </c>
      <c r="E594" s="17" t="inlineStr">
        <is>
          <t>2018-04</t>
        </is>
      </c>
      <c r="F594" s="17" t="inlineStr">
        <is>
          <t>Current on reference date</t>
        </is>
      </c>
      <c r="G594" s="17" t="inlineStr">
        <is>
          <t>Illegitimate children inherit the property of their intestate mother, but not that of their father or that of the relatives of their mother.</t>
        </is>
      </c>
      <c r="H594" s="17" t="inlineStr">
        <is>
          <t>https://lankalaw.net/wp-content/uploads/2024/03/mrai69364.pdf</t>
        </is>
      </c>
      <c r="I594" s="17" t="inlineStr">
        <is>
          <t>Background</t>
        </is>
      </c>
      <c r="J594" s="17" t="inlineStr">
        <is>
          <t>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TEMPORAL: Section is part of the 1876 principal Ordinance; corpus records in_force_from_year 1876 and no amendment events, so the text was in force at each death (2008, 2009, 2010) and at the matter reference date 2018-04.</t>
        </is>
      </c>
      <c r="K594" s="17" t="inlineStr">
        <is>
          <t>[verified] Added by the verifier; excerpt is the first sentence of 15-1876/s33 and was checked verbatim. It is background, not authority for Achini's status, which the corpus cannot supply.</t>
        </is>
      </c>
      <c r="L594" s="21" t="n"/>
      <c r="M594" s="21" t="n"/>
      <c r="N594" s="21" t="n"/>
      <c r="O594" s="21" t="n"/>
      <c r="P594" s="21" t="n"/>
      <c r="Q594" s="17">
        <f>IF(OR(A594="",B594=""),"",IF(AND(L594&lt;&gt;"",P594&lt;&gt;"",IF(L594="Wrong citation",AND(M594&lt;&gt;"",N594&lt;&gt;""),TRUE)),"Complete","Pending"))</f>
        <v/>
      </c>
    </row>
    <row r="595">
      <c r="A595" s="19" t="inlineStr">
        <is>
          <t>M108-Q01</t>
        </is>
      </c>
      <c r="B595" s="19" t="inlineStr">
        <is>
          <t>PROV-M108-001</t>
        </is>
      </c>
      <c r="C595" s="17" t="inlineStr">
        <is>
          <t>Apartment Ownership Law No. 11 of 1973</t>
        </is>
      </c>
      <c r="D595" s="17" t="inlineStr">
        <is>
          <t>s.9 (1)</t>
        </is>
      </c>
      <c r="E595" s="17" t="inlineStr">
        <is>
          <t>2018-04</t>
        </is>
      </c>
      <c r="F595" s="17" t="inlineStr">
        <is>
          <t>Current on reference date</t>
        </is>
      </c>
      <c r="G595" s="17" t="inlineStr">
        <is>
          <t>the common elements shall be held by the owners of all the condominium parcels as tenants in common proportional to their respective share parcels</t>
        </is>
      </c>
      <c r="H595" s="17" t="inlineStr">
        <is>
          <t>https://www.ccisrilanka.org/wp-content/uploads/2021/04/Apartment-Ownership-Law-No-11-of-1973.pdf</t>
        </is>
      </c>
      <c r="I595" s="17" t="inlineStr">
        <is>
          <t>Indispensable</t>
        </is>
      </c>
      <c r="J595" s="17" t="inlineStr">
        <is>
          <t>Fixes who owns the land on which a registered condominium stands: once the Condominium Plan is registered the land parcel outside the condominium parcels becomes common elements held by the parcel owners as tenants in common in proportion to their share parcels. Gihan owns no condominium parcel, so he can hold no share in that land.
TEMPORAL: In force from 1973; last amended by Act No. 39 of 2003 s.13, some fifteen years before the matter reference date of 2018-04. The consolidated text used here is the text in force in April 2018.</t>
        </is>
      </c>
      <c r="K595" s="17" t="inlineStr">
        <is>
          <t>[verified] Excerpt is verbatim in 11-1973/s9(1) and states what why_relevant claims; the section is in force from 1973 with amendment events in 1982 and 2003 only, so the consolidated text is the text in force in April 2018.</t>
        </is>
      </c>
      <c r="L595" s="21" t="n"/>
      <c r="M595" s="21" t="n"/>
      <c r="N595" s="21" t="n"/>
      <c r="O595" s="21" t="n"/>
      <c r="P595" s="21" t="n"/>
      <c r="Q595" s="17">
        <f>IF(OR(A595="",B595=""),"",IF(AND(L595&lt;&gt;"",P595&lt;&gt;"",IF(L595="Wrong citation",AND(M595&lt;&gt;"",N595&lt;&gt;""),TRUE)),"Complete","Pending"))</f>
        <v/>
      </c>
    </row>
    <row r="596">
      <c r="A596" s="19" t="inlineStr">
        <is>
          <t>M108-Q01</t>
        </is>
      </c>
      <c r="B596" s="19" t="inlineStr">
        <is>
          <t>PROV-M108-002</t>
        </is>
      </c>
      <c r="C596" s="17" t="inlineStr">
        <is>
          <t>Apartment Ownership Law No. 11 of 1973</t>
        </is>
      </c>
      <c r="D596" s="17" t="inlineStr">
        <is>
          <t>s.9 (5)</t>
        </is>
      </c>
      <c r="E596" s="17" t="inlineStr">
        <is>
          <t>2018-04</t>
        </is>
      </c>
      <c r="F596" s="17" t="inlineStr">
        <is>
          <t>Current on reference date</t>
        </is>
      </c>
      <c r="G596" s="17" t="inlineStr">
        <is>
          <t>each condominium parcel depicted therein together with the common elements appurtenant thereto shall be deemed to be absolutely owned by the person or persons described in the relevant plan as the owner or owners of the Condominium Property</t>
        </is>
      </c>
      <c r="H596" s="17" t="inlineStr">
        <is>
          <t>https://www.ccisrilanka.org/wp-content/uploads/2021/04/Apartment-Ownership-Law-No-11-of-1973.pdf</t>
        </is>
      </c>
      <c r="I596" s="17" t="inlineStr">
        <is>
          <t>Indispensable</t>
        </is>
      </c>
      <c r="J596" s="17" t="inlineStr">
        <is>
          <t>Confirms that on registration of the Condominium Plan absolute ownership vests in the person described in the plan as owner. Rehan, being so described, is the absolute owner; a stranger's declaration cannot displace that deemed ownership.
TEMPORAL: In force from 1973; subsection (5) in its present form comes from Act No. 39 of 2003 s.13, well before 2018-04.</t>
        </is>
      </c>
      <c r="K596" s="17" t="inlineStr">
        <is>
          <t>[verified] Excerpt is verbatim in 11-1973/s9(5); the omitted tail, which saves the rights of mortgagees and compensation claimants, does not qualify the deeming of absolute ownership relied on here.</t>
        </is>
      </c>
      <c r="L596" s="21" t="n"/>
      <c r="M596" s="21" t="n"/>
      <c r="N596" s="21" t="n"/>
      <c r="O596" s="21" t="n"/>
      <c r="P596" s="21" t="n"/>
      <c r="Q596" s="17">
        <f>IF(OR(A596="",B596=""),"",IF(AND(L596&lt;&gt;"",P596&lt;&gt;"",IF(L596="Wrong citation",AND(M596&lt;&gt;"",N596&lt;&gt;""),TRUE)),"Complete","Pending"))</f>
        <v/>
      </c>
    </row>
    <row r="597">
      <c r="A597" s="19" t="inlineStr">
        <is>
          <t>M108-Q01</t>
        </is>
      </c>
      <c r="B597" s="19" t="inlineStr">
        <is>
          <t>PROV-M108-003</t>
        </is>
      </c>
      <c r="C597" s="17" t="inlineStr">
        <is>
          <t>Apartment Ownership Law No. 11 of 1973</t>
        </is>
      </c>
      <c r="D597" s="17" t="inlineStr">
        <is>
          <t>s.11</t>
        </is>
      </c>
      <c r="E597" s="17" t="inlineStr">
        <is>
          <t>2018-04</t>
        </is>
      </c>
      <c r="F597" s="17" t="inlineStr">
        <is>
          <t>Current on reference date</t>
        </is>
      </c>
      <c r="G597" s="17" t="inlineStr">
        <is>
          <t>No share in the common elements of a registered, Condominium Property or of a registered Semi Condominium Property shall be disposed of or otherwise dealt with except as appurtenant to a condominium parcel of such property</t>
        </is>
      </c>
      <c r="H597" s="17" t="inlineStr">
        <is>
          <t>https://www.ccisrilanka.org/wp-content/uploads/2021/04/Apartment-Ownership-Law-No-11-of-1973.pdf</t>
        </is>
      </c>
      <c r="I597" s="17" t="inlineStr">
        <is>
          <t>Indispensable</t>
        </is>
      </c>
      <c r="J597" s="17" t="inlineStr">
        <is>
          <t>The central prohibition. A Deed of Declaration claiming a half share of the land on which the condominium stands is a dealing with a share in the common elements otherwise than as appurtenant to a condominium parcel, which this section forbids outright.
TEMPORAL: In force from 1973; last amended by Act No. 39 of 2003 s.16, before the matter reference date.</t>
        </is>
      </c>
      <c r="K597" s="17" t="inlineStr">
        <is>
          <t>[partially_verified] Wording is verbatim and s.11 does bar a share in the common elements from being held otherwise than as appurtenant to a condominium parcel, but it regulates dealings with a share that exists, so on these facts it reinforces rather than supplies the answer, which turns first on s.9(1) and s.9(5) leaving Gihan with no share at all.</t>
        </is>
      </c>
      <c r="L597" s="21" t="n"/>
      <c r="M597" s="21" t="n"/>
      <c r="N597" s="21" t="n"/>
      <c r="O597" s="21" t="n"/>
      <c r="P597" s="21" t="n"/>
      <c r="Q597" s="17">
        <f>IF(OR(A597="",B597=""),"",IF(AND(L597&lt;&gt;"",P597&lt;&gt;"",IF(L597="Wrong citation",AND(M597&lt;&gt;"",N597&lt;&gt;""),TRUE)),"Complete","Pending"))</f>
        <v/>
      </c>
    </row>
    <row r="598">
      <c r="A598" s="19" t="inlineStr">
        <is>
          <t>M108-Q01</t>
        </is>
      </c>
      <c r="B598" s="19" t="inlineStr">
        <is>
          <t>PROV-M108-004</t>
        </is>
      </c>
      <c r="C598" s="17" t="inlineStr">
        <is>
          <t>Registration of Documents Ordinance No. 23 of 1927</t>
        </is>
      </c>
      <c r="D598" s="17" t="inlineStr">
        <is>
          <t>s.7 (4)</t>
        </is>
      </c>
      <c r="E598" s="17" t="inlineStr">
        <is>
          <t>2018-04</t>
        </is>
      </c>
      <c r="F598" s="17" t="inlineStr">
        <is>
          <t>Current on reference date</t>
        </is>
      </c>
      <c r="G598" s="17" t="inlineStr">
        <is>
          <t>Registration of an instrument under this Chapter shall not cure any defect in the instrument or confer upon it any effect or validity which it would not otherwise have except the priority conferred on it by this section.</t>
        </is>
      </c>
      <c r="H598" s="17" t="inlineStr">
        <is>
          <t>https://lankalaw.net/wp-content/uploads/2025/03/Registration-of-Documents-Consolidated-2024.pdf</t>
        </is>
      </c>
      <c r="I598" s="17" t="inlineStr">
        <is>
          <t>Indispensable</t>
        </is>
      </c>
      <c r="J598" s="17" t="inlineStr">
        <is>
          <t>Answers the second half of the question. Even if the Registrar accepts the Deed of Declaration and enters it in the register, registration gives the deed no validity it does not already have; it cannot manufacture a half share for a person who has none.
TEMPORAL: In force from 1927 with no recorded amendment event in the corpus; applicable at 2018-04.</t>
        </is>
      </c>
      <c r="K598" s="17" t="inlineStr">
        <is>
          <t>[verified] Excerpt is verbatim in 23-1927/s7(4); the corpus edition is the 1990 consolidation, and the only pre-2018 amending Acts in the corpus, Nos. 48 of 2011 and 21 of 2013, amend ss.13, 22, 48 and the First Schedule rather than s.7, so the text is applicable at 2018-04.</t>
        </is>
      </c>
      <c r="L598" s="21" t="n"/>
      <c r="M598" s="21" t="n"/>
      <c r="N598" s="21" t="n"/>
      <c r="O598" s="21" t="n"/>
      <c r="P598" s="21" t="n"/>
      <c r="Q598" s="17">
        <f>IF(OR(A598="",B598=""),"",IF(AND(L598&lt;&gt;"",P598&lt;&gt;"",IF(L598="Wrong citation",AND(M598&lt;&gt;"",N598&lt;&gt;""),TRUE)),"Complete","Pending"))</f>
        <v/>
      </c>
    </row>
    <row r="599">
      <c r="A599" s="19" t="inlineStr">
        <is>
          <t>M108-Q01</t>
        </is>
      </c>
      <c r="B599" s="19" t="inlineStr">
        <is>
          <t>PROV-M108-006</t>
        </is>
      </c>
      <c r="C599" s="17" t="inlineStr">
        <is>
          <t>Registration of Documents Ordinance No. 23 of 1927</t>
        </is>
      </c>
      <c r="D599" s="17" t="inlineStr">
        <is>
          <t>s.8 (b)</t>
        </is>
      </c>
      <c r="E599" s="17" t="inlineStr">
        <is>
          <t>2018-04</t>
        </is>
      </c>
      <c r="F599" s="17" t="inlineStr">
        <is>
          <t>Current on reference date</t>
        </is>
      </c>
      <c r="G599" s="17" t="inlineStr">
        <is>
          <t>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t>
        </is>
      </c>
      <c r="H599" s="17" t="inlineStr">
        <is>
          <t>https://lankalaw.net/wp-content/uploads/2025/03/Registration-of-Documents-Consolidated-2024.pdf</t>
        </is>
      </c>
      <c r="I599" s="17" t="inlineStr">
        <is>
          <t>Supporting</t>
        </is>
      </c>
      <c r="J599" s="17" t="inlineStr">
        <is>
          <t>Shows that a Deed of Declaration asserting a half share is on its face an instrument affecting land, so it falls within the class of documents the Ordinance accepts for registration. This is why the deed can be lodged at all, and why the answer has to turn on effect rather than on registrability.
TEMPORAL: In force from 1927 with no recorded amendment event; applicable at 2018-04.</t>
        </is>
      </c>
      <c r="K599" s="17" t="inlineStr">
        <is>
          <t>[verified] Excerpt is verbatim in 23-1927/s8(b) and a deed declaring an interest in land falls within it; none of the eleven provisos to paragraph (b) excludes such a deed.</t>
        </is>
      </c>
      <c r="L599" s="21" t="n"/>
      <c r="M599" s="21" t="n"/>
      <c r="N599" s="21" t="n"/>
      <c r="O599" s="21" t="n"/>
      <c r="P599" s="21" t="n"/>
      <c r="Q599" s="17">
        <f>IF(OR(A599="",B599=""),"",IF(AND(L599&lt;&gt;"",P599&lt;&gt;"",IF(L599="Wrong citation",AND(M599&lt;&gt;"",N599&lt;&gt;""),TRUE)),"Complete","Pending"))</f>
        <v/>
      </c>
    </row>
    <row r="600">
      <c r="A600" s="19" t="inlineStr">
        <is>
          <t>M108-Q01</t>
        </is>
      </c>
      <c r="B600" s="19" t="inlineStr">
        <is>
          <t>PROV-M108-007</t>
        </is>
      </c>
      <c r="C600" s="17" t="inlineStr">
        <is>
          <t>Registration of Documents Ordinance No. 23 of 1927</t>
        </is>
      </c>
      <c r="D600" s="17" t="inlineStr">
        <is>
          <t>s.26 (1)</t>
        </is>
      </c>
      <c r="E600" s="17" t="inlineStr">
        <is>
          <t>2018-04</t>
        </is>
      </c>
      <c r="F600" s="17" t="inlineStr">
        <is>
          <t>Current on reference date</t>
        </is>
      </c>
      <c r="G600" s="17" t="inlineStr">
        <is>
          <t>any person executing the instrument; (b) any person claiming any interest or benefit thereunder; (c) any person having any interest in or charge on any property affected thereby</t>
        </is>
      </c>
      <c r="H600" s="17" t="inlineStr">
        <is>
          <t>https://lankalaw.net/wp-content/uploads/2025/03/Registration-of-Documents-Consolidated-2024.pdf</t>
        </is>
      </c>
      <c r="I600" s="17" t="inlineStr">
        <is>
          <t>Supporting</t>
        </is>
      </c>
      <c r="J600" s="17" t="inlineStr">
        <is>
          <t>Gihan, as executant of the deed and as a person claiming a benefit under it, is a person who may present it for registration. The Ordinance does not require the presenter to prove title first.
TEMPORAL: In force from 1927 with no recorded amendment event; applicable at 2018-04.</t>
        </is>
      </c>
      <c r="K600" s="17" t="inlineStr">
        <is>
          <t>[verified] Excerpt is verbatim in 23-1927/s26(1), whose paragraphs (a) and (b) cover an executant claiming a benefit under the instrument.</t>
        </is>
      </c>
      <c r="L600" s="21" t="n"/>
      <c r="M600" s="21" t="n"/>
      <c r="N600" s="21" t="n"/>
      <c r="O600" s="21" t="n"/>
      <c r="P600" s="21" t="n"/>
      <c r="Q600" s="17">
        <f>IF(OR(A600="",B600=""),"",IF(AND(L600&lt;&gt;"",P600&lt;&gt;"",IF(L600="Wrong citation",AND(M600&lt;&gt;"",N600&lt;&gt;""),TRUE)),"Complete","Pending"))</f>
        <v/>
      </c>
    </row>
    <row r="601">
      <c r="A601" s="19" t="inlineStr">
        <is>
          <t>M108-Q01</t>
        </is>
      </c>
      <c r="B601" s="19" t="inlineStr">
        <is>
          <t>PROV-M108-008</t>
        </is>
      </c>
      <c r="C601" s="17" t="inlineStr">
        <is>
          <t>Registration of Documents Ordinance No. 23 of 1927</t>
        </is>
      </c>
      <c r="D601" s="17" t="inlineStr">
        <is>
          <t>s.36 (1)</t>
        </is>
      </c>
      <c r="E601" s="17" t="inlineStr">
        <is>
          <t>2018-04</t>
        </is>
      </c>
      <c r="F601" s="17" t="inlineStr">
        <is>
          <t>Current on reference date</t>
        </is>
      </c>
      <c r="G601" s="17" t="inlineStr">
        <is>
          <t>A Registrar may, if he thinks fit, refuse to register an instrument- (a) where he has reason to suspect that the person presenting the instrument for registration is not a person who is authorized by this Ordinance to present it for registration</t>
        </is>
      </c>
      <c r="H601" s="17" t="inlineStr">
        <is>
          <t>https://lankalaw.net/wp-content/uploads/2025/03/Registration-of-Documents-Consolidated-2024.pdf</t>
        </is>
      </c>
      <c r="I601" s="17" t="inlineStr">
        <is>
          <t>Supporting</t>
        </is>
      </c>
      <c r="J601" s="17" t="inlineStr">
        <is>
          <t>Sets out the grounds on which a Registrar may refuse registration. They are directed at authority to present, form and mode of execution, stamp duty and fees, not at the truth of the claim of title asserted in the deed, which confirms that acceptance for registration says nothing about the deed's validity.
TEMPORAL: In force from 1927 with no recorded amendment event; applicable at 2018-04.</t>
        </is>
      </c>
      <c r="K601" s="17" t="inlineStr">
        <is>
          <t>[verified] Excerpt is verbatim in 23-1927/s36(1)(a), but the why_relevant reasons from the whole of s.36, including s.36(1)(b) on form and mode of execution and s.36(2) on stamp duty and fees, which the quoted fragment does not itself set out.</t>
        </is>
      </c>
      <c r="L601" s="21" t="n"/>
      <c r="M601" s="21" t="n"/>
      <c r="N601" s="21" t="n"/>
      <c r="O601" s="21" t="n"/>
      <c r="P601" s="21" t="n"/>
      <c r="Q601" s="17">
        <f>IF(OR(A601="",B601=""),"",IF(AND(L601&lt;&gt;"",P601&lt;&gt;"",IF(L601="Wrong citation",AND(M601&lt;&gt;"",N601&lt;&gt;""),TRUE)),"Complete","Pending"))</f>
        <v/>
      </c>
    </row>
    <row r="602">
      <c r="A602" s="19" t="inlineStr">
        <is>
          <t>M108-Q01</t>
        </is>
      </c>
      <c r="B602" s="19" t="inlineStr">
        <is>
          <t>PROV-M108-009</t>
        </is>
      </c>
      <c r="C602" s="17" t="inlineStr">
        <is>
          <t>Apartment Ownership Law No. 11 of 1973</t>
        </is>
      </c>
      <c r="D602" s="17" t="inlineStr">
        <is>
          <t>s.16 (1)</t>
        </is>
      </c>
      <c r="E602" s="17" t="inlineStr">
        <is>
          <t>2018-04</t>
        </is>
      </c>
      <c r="F602" s="17" t="inlineStr">
        <is>
          <t>Current on reference date</t>
        </is>
      </c>
      <c r="G602" s="17" t="inlineStr">
        <is>
          <t>The owners of all the parcels may by a special resolution at a meeting convened by the management corporation direct the management corporation to transfer a part of the common elements.</t>
        </is>
      </c>
      <c r="H602" s="17" t="inlineStr">
        <is>
          <t>https://www.ccisrilanka.org/wp-content/uploads/2021/04/Apartment-Ownership-Law-No-11-of-1973.pdf</t>
        </is>
      </c>
      <c r="I602" s="17" t="inlineStr">
        <is>
          <t>Supporting</t>
        </is>
      </c>
      <c r="J602" s="17" t="inlineStr">
        <is>
          <t>Gives the only lawful route by which part of the common elements can pass to anyone: a special resolution of the owners of all the parcels, executed by the management corporation. A unilateral deed by an outsider is not that route.
TEMPORAL: In force from 1973; last amended by Act No. 39 of 2003 s.21, before the matter reference date.</t>
        </is>
      </c>
      <c r="K602" s="17" t="inlineStr">
        <is>
          <t>[verified] Excerpt is verbatim in 11-1973/s16(1), and subsections (2) to (4) confirm that the management corporation executes the instrument, so the route described is the statutory one.</t>
        </is>
      </c>
      <c r="L602" s="21" t="n"/>
      <c r="M602" s="21" t="n"/>
      <c r="N602" s="21" t="n"/>
      <c r="O602" s="21" t="n"/>
      <c r="P602" s="21" t="n"/>
      <c r="Q602" s="17">
        <f>IF(OR(A602="",B602=""),"",IF(AND(L602&lt;&gt;"",P602&lt;&gt;"",IF(L602="Wrong citation",AND(M602&lt;&gt;"",N602&lt;&gt;""),TRUE)),"Complete","Pending"))</f>
        <v/>
      </c>
    </row>
    <row r="603">
      <c r="A603" s="19" t="inlineStr">
        <is>
          <t>M108-Q01</t>
        </is>
      </c>
      <c r="B603" s="19" t="inlineStr">
        <is>
          <t>PROV-M108-010</t>
        </is>
      </c>
      <c r="C603" s="17" t="inlineStr">
        <is>
          <t>Apartment Ownership Law No. 11 of 1973</t>
        </is>
      </c>
      <c r="D603" s="17" t="inlineStr">
        <is>
          <t>s.23</t>
        </is>
      </c>
      <c r="E603" s="17" t="inlineStr">
        <is>
          <t>2018-04</t>
        </is>
      </c>
      <c r="F603" s="17" t="inlineStr">
        <is>
          <t>Current on reference date</t>
        </is>
      </c>
      <c r="G603" s="17" t="inlineStr">
        <is>
          <t>The Partition Law shall not apply to any land or building comprised in any registered Condominium Plan.</t>
        </is>
      </c>
      <c r="H603" s="17" t="inlineStr">
        <is>
          <t>https://www.ccisrilanka.org/wp-content/uploads/2021/04/Apartment-Ownership-Law-No-11-of-1973.pdf</t>
        </is>
      </c>
      <c r="I603" s="17" t="inlineStr">
        <is>
          <t>Supporting</t>
        </is>
      </c>
      <c r="J603" s="17" t="inlineStr">
        <is>
          <t>Closes off the obvious fallback. Having declared himself entitled to a half share, Gihan could not follow it with a partition action over the condominium land, because the Partition Law does not apply to land comprised in a registered Condominium Plan.
TEMPORAL: In force from 1973 with no recorded amendment event; applicable at 2018-04.</t>
        </is>
      </c>
      <c r="K603" s="17" t="inlineStr">
        <is>
          <t>[verified] Excerpt is verbatim in 11-1973/s23; the Partition Law itself is not in the corpus, so what it would otherwise have permitted cannot be checked from within the corpus, as the recorded corpus gap says.</t>
        </is>
      </c>
      <c r="L603" s="21" t="n"/>
      <c r="M603" s="21" t="n"/>
      <c r="N603" s="21" t="n"/>
      <c r="O603" s="21" t="n"/>
      <c r="P603" s="21" t="n"/>
      <c r="Q603" s="17">
        <f>IF(OR(A603="",B603=""),"",IF(AND(L603&lt;&gt;"",P603&lt;&gt;"",IF(L603="Wrong citation",AND(M603&lt;&gt;"",N603&lt;&gt;""),TRUE)),"Complete","Pending"))</f>
        <v/>
      </c>
    </row>
    <row r="604">
      <c r="A604" s="19" t="inlineStr">
        <is>
          <t>M108-Q01</t>
        </is>
      </c>
      <c r="B604" s="19" t="inlineStr">
        <is>
          <t>PROV-M108-011</t>
        </is>
      </c>
      <c r="C604" s="17" t="inlineStr">
        <is>
          <t>Apartment Ownership Law No. 11 of 1973</t>
        </is>
      </c>
      <c r="D604" s="17" t="inlineStr">
        <is>
          <t>s.26</t>
        </is>
      </c>
      <c r="E604" s="17" t="inlineStr">
        <is>
          <t>2018-04</t>
        </is>
      </c>
      <c r="F604" s="17" t="inlineStr">
        <is>
          <t>Current on reference date</t>
        </is>
      </c>
      <c r="G604" s="17" t="inlineStr">
        <is>
          <t>means so much of the land parcel for the time being not comprised in any condominium parcel shown in a Condominium Plan or Semi Condominium or Provisional Condominium Plan</t>
        </is>
      </c>
      <c r="H604" s="17" t="inlineStr">
        <is>
          <t>https://www.ccisrilanka.org/wp-content/uploads/2021/04/Apartment-Ownership-Law-No-11-of-1973.pdf</t>
        </is>
      </c>
      <c r="I604" s="17" t="inlineStr">
        <is>
          <t>Supporting</t>
        </is>
      </c>
      <c r="J604" s="17" t="inlineStr">
        <is>
          <t>The interpretation section's definition of 'common elements'. It is what makes the land on which the condominium stands, as distinct from the individual units, common elements, and so brings sections 9 and 11 to bear on Gihan's claim.
TEMPORAL: In force from 1973; last amended by Act No. 39 of 2003 s.41, before the matter reference date. The corpus text of this interpretation section has lost the defined-term lead-ins, so the excerpt reads as a bare 'means ...' clause; the verifier should confirm against the source that this clause is the definition of 'common elements'.</t>
        </is>
      </c>
      <c r="K604" s="17" t="inlineStr">
        <is>
          <t>[partially_verified] Excerpt is verbatim and the clause is the definition of common elements: every other body in s.26 maps to a term in the corpus row's defined_terms list, this one does not, that list omits common elements, and paragraphs (b)(vi) and (b)(vii) of the same clause describe facilities as common elements; but the excerpt quotes only limb (a), limb (b) adding the built parts and shared installations.</t>
        </is>
      </c>
      <c r="L604" s="21" t="n"/>
      <c r="M604" s="21" t="n"/>
      <c r="N604" s="21" t="n"/>
      <c r="O604" s="21" t="n"/>
      <c r="P604" s="21" t="n"/>
      <c r="Q604" s="17">
        <f>IF(OR(A604="",B604=""),"",IF(AND(L604&lt;&gt;"",P604&lt;&gt;"",IF(L604="Wrong citation",AND(M604&lt;&gt;"",N604&lt;&gt;""),TRUE)),"Complete","Pending"))</f>
        <v/>
      </c>
    </row>
    <row r="605">
      <c r="A605" s="19" t="inlineStr">
        <is>
          <t>M108-Q01</t>
        </is>
      </c>
      <c r="B605" s="19" t="inlineStr">
        <is>
          <t>PROV-M108-005</t>
        </is>
      </c>
      <c r="C605" s="17" t="inlineStr">
        <is>
          <t>Apartment Ownership Law No. 11 of 1973</t>
        </is>
      </c>
      <c r="D605" s="17" t="inlineStr">
        <is>
          <t>s.25</t>
        </is>
      </c>
      <c r="E605" s="17" t="inlineStr">
        <is>
          <t>2018-04</t>
        </is>
      </c>
      <c r="F605" s="17" t="inlineStr">
        <is>
          <t>Current on reference date</t>
        </is>
      </c>
      <c r="G605" s="17" t="inlineStr">
        <is>
          <t>The provisions of this Law shall have effect notwithstanding anything to the contrary contained in any other written law, and where there is any conflict or inconsistency between the provisions of this Law and such other law the provisions of this Law shall prevail over such other law.</t>
        </is>
      </c>
      <c r="H605" s="17" t="inlineStr">
        <is>
          <t>https://www.ccisrilanka.org/wp-content/uploads/2021/04/Apartment-Ownership-Law-No-11-of-1973.pdf</t>
        </is>
      </c>
      <c r="I605" s="17" t="inlineStr">
        <is>
          <t>Supporting</t>
        </is>
      </c>
      <c r="J605" s="17" t="inlineStr">
        <is>
          <t>Resolves the clash the question sets up. Gihan wants to use the Registration of Documents Ordinance to achieve something the Apartment Ownership Law prohibits; this section makes the Apartment Ownership Law prevail over the Ordinance.
TEMPORAL: In force from 1973 with no recorded amendment event; applicable at 2018-04.</t>
        </is>
      </c>
      <c r="K605" s="17" t="inlineStr">
        <is>
          <t>[partially_verified] Wording is verbatim, but s.25 operates only where there is a conflict or inconsistency and there is none on these facts, because s.7(4) of the Ordinance itself denies the registration any curative effect, so the role is corrected from indispensable to supporting.</t>
        </is>
      </c>
      <c r="L605" s="21" t="n"/>
      <c r="M605" s="21" t="n"/>
      <c r="N605" s="21" t="n"/>
      <c r="O605" s="21" t="n"/>
      <c r="P605" s="21" t="n"/>
      <c r="Q605" s="17">
        <f>IF(OR(A605="",B605=""),"",IF(AND(L605&lt;&gt;"",P605&lt;&gt;"",IF(L605="Wrong citation",AND(M605&lt;&gt;"",N605&lt;&gt;""),TRUE)),"Complete","Pending"))</f>
        <v/>
      </c>
    </row>
    <row r="606">
      <c r="A606" s="19" t="inlineStr">
        <is>
          <t>M108-Q01</t>
        </is>
      </c>
      <c r="B606" s="19" t="inlineStr">
        <is>
          <t>PROV-M108-901</t>
        </is>
      </c>
      <c r="C606" s="17" t="inlineStr">
        <is>
          <t>Registration of Documents Ordinance No. 23 of 1927</t>
        </is>
      </c>
      <c r="D606" s="17" t="inlineStr">
        <is>
          <t>s.39</t>
        </is>
      </c>
      <c r="E606" s="17" t="inlineStr">
        <is>
          <t>2018-04</t>
        </is>
      </c>
      <c r="F606" s="17" t="inlineStr">
        <is>
          <t>Current on reference date</t>
        </is>
      </c>
      <c r="G606" s="17" t="inlineStr">
        <is>
          <t>any instrument registered under Chapters IE or IV is a forgery, or has been registered without due authority or in contravention of any provision of this Ordinance, or where any instrument registered as aforesaid is rectified or set aside by a competent court, the District Court may order the registration of the instrument to be cancelled or to be rectified in such manner as the circumstances may require</t>
        </is>
      </c>
      <c r="H606" s="17" t="inlineStr">
        <is>
          <t>https://lankalaw.net/wp-content/uploads/2025/03/Registration-of-Documents-Consolidated-2024.pdf</t>
        </is>
      </c>
      <c r="I606" s="17" t="inlineStr">
        <is>
          <t>Supporting</t>
        </is>
      </c>
      <c r="J606" s="17" t="inlineStr">
        <is>
          <t>Supplies the authority for the last sentence of the gold conclusion, which says the registration would be open to challenge in the District Court. Where an instrument has been registered without due authority, the District Court may order the registration cancelled or rectified, so an interested party is not left without a remedy if the deed is entered in the register.
TEMPORAL: In force from 1927; the corpus edition is the 1990 consolidation and neither pre-2018 amending Act in the corpus, Nos. 48 of 2011 and 21 of 2013, touches s.39, so the text is applicable at 2018-04.</t>
        </is>
      </c>
      <c r="K606" s="17" t="inlineStr">
        <is>
          <t>[verified] Added by the verifier because the gold conclusion asserted a District Court challenge with no provision behind it; the excerpt is verbatim, and 'Chapters IE or IV' is a transcription artefact for Chapters III or IV in the corpus text.</t>
        </is>
      </c>
      <c r="L606" s="21" t="n"/>
      <c r="M606" s="21" t="n"/>
      <c r="N606" s="21" t="n"/>
      <c r="O606" s="21" t="n"/>
      <c r="P606" s="21" t="n"/>
      <c r="Q606" s="17">
        <f>IF(OR(A606="",B606=""),"",IF(AND(L606&lt;&gt;"",P606&lt;&gt;"",IF(L606="Wrong citation",AND(M606&lt;&gt;"",N606&lt;&gt;""),TRUE)),"Complete","Pending"))</f>
        <v/>
      </c>
    </row>
    <row r="607">
      <c r="A607" s="19" t="inlineStr">
        <is>
          <t>M108-Q01</t>
        </is>
      </c>
      <c r="B607" s="19" t="inlineStr">
        <is>
          <t>PROV-M108-012</t>
        </is>
      </c>
      <c r="C607" s="17" t="inlineStr">
        <is>
          <t>Apartment Ownership Law No. 11 of 1973</t>
        </is>
      </c>
      <c r="D607" s="17" t="inlineStr">
        <is>
          <t>s.10 (1)</t>
        </is>
      </c>
      <c r="E607" s="17" t="inlineStr">
        <is>
          <t>2018-04</t>
        </is>
      </c>
      <c r="F607" s="17" t="inlineStr">
        <is>
          <t>Current on reference date</t>
        </is>
      </c>
      <c r="G607" s="17" t="inlineStr">
        <is>
          <t>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 No. 21 of 1998.</t>
        </is>
      </c>
      <c r="H607" s="17" t="inlineStr">
        <is>
          <t>https://www.ccisrilanka.org/wp-content/uploads/2021/04/Apartment-Ownership-Law-No-11-of-1973.pdf</t>
        </is>
      </c>
      <c r="I607" s="17" t="inlineStr">
        <is>
          <t>Background</t>
        </is>
      </c>
      <c r="J607" s="17" t="inlineStr">
        <is>
          <t>Background on which register governs interests in a registered condominium. Interests in a condominium parcel take effect through registration under the Registration of Title Act, not through the Registration of Documents Ordinance register Gihan proposes to use.
TEMPORAL: In force from 1973; replaced by Act No. 39 of 2003 s.15, before the matter reference date. Its practical operation depends on an order under section 1 of the Registration of Title Act extending that Act to the relevant division, which is why it is treated as background rather than as a load-bearing step.</t>
        </is>
      </c>
      <c r="K607" s="17" t="inlineStr">
        <is>
          <t>[verified] Excerpt is verbatim in 11-1973/s10(1), and the temporal_note correctly records that its practical operation depends on an order extending the Registration of Title Act to the relevant division, which is why it is background.</t>
        </is>
      </c>
      <c r="L607" s="21" t="n"/>
      <c r="M607" s="21" t="n"/>
      <c r="N607" s="21" t="n"/>
      <c r="O607" s="21" t="n"/>
      <c r="P607" s="21" t="n"/>
      <c r="Q607" s="17">
        <f>IF(OR(A607="",B607=""),"",IF(AND(L607&lt;&gt;"",P607&lt;&gt;"",IF(L607="Wrong citation",AND(M607&lt;&gt;"",N607&lt;&gt;""),TRUE)),"Complete","Pending"))</f>
        <v/>
      </c>
    </row>
    <row r="608">
      <c r="A608" s="19" t="inlineStr">
        <is>
          <t>M108-Q01</t>
        </is>
      </c>
      <c r="B608" s="19" t="inlineStr">
        <is>
          <t>PROV-M108-013</t>
        </is>
      </c>
      <c r="C608" s="17" t="inlineStr">
        <is>
          <t>Apartment Ownership (Amendment) Act No. 39 of 2003</t>
        </is>
      </c>
      <c r="D608" s="17" t="inlineStr">
        <is>
          <t>s.44</t>
        </is>
      </c>
      <c r="E608" s="17" t="inlineStr">
        <is>
          <t>2018-04</t>
        </is>
      </c>
      <c r="F608" s="17" t="inlineStr">
        <is>
          <t>Current on reference date</t>
        </is>
      </c>
      <c r="G608" s="17" t="inlineStr">
        <is>
          <t>the Registration of Documents Ordinance (Chapter 117) shall continue to apply to and in relation to, the registration in accordance with the provisions of this Act- (a) of a Condominium Plan, a Provisional Condominium Plan or a Semi Condominium Plan</t>
        </is>
      </c>
      <c r="H608" s="17" t="inlineStr">
        <is>
          <t>data/legal-sources/library/finalized/11-1973-apartment-ownership-law/39-2003-apartment-ownership-amendment.json</t>
        </is>
      </c>
      <c r="I608" s="17" t="inlineStr">
        <is>
          <t>Background</t>
        </is>
      </c>
      <c r="J608" s="17" t="inlineStr">
        <is>
          <t>Background on the residual role of the Registration of Documents Ordinance in condominium matters. Where the Registration of Title Act has not yet been extended, the Ordinance continues to apply to the registration of condominium plans and plans of amendment, re-division or amalgamation, a list that does not include a stranger's declaration of title.
TEMPORAL: In force from 2003, before the matter reference date of 2018-04.</t>
        </is>
      </c>
      <c r="K608" s="17" t="inlineStr">
        <is>
          <t>[verified] Excerpt is verbatim in 39-2003/s44 and the list it introduces is confined to condominium plans and plans of amendment, re-division or amalgamation.</t>
        </is>
      </c>
      <c r="L608" s="21" t="n"/>
      <c r="M608" s="21" t="n"/>
      <c r="N608" s="21" t="n"/>
      <c r="O608" s="21" t="n"/>
      <c r="P608" s="21" t="n"/>
      <c r="Q608" s="17">
        <f>IF(OR(A608="",B608=""),"",IF(AND(L608&lt;&gt;"",P608&lt;&gt;"",IF(L608="Wrong citation",AND(M608&lt;&gt;"",N608&lt;&gt;""),TRUE)),"Complete","Pending"))</f>
        <v/>
      </c>
    </row>
    <row r="609">
      <c r="A609" s="19" t="inlineStr">
        <is>
          <t>M112-Q01</t>
        </is>
      </c>
      <c r="B609" s="19" t="inlineStr">
        <is>
          <t>PROV-M112-001</t>
        </is>
      </c>
      <c r="C609" s="17" t="inlineStr">
        <is>
          <t>Notaries Ordinance No. 1 of 1907</t>
        </is>
      </c>
      <c r="D609" s="17" t="inlineStr">
        <is>
          <t>s.31 rule (22)</t>
        </is>
      </c>
      <c r="E609" s="17" t="inlineStr">
        <is>
          <t>2018-04</t>
        </is>
      </c>
      <c r="F609" s="17" t="inlineStr">
        <is>
          <t>Current on reference date</t>
        </is>
      </c>
      <c r="G609"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609" s="17" t="inlineStr">
        <is>
          <t>https://www.rgd.gov.lk/web/images/ActsPDF/notary/Notaries-English.pdf</t>
        </is>
      </c>
      <c r="I609" s="17" t="inlineStr">
        <is>
          <t>Indispensable</t>
        </is>
      </c>
      <c r="J609" s="17" t="inlineStr">
        <is>
          <t>This is the only rule in section 31 that limits where a notary may attest. It restricts the area in which the act of attestation is performed and the language of the deed; it says nothing about where the land affected by the deed is situated. It is therefore the provision that answers how Lal Peiris, whose warrant covers Colombo, may lawfully attest a deed relating to land at Matara.
TEMPORAL: Rule (22) is part of the original 1907 rules. It is not among the rules substituted, inserted or repealed by the amendments recorded against section 31 (Act No. 20 of 1976, Act No. 47 of 2011, Act No. 31 of 2022, Act No. 6 of 2024), so the text quoted stood in this form in April 2018.</t>
        </is>
      </c>
      <c r="K609" s="17" t="inlineStr">
        <is>
          <t>[verified]</t>
        </is>
      </c>
      <c r="L609" s="21" t="n"/>
      <c r="M609" s="21" t="n"/>
      <c r="N609" s="21" t="n"/>
      <c r="O609" s="21" t="n"/>
      <c r="P609" s="21" t="n"/>
      <c r="Q609" s="17">
        <f>IF(OR(A609="",B609=""),"",IF(AND(L609&lt;&gt;"",P609&lt;&gt;"",IF(L609="Wrong citation",AND(M609&lt;&gt;"",N609&lt;&gt;""),TRUE)),"Complete","Pending"))</f>
        <v/>
      </c>
    </row>
    <row r="610">
      <c r="A610" s="19" t="inlineStr">
        <is>
          <t>M112-Q01</t>
        </is>
      </c>
      <c r="B610" s="19" t="inlineStr">
        <is>
          <t>PROV-M112-002</t>
        </is>
      </c>
      <c r="C610" s="17" t="inlineStr">
        <is>
          <t>Notaries Ordinance No. 1 of 1907</t>
        </is>
      </c>
      <c r="D610" s="17" t="inlineStr">
        <is>
          <t>s.4A</t>
        </is>
      </c>
      <c r="E610" s="17" t="inlineStr">
        <is>
          <t>2018-04</t>
        </is>
      </c>
      <c r="F610" s="17" t="inlineStr">
        <is>
          <t>Current on reference date</t>
        </is>
      </c>
      <c r="G610"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610" s="17" t="inlineStr">
        <is>
          <t>https://www.rgd.gov.lk/web/images/ActsPDF/notary/Notaries-English.pdf</t>
        </is>
      </c>
      <c r="I610" s="17" t="inlineStr">
        <is>
          <t>Indispensable</t>
        </is>
      </c>
      <c r="J610" s="17" t="inlineStr">
        <is>
          <t>Fixes the extent of the "area ... in which he is authorized to practice" for the purposes of rule (22) of section 31. Without it the area is read as the judicial division named in the warrant; with it the notary may attest anywhere in the judicial zone in which he resides. It is the provision that tells us how far Lal Peiris's Colombo authority reaches.
TEMPORAL: Inserted by the Notaries (Amendment) Law No. 20 of 1976 s.4 and in force from 1976. No later amendment is recorded against it, so it was in force in April 2018.</t>
        </is>
      </c>
      <c r="K610" s="17" t="inlineStr">
        <is>
          <t>[verified]</t>
        </is>
      </c>
      <c r="L610" s="21" t="n"/>
      <c r="M610" s="21" t="n"/>
      <c r="N610" s="21" t="n"/>
      <c r="O610" s="21" t="n"/>
      <c r="P610" s="21" t="n"/>
      <c r="Q610" s="17">
        <f>IF(OR(A610="",B610=""),"",IF(AND(L610&lt;&gt;"",P610&lt;&gt;"",IF(L610="Wrong citation",AND(M610&lt;&gt;"",N610&lt;&gt;""),TRUE)),"Complete","Pending"))</f>
        <v/>
      </c>
    </row>
    <row r="611">
      <c r="A611" s="19" t="inlineStr">
        <is>
          <t>M112-Q01</t>
        </is>
      </c>
      <c r="B611" s="19" t="inlineStr">
        <is>
          <t>PROV-M112-004</t>
        </is>
      </c>
      <c r="C611" s="17" t="inlineStr">
        <is>
          <t>Notaries Ordinance No. 1 of 1907</t>
        </is>
      </c>
      <c r="D611" s="17" t="inlineStr">
        <is>
          <t>s.31 rule (13)</t>
        </is>
      </c>
      <c r="E611" s="17" t="inlineStr">
        <is>
          <t>2018-04</t>
        </is>
      </c>
      <c r="F611" s="17" t="inlineStr">
        <is>
          <t>Current on reference date</t>
        </is>
      </c>
      <c r="G611" s="17" t="inlineStr">
        <is>
          <t>He shall not authenticate or attest any deed or instrument to which he is a party.</t>
        </is>
      </c>
      <c r="H611" s="17" t="inlineStr">
        <is>
          <t>https://www.rgd.gov.lk/web/images/ActsPDF/notary/Notaries-English.pdf</t>
        </is>
      </c>
      <c r="I611" s="17" t="inlineStr">
        <is>
          <t>Indispensable</t>
        </is>
      </c>
      <c r="J611" s="17" t="inlineStr">
        <is>
          <t>The scenario stresses that the purchaser is a friend of the notary. Rule (13) is the only disqualification in section 31 based on the notary's own connection with the deed, and it is confined to his being a party. It is needed to show that friendship with an executant is not a statutory bar to attestation.
TEMPORAL: Original 1907 rule; not among the rules amended by Act No. 47 of 2011, Act No. 31 of 2022 or Act No. 6 of 2024. In force in this form in April 2018.</t>
        </is>
      </c>
      <c r="K611" s="17" t="inlineStr">
        <is>
          <t>[verified]</t>
        </is>
      </c>
      <c r="L611" s="21" t="n"/>
      <c r="M611" s="21" t="n"/>
      <c r="N611" s="21" t="n"/>
      <c r="O611" s="21" t="n"/>
      <c r="P611" s="21" t="n"/>
      <c r="Q611" s="17">
        <f>IF(OR(A611="",B611=""),"",IF(AND(L611&lt;&gt;"",P611&lt;&gt;"",IF(L611="Wrong citation",AND(M611&lt;&gt;"",N611&lt;&gt;""),TRUE)),"Complete","Pending"))</f>
        <v/>
      </c>
    </row>
    <row r="612">
      <c r="A612" s="19" t="inlineStr">
        <is>
          <t>M112-Q01</t>
        </is>
      </c>
      <c r="B612" s="19" t="inlineStr">
        <is>
          <t>PROV-M112-005</t>
        </is>
      </c>
      <c r="C612" s="17" t="inlineStr">
        <is>
          <t>Prevention of Frauds Ordinance No. 7 of 1840</t>
        </is>
      </c>
      <c r="D612" s="17" t="inlineStr">
        <is>
          <t>s.2 (1)</t>
        </is>
      </c>
      <c r="E612" s="17" t="inlineStr">
        <is>
          <t>2018-04</t>
        </is>
      </c>
      <c r="F612" s="17" t="inlineStr">
        <is>
          <t>Current on reference date</t>
        </is>
      </c>
      <c r="G612" s="17" t="inlineStr">
        <is>
          <t>No sale, purchase, transfer, assignment, or mortgage of land or other immovable property, and no promise, bargain, contract, or agreement for effecting any such object</t>
        </is>
      </c>
      <c r="H612" s="17" t="inlineStr">
        <is>
          <t>https://lankalaw.net/wp-content/uploads/2025/03/Prevention-of-Frauds-Consolidated-2024.pdf</t>
        </is>
      </c>
      <c r="I612" s="17" t="inlineStr">
        <is>
          <t>Supporting</t>
        </is>
      </c>
      <c r="J612" s="17" t="inlineStr">
        <is>
          <t>Supplies the reason a notary must attest at all: a sale or transfer of immovable property is of no force in law unless the deed is in writing and attested by a licensed notary. It frames the question of how Lal Peiris may attest this particular deed of transfer.
TEMPORAL: The opening words quoted are original 1840 text and stood in this form in April 2018. The detailed conditions in paragraphs (a) and (b) of subsection (1) and the whole of subsection (2), as they appear in the corpus consolidation, reflect the Prevention of Frauds (Amendment) Acts No. 30 of 2022 and No. 4 of 2024 and are NOT the April 2018 text; nothing in this map relies on them.</t>
        </is>
      </c>
      <c r="K612" s="17" t="inlineStr">
        <is>
          <t>[partially_verified] Excerpt is verbatim, but it stops before the operative words "shall be in force or avail in law unless" and before paragraph (a), and it is paragraph (a) that imposes the writing-and-notarial-attestation requirement relied on by CL-M112-Q01-001; Prevention of Frauds (Amendment) Act No. 30 of 2022 s.2 shows that the section as it stood in April 2018 ended with different words beginning "shall be of force", and that April 2018 text is not in the corpus, so this provision supports only the subject-matter of the section and not the operative requirement.</t>
        </is>
      </c>
      <c r="L612" s="21" t="n"/>
      <c r="M612" s="21" t="n"/>
      <c r="N612" s="21" t="n"/>
      <c r="O612" s="21" t="n"/>
      <c r="P612" s="21" t="n"/>
      <c r="Q612" s="17">
        <f>IF(OR(A612="",B612=""),"",IF(AND(L612&lt;&gt;"",P612&lt;&gt;"",IF(L612="Wrong citation",AND(M612&lt;&gt;"",N612&lt;&gt;""),TRUE)),"Complete","Pending"))</f>
        <v/>
      </c>
    </row>
    <row r="613">
      <c r="A613" s="19" t="inlineStr">
        <is>
          <t>M112-Q01</t>
        </is>
      </c>
      <c r="B613" s="19" t="inlineStr">
        <is>
          <t>PROV-M112-006</t>
        </is>
      </c>
      <c r="C613" s="17" t="inlineStr">
        <is>
          <t>Notaries Ordinance No. 1 of 1907</t>
        </is>
      </c>
      <c r="D613" s="17" t="inlineStr">
        <is>
          <t>s.31 rule (16)(a)</t>
        </is>
      </c>
      <c r="E613" s="17" t="inlineStr">
        <is>
          <t>2018-04</t>
        </is>
      </c>
      <c r="F613" s="17" t="inlineStr">
        <is>
          <t>Current on reference date</t>
        </is>
      </c>
      <c r="G613"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t>
        </is>
      </c>
      <c r="H613" s="17" t="inlineStr">
        <is>
          <t>https://www.rgd.gov.lk/web/images/ActsPDF/notary/Notaries-English.pdf</t>
        </is>
      </c>
      <c r="I613" s="17" t="inlineStr">
        <is>
          <t>Supporting</t>
        </is>
      </c>
      <c r="J613" s="17" t="inlineStr">
        <is>
          <t>Requires the deed itself to state the district in which the land is situated. That statement is what makes the Matara District identifiable on the face of the deed, which is the trigger for the out-of-district duty in rule (29) and part of what Lal Peiris must do before he can attest.
TEMPORAL: Paragraph (a) of rule (16) was substituted by the Notaries (Amendment) Act No. 47 of 2011 s.2, in force well before April 2018. The words quoted stop before the condominium wording added by Act No. 31 of 2022 s.16(9)(a), so the excerpt is confined to text that stood in April 2018.</t>
        </is>
      </c>
      <c r="K613" s="17" t="inlineStr">
        <is>
          <t>[verified]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t>
        </is>
      </c>
      <c r="L613" s="21" t="n"/>
      <c r="M613" s="21" t="n"/>
      <c r="N613" s="21" t="n"/>
      <c r="O613" s="21" t="n"/>
      <c r="P613" s="21" t="n"/>
      <c r="Q613" s="17">
        <f>IF(OR(A613="",B613=""),"",IF(AND(L613&lt;&gt;"",P613&lt;&gt;"",IF(L613="Wrong citation",AND(M613&lt;&gt;"",N613&lt;&gt;""),TRUE)),"Complete","Pending"))</f>
        <v/>
      </c>
    </row>
    <row r="614">
      <c r="A614" s="19" t="inlineStr">
        <is>
          <t>M112-Q01</t>
        </is>
      </c>
      <c r="B614" s="19" t="inlineStr">
        <is>
          <t>PROV-M112-010</t>
        </is>
      </c>
      <c r="C614" s="17" t="inlineStr">
        <is>
          <t>Notaries Ordinance No. 1 of 1907</t>
        </is>
      </c>
      <c r="D614" s="17" t="inlineStr">
        <is>
          <t>s.31 rule (6)</t>
        </is>
      </c>
      <c r="E614" s="17" t="inlineStr">
        <is>
          <t>2018-04</t>
        </is>
      </c>
      <c r="F614" s="17" t="inlineStr">
        <is>
          <t>Current on reference date</t>
        </is>
      </c>
      <c r="G614" s="17" t="inlineStr">
        <is>
          <t>He shall not authenticate or attest any deed or instrument unless he has an assurance that the required stamp duty is provided.</t>
        </is>
      </c>
      <c r="H614" s="17" t="inlineStr">
        <is>
          <t>https://www.rgd.gov.lk/web/images/ActsPDF/notary/Notaries-English.pdf</t>
        </is>
      </c>
      <c r="I614" s="17" t="inlineStr">
        <is>
          <t>Supporting</t>
        </is>
      </c>
      <c r="J614" s="17" t="inlineStr">
        <is>
          <t>Links the notary's attestation duty to stamp duty: he may not attest until he is assured the duty is provided. It is why the stamp duty questions arise for Lal Peiris at all, and it is part of what he must satisfy before attesting.
TEMPORAL: Rule (6) is not among the rules substituted by Act No. 47 of 2011, Act No. 31 of 2022 or Act No. 6 of 2024, so the text quoted stood in April 2018. Note that rule (7A), which makes the notary himself the payer of stamp duty, was inserted by Act No. 31 of 2022 and amended by Act No. 6 of 2024 and was NOT in force in April 2018; it is deliberately not relied on anywhere in this map.</t>
        </is>
      </c>
      <c r="K614" s="17" t="inlineStr">
        <is>
          <t>[partially_verified] Excerpt is verbatim, but the temporal note is wrong on one point: rule (6) WAS substituted, by Act No. 31 of 2022 s.16(4), which re-enacted it in exactly the words quoted. The pre-2022 wording of rule (6) is not in the corpus, so the April 2018 wording cannot be confirmed from the corpus even though the 2022 re-enactment reproduces it. The provision is supporting only in Q01, Q03 and Q04, so no question is blocked by this.</t>
        </is>
      </c>
      <c r="L614" s="21" t="n"/>
      <c r="M614" s="21" t="n"/>
      <c r="N614" s="21" t="n"/>
      <c r="O614" s="21" t="n"/>
      <c r="P614" s="21" t="n"/>
      <c r="Q614" s="17">
        <f>IF(OR(A614="",B614=""),"",IF(AND(L614&lt;&gt;"",P614&lt;&gt;"",IF(L614="Wrong citation",AND(M614&lt;&gt;"",N614&lt;&gt;""),TRUE)),"Complete","Pending"))</f>
        <v/>
      </c>
    </row>
    <row r="615">
      <c r="A615" s="19" t="inlineStr">
        <is>
          <t>M112-Q01</t>
        </is>
      </c>
      <c r="B615" s="19" t="inlineStr">
        <is>
          <t>PROV-M112-901</t>
        </is>
      </c>
      <c r="C615" s="17" t="inlineStr">
        <is>
          <t>Notaries Ordinance No. 1 of 1907</t>
        </is>
      </c>
      <c r="D615" s="17" t="inlineStr">
        <is>
          <t>s.31 rule (12)</t>
        </is>
      </c>
      <c r="E615" s="17" t="inlineStr">
        <is>
          <t>2018-04</t>
        </is>
      </c>
      <c r="F615" s="17" t="inlineStr">
        <is>
          <t>Current on reference date</t>
        </is>
      </c>
      <c r="G615"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615" s="17" t="inlineStr">
        <is>
          <t>https://www.rgd.gov.lk/web/images/ActsPDF/notary/Notaries-English.pdf</t>
        </is>
      </c>
      <c r="I615" s="17" t="inlineStr">
        <is>
          <t>Supporting</t>
        </is>
      </c>
      <c r="J615" s="17" t="inlineStr">
        <is>
          <t>Added by the verifier. The Q01 answer concludes that the parties and the two witnesses must execute the deed before Lal Peiris at his Colombo office, but no provision in the map stated that requirement: rule (22) fixes only the area and the language, and rule (16)(a) only the description of the land. Rule (12) is the provision that requires execution in the notary's presence and in the presence of one another, and it is what ties the place of signing to the place of attestation on which rule (22) operates.
TEMPORAL: Rule (12) is original 1907 text. It is not among the rules amended by Notaries (Amendment) Law No. 20 of 1976 s.10 (rules (29) and (36)(b)), Act No. 47 of 2011 ss.2-3 (rule (16)(a) and rule (26)), Act No. 31 of 2022 s.16 or Act No. 6 of 2024 s.3, each of which enumerates the rules it touches. In force in this form in April 2018.</t>
        </is>
      </c>
      <c r="K615" s="17" t="inlineStr">
        <is>
          <t>[verified] Added by the verifier; excerpt checked verbatim against 1-1907/s31.</t>
        </is>
      </c>
      <c r="L615" s="21" t="n"/>
      <c r="M615" s="21" t="n"/>
      <c r="N615" s="21" t="n"/>
      <c r="O615" s="21" t="n"/>
      <c r="P615" s="21" t="n"/>
      <c r="Q615" s="17">
        <f>IF(OR(A615="",B615=""),"",IF(AND(L615&lt;&gt;"",P615&lt;&gt;"",IF(L615="Wrong citation",AND(M615&lt;&gt;"",N615&lt;&gt;""),TRUE)),"Complete","Pending"))</f>
        <v/>
      </c>
    </row>
    <row r="616">
      <c r="A616" s="19" t="inlineStr">
        <is>
          <t>M112-Q01</t>
        </is>
      </c>
      <c r="B616" s="19" t="inlineStr">
        <is>
          <t>PROV-M112-003</t>
        </is>
      </c>
      <c r="C616" s="17" t="inlineStr">
        <is>
          <t>Notaries Ordinance No. 1 of 1907</t>
        </is>
      </c>
      <c r="D616" s="17" t="inlineStr">
        <is>
          <t>s.9</t>
        </is>
      </c>
      <c r="E616" s="17" t="inlineStr">
        <is>
          <t>2018-04</t>
        </is>
      </c>
      <c r="F616" s="17" t="inlineStr">
        <is>
          <t>Current on reference date</t>
        </is>
      </c>
      <c r="G616" s="17" t="inlineStr">
        <is>
          <t>Every notary shall be bound to have his office within the area specified in his warrant</t>
        </is>
      </c>
      <c r="H616" s="17" t="inlineStr">
        <is>
          <t>https://www.rgd.gov.lk/web/images/ActsPDF/notary/Notaries-English.pdf</t>
        </is>
      </c>
      <c r="I616" s="17" t="inlineStr">
        <is>
          <t>Background</t>
        </is>
      </c>
      <c r="J616" s="17" t="inlineStr">
        <is>
          <t>Explains why Lal Peiris's office is in Colombo and anchors the area of his warrant. It is background: it constrains where he keeps his office, not what deeds he may attest.
TEMPORAL: Original 1907 text; no amendment recorded against section 9. In force in April 2018.</t>
        </is>
      </c>
      <c r="K616" s="17" t="inlineStr">
        <is>
          <t>[verified]</t>
        </is>
      </c>
      <c r="L616" s="21" t="n"/>
      <c r="M616" s="21" t="n"/>
      <c r="N616" s="21" t="n"/>
      <c r="O616" s="21" t="n"/>
      <c r="P616" s="21" t="n"/>
      <c r="Q616" s="17">
        <f>IF(OR(A616="",B616=""),"",IF(AND(L616&lt;&gt;"",P616&lt;&gt;"",IF(L616="Wrong citation",AND(M616&lt;&gt;"",N616&lt;&gt;""),TRUE)),"Complete","Pending"))</f>
        <v/>
      </c>
    </row>
    <row r="617">
      <c r="A617" s="19" t="inlineStr">
        <is>
          <t>M112-Q02</t>
        </is>
      </c>
      <c r="B617" s="19" t="inlineStr">
        <is>
          <t>PROV-M112-008</t>
        </is>
      </c>
      <c r="C617" s="17" t="inlineStr">
        <is>
          <t>Notaries Ordinance No. 1 of 1907</t>
        </is>
      </c>
      <c r="D617" s="17" t="inlineStr">
        <is>
          <t>s.31 rule (29)</t>
        </is>
      </c>
      <c r="E617" s="17" t="inlineStr">
        <is>
          <t>2018-04</t>
        </is>
      </c>
      <c r="F617" s="17" t="inlineStr">
        <is>
          <t>Current on reference date</t>
        </is>
      </c>
      <c r="G617" s="17" t="inlineStr">
        <is>
          <t>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617" s="17" t="inlineStr">
        <is>
          <t>https://www.rgd.gov.lk/web/images/ActsPDF/notary/Notaries-English.pdf</t>
        </is>
      </c>
      <c r="I617" s="17" t="inlineStr">
        <is>
          <t>Indispensable</t>
        </is>
      </c>
      <c r="J617" s="17" t="inlineStr">
        <is>
          <t>This is the duty asked about in question 2. It applies precisely where a deed other than a will or codicil affects land in a district other than that in which the attesting notary resides, which is this case: the notary resides in Colombo, the land is in Matara. It fixes both the act required (a certified copy plus a list in duplicate, signed by him) and the deadline (the fifteenth day of the following month).
TEMPORAL: Rule (29) is original 1907 text. The only change recorded against it is Act No. 6 of 2024 s.3(9), which substituted "Form F 1" for "in the Form F" in the reference to the accompanying list; in April 2018 the rule referred to the Form F. The excerpt quoted stops before the Form reference, so it is unaffected by that 2024 change, but the verifier should note that the Form named in April 2018 was Form F, not Form F 1.</t>
        </is>
      </c>
      <c r="K617" s="17" t="inlineStr">
        <is>
          <t>[verified] The April 2018 wording is directly available in the corpus and matches: Notaries (Amendment) Law No. 20 of 1976 s.10(1) substituted rule (29) and sets out the whole rule, including every word of this excerpt, with "in the form F in the Second Schedule". Added as PROV-M112-902 so that the temporal position rests on corpus text rather than on inference.</t>
        </is>
      </c>
      <c r="L617" s="21" t="n"/>
      <c r="M617" s="21" t="n"/>
      <c r="N617" s="21" t="n"/>
      <c r="O617" s="21" t="n"/>
      <c r="P617" s="21" t="n"/>
      <c r="Q617" s="17">
        <f>IF(OR(A617="",B617=""),"",IF(AND(L617&lt;&gt;"",P617&lt;&gt;"",IF(L617="Wrong citation",AND(M617&lt;&gt;"",N617&lt;&gt;""),TRUE)),"Complete","Pending"))</f>
        <v/>
      </c>
    </row>
    <row r="618">
      <c r="A618" s="19" t="inlineStr">
        <is>
          <t>M112-Q02</t>
        </is>
      </c>
      <c r="B618" s="19" t="inlineStr">
        <is>
          <t>PROV-M112-007</t>
        </is>
      </c>
      <c r="C618" s="17" t="inlineStr">
        <is>
          <t>Notaries Ordinance No. 1 of 1907</t>
        </is>
      </c>
      <c r="D618" s="17" t="inlineStr">
        <is>
          <t>s.31 rule (26)(a)(i)</t>
        </is>
      </c>
      <c r="E618" s="17" t="inlineStr">
        <is>
          <t>2018-04</t>
        </is>
      </c>
      <c r="F618" s="17" t="inlineStr">
        <is>
          <t>Current on reference date</t>
        </is>
      </c>
      <c r="G618" s="17" t="inlineStr">
        <is>
          <t>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t>
        </is>
      </c>
      <c r="H618" s="17" t="inlineStr">
        <is>
          <t>https://www.rgd.gov.lk/web/images/ActsPDF/notary/Notaries-English.pdf</t>
        </is>
      </c>
      <c r="I618" s="17" t="inlineStr">
        <is>
          <t>Indispensable</t>
        </is>
      </c>
      <c r="J618" s="17" t="inlineStr">
        <is>
          <t>The baseline monthly return every notary owes to the Registrar of Lands of his own district. Rule (29) operates "besides transmitting the duplicate in manner aforesaid", so this rule has to be read first to see what the out-of-district duty is additional to.
TEMPORAL: Rule (26) was amended by the Notaries (Amendment) Act No. 47 of 2011 s.3 (renumbering and the new subparagraph (ii)), which was in force before April 2018, so the text quoted stood in April 2018. The corpus records rule (26) as later repealed by Act No. 31 of 2022 s.16(12) although the consolidation still carries its text; that repeal is after the matter date and does not affect this provision. The consolidated body prints this rule without its rule number - the number (26) is taken from sections 32(1) and 34(2), which both refer to "rule (26) set out in section 31", and from Act No. 47 of 2011 s.3, which amends "subsection (26)".</t>
        </is>
      </c>
      <c r="K618" s="17" t="inlineStr">
        <is>
          <t>[verified] Rule number confirmed independently: Act No. 47 of 2011 s.3, in the corpus, amends section 31 "in subsection (26)" by renumbering paragraph (a) as sub-paragraph (i), which is the renumbering visible in the consolidated body, so the unnumbered rule is rule (26). The researcher's caveat that the corpus records rule (26) as repealed in 2022 is a corpus mapping artefact: Act No. 31 of 2022 s.16(12) reads "by the repeal of rule (27) thereof", so rule (26) was never repealed. In April 2018 the list form was the Form F, not the Form F 1 (Act No. 6 of 2024 s.3(8)); the excerpt stops before the form reference.</t>
        </is>
      </c>
      <c r="L618" s="21" t="n"/>
      <c r="M618" s="21" t="n"/>
      <c r="N618" s="21" t="n"/>
      <c r="O618" s="21" t="n"/>
      <c r="P618" s="21" t="n"/>
      <c r="Q618" s="17">
        <f>IF(OR(A618="",B618=""),"",IF(AND(L618&lt;&gt;"",P618&lt;&gt;"",IF(L618="Wrong citation",AND(M618&lt;&gt;"",N618&lt;&gt;""),TRUE)),"Complete","Pending"))</f>
        <v/>
      </c>
    </row>
    <row r="619">
      <c r="A619" s="19" t="inlineStr">
        <is>
          <t>M112-Q02</t>
        </is>
      </c>
      <c r="B619" s="19" t="inlineStr">
        <is>
          <t>PROV-M112-006</t>
        </is>
      </c>
      <c r="C619" s="17" t="inlineStr">
        <is>
          <t>Notaries Ordinance No. 1 of 1907</t>
        </is>
      </c>
      <c r="D619" s="17" t="inlineStr">
        <is>
          <t>s.31 rule (16)(a)</t>
        </is>
      </c>
      <c r="E619" s="17" t="inlineStr">
        <is>
          <t>2018-04</t>
        </is>
      </c>
      <c r="F619" s="17" t="inlineStr">
        <is>
          <t>Current on reference date</t>
        </is>
      </c>
      <c r="G619"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t>
        </is>
      </c>
      <c r="H619" s="17" t="inlineStr">
        <is>
          <t>https://www.rgd.gov.lk/web/images/ActsPDF/notary/Notaries-English.pdf</t>
        </is>
      </c>
      <c r="I619" s="17" t="inlineStr">
        <is>
          <t>Supporting</t>
        </is>
      </c>
      <c r="J619" s="17" t="inlineStr">
        <is>
          <t>Requires the deed itself to state the district in which the land is situated. That statement is what makes the Matara District identifiable on the face of the deed, which is the trigger for the out-of-district duty in rule (29) and part of what Lal Peiris must do before he can attest.
TEMPORAL: Paragraph (a) of rule (16) was substituted by the Notaries (Amendment) Act No. 47 of 2011 s.2, in force well before April 2018. The words quoted stop before the condominium wording added by Act No. 31 of 2022 s.16(9)(a), so the excerpt is confined to text that stood in April 2018.</t>
        </is>
      </c>
      <c r="K619" s="17" t="inlineStr">
        <is>
          <t>[verified]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t>
        </is>
      </c>
      <c r="L619" s="21" t="n"/>
      <c r="M619" s="21" t="n"/>
      <c r="N619" s="21" t="n"/>
      <c r="O619" s="21" t="n"/>
      <c r="P619" s="21" t="n"/>
      <c r="Q619" s="17">
        <f>IF(OR(A619="",B619=""),"",IF(AND(L619&lt;&gt;"",P619&lt;&gt;"",IF(L619="Wrong citation",AND(M619&lt;&gt;"",N619&lt;&gt;""),TRUE)),"Complete","Pending"))</f>
        <v/>
      </c>
    </row>
    <row r="620">
      <c r="A620" s="19" t="inlineStr">
        <is>
          <t>M112-Q02</t>
        </is>
      </c>
      <c r="B620" s="19" t="inlineStr">
        <is>
          <t>PROV-M112-009</t>
        </is>
      </c>
      <c r="C620" s="17" t="inlineStr">
        <is>
          <t>Notaries Ordinance No. 1 of 1907</t>
        </is>
      </c>
      <c r="D620" s="17" t="inlineStr">
        <is>
          <t>s.34 (1)(c)</t>
        </is>
      </c>
      <c r="E620" s="17" t="inlineStr">
        <is>
          <t>2018-04</t>
        </is>
      </c>
      <c r="F620" s="17" t="inlineStr">
        <is>
          <t>Unclear</t>
        </is>
      </c>
      <c r="G620" s="17" t="inlineStr">
        <is>
          <t>any other rule set out in section 31, shall be guilty of an offence, and shall, on conviction after summary trial before a Magistrate, be liable to a fine not exceeding fifty thousand rupees, in addition to any civil liability he may incur thereby.</t>
        </is>
      </c>
      <c r="H620" s="17" t="inlineStr">
        <is>
          <t>https://www.rgd.gov.lk/web/images/ActsPDF/notary/Notaries-English.pdf</t>
        </is>
      </c>
      <c r="I620" s="17" t="inlineStr">
        <is>
          <t>Supporting</t>
        </is>
      </c>
      <c r="J620" s="17" t="inlineStr">
        <is>
          <t>Shows that the rule (29) obligation is a penal duty and not merely directory, which is what makes it a "duty cast on" the notary. It is supporting only: the existence and content of the duty come from rule (29) itself.
TEMPORAL: Section 34 as quoted is the text substituted by the Notaries (Amendment) Act No. 31 of 2022 s.17, which is AFTER the matter reference date. In April 2018 section 34 was in its earlier form with lower fines (the fines in the Ordinance having been raised by the Increase of Fines Act No. 12 of 2005). The pre-2022 text of section 34 is not in the corpus, so the penalty figure applicable in April 2018 cannot be stated from the corpus. This provision is used only to show that breach of a section 31 rule is an offence, a feature of the section both before and after 2022; the figure of fifty thousand rupees is not relied on.</t>
        </is>
      </c>
      <c r="K620" s="17" t="inlineStr">
        <is>
          <t>[partially_verified] Excerpt is verbatim and the classification of a rule (29) breach under paragraph (1)(c) is right on the current text, because paragraphs (1)(a) and (1)(b) list rules (1), (31), (32) and rules (2), (3), (6), (7), (11), (18), (21), (23), (24), (30A) and do not include rule (29); but the section in the corpus is the text substituted by Act No. 31 of 2022 s.17, the Schedules to the Increase of Fines Act No. 12 of 2005 are not in the corpus, and so neither the wording nor the penalty of section 34 as it stood in April 2018 can be established. Correctly kept applicable_to_matter_date=false and confined to supporting use.</t>
        </is>
      </c>
      <c r="L620" s="21" t="n"/>
      <c r="M620" s="21" t="n"/>
      <c r="N620" s="21" t="n"/>
      <c r="O620" s="21" t="n"/>
      <c r="P620" s="21" t="n"/>
      <c r="Q620" s="17">
        <f>IF(OR(A620="",B620=""),"",IF(AND(L620&lt;&gt;"",P620&lt;&gt;"",IF(L620="Wrong citation",AND(M620&lt;&gt;"",N620&lt;&gt;""),TRUE)),"Complete","Pending"))</f>
        <v/>
      </c>
    </row>
    <row r="621">
      <c r="A621" s="19" t="inlineStr">
        <is>
          <t>M112-Q02</t>
        </is>
      </c>
      <c r="B621" s="19" t="inlineStr">
        <is>
          <t>PROV-M112-902</t>
        </is>
      </c>
      <c r="C621" s="17" t="inlineStr">
        <is>
          <t>Notaries (Amendment) Law No. 20 of 1976</t>
        </is>
      </c>
      <c r="D621" s="17" t="inlineStr">
        <is>
          <t>s.10 (1)</t>
        </is>
      </c>
      <c r="E621" s="17" t="inlineStr">
        <is>
          <t>2018-04</t>
        </is>
      </c>
      <c r="F621" s="17" t="inlineStr">
        <is>
          <t>Current on reference date</t>
        </is>
      </c>
      <c r="G621" s="17" t="inlineStr">
        <is>
          <t>together with a list in duplicate in the form F in the Second Schedule, signed by him, of all such deeds or instruments as relate to lands in such last-mentioned district.</t>
        </is>
      </c>
      <c r="H621" s="17" t="inlineStr">
        <is>
          <t>data/legal-sources/library/finalized/1-1907-notaries-ordinance/20-1976-notaries-ordinance-amendment.json</t>
        </is>
      </c>
      <c r="I621" s="17" t="inlineStr">
        <is>
          <t>Supporting</t>
        </is>
      </c>
      <c r="J621" s="17" t="inlineStr">
        <is>
          <t>Added by the verifier. This is the amending section that substituted rule (29) of section 31 in 1976 and sets the whole rule out in full. It is the corpus source for the wording of rule (29) as it stood in April 2018, and in particular it shows that the list accompanying the certified copy was then in the Form F, the Form F 1 having been substituted only by Act No. 6 of 2024 s.3(9). It removes the need to infer the April 2018 text of rule (29) from the post-2024 consolidation.
TEMPORAL: Enacted 1976 and in force from 1976. The substituted rule (29) it sets out stood unchanged until Act No. 6 of 2024 s.3(9), so it states the law in April 2018.</t>
        </is>
      </c>
      <c r="K621" s="17" t="inlineStr">
        <is>
          <t>[verified] Added by the verifier; excerpt checked verbatim against 20-1976/s10.</t>
        </is>
      </c>
      <c r="L621" s="21" t="n"/>
      <c r="M621" s="21" t="n"/>
      <c r="N621" s="21" t="n"/>
      <c r="O621" s="21" t="n"/>
      <c r="P621" s="21" t="n"/>
      <c r="Q621" s="17">
        <f>IF(OR(A621="",B621=""),"",IF(AND(L621&lt;&gt;"",P621&lt;&gt;"",IF(L621="Wrong citation",AND(M621&lt;&gt;"",N621&lt;&gt;""),TRUE)),"Complete","Pending"))</f>
        <v/>
      </c>
    </row>
    <row r="622">
      <c r="A622" s="19" t="inlineStr">
        <is>
          <t>M112-Q02</t>
        </is>
      </c>
      <c r="B622" s="19" t="inlineStr">
        <is>
          <t>PROV-M112-003</t>
        </is>
      </c>
      <c r="C622" s="17" t="inlineStr">
        <is>
          <t>Notaries Ordinance No. 1 of 1907</t>
        </is>
      </c>
      <c r="D622" s="17" t="inlineStr">
        <is>
          <t>s.9</t>
        </is>
      </c>
      <c r="E622" s="17" t="inlineStr">
        <is>
          <t>2018-04</t>
        </is>
      </c>
      <c r="F622" s="17" t="inlineStr">
        <is>
          <t>Current on reference date</t>
        </is>
      </c>
      <c r="G622" s="17" t="inlineStr">
        <is>
          <t>Every notary shall be bound to have his office within the area specified in his warrant</t>
        </is>
      </c>
      <c r="H622" s="17" t="inlineStr">
        <is>
          <t>https://www.rgd.gov.lk/web/images/ActsPDF/notary/Notaries-English.pdf</t>
        </is>
      </c>
      <c r="I622" s="17" t="inlineStr">
        <is>
          <t>Background</t>
        </is>
      </c>
      <c r="J622" s="17" t="inlineStr">
        <is>
          <t>Explains why Lal Peiris's office is in Colombo and anchors the area of his warrant. It is background: it constrains where he keeps his office, not what deeds he may attest.
TEMPORAL: Original 1907 text; no amendment recorded against section 9. In force in April 2018.</t>
        </is>
      </c>
      <c r="K622" s="17" t="inlineStr">
        <is>
          <t>[verified]</t>
        </is>
      </c>
      <c r="L622" s="21" t="n"/>
      <c r="M622" s="21" t="n"/>
      <c r="N622" s="21" t="n"/>
      <c r="O622" s="21" t="n"/>
      <c r="P622" s="21" t="n"/>
      <c r="Q622" s="17">
        <f>IF(OR(A622="",B622=""),"",IF(AND(L622&lt;&gt;"",P622&lt;&gt;"",IF(L622="Wrong citation",AND(M622&lt;&gt;"",N622&lt;&gt;""),TRUE)),"Complete","Pending"))</f>
        <v/>
      </c>
    </row>
  </sheetData>
  <autoFilter ref="A5:Q622"/>
  <mergeCells count="2">
    <mergeCell ref="A3:Q3"/>
    <mergeCell ref="A2:Q2"/>
  </mergeCells>
  <conditionalFormatting sqref="Q6:Q622">
    <cfRule type="cellIs" priority="1" operator="equal" dxfId="8">
      <formula>"Complete"</formula>
    </cfRule>
    <cfRule type="cellIs" priority="2" operator="equal" dxfId="9">
      <formula>"Pending"</formula>
    </cfRule>
  </conditionalFormatting>
  <dataValidations count="2">
    <dataValidation sqref="F6:F622" showDropDown="0" showInputMessage="0" showErrorMessage="0" allowBlank="1" type="list">
      <formula1>"Current on reference date,Repealed before reference date,Amended after reference date,Unclear"</formula1>
    </dataValidation>
    <dataValidation sqref="L6:L622" showDropDown="0" showInputMessage="0" showErrorMessage="0" allowBlank="1" type="list">
      <formula1>"Indispensable,Supporting,Background,Not relevant,Wrong citation"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K68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58" customWidth="1" min="3" max="3"/>
    <col width="40" customWidth="1" min="4" max="4"/>
    <col width="50" customWidth="1" min="5" max="5"/>
    <col width="26" customWidth="1" min="6" max="6"/>
    <col width="48" customWidth="1" min="7" max="7"/>
    <col width="26" customWidth="1" min="8" max="8"/>
    <col width="38" customWidth="1" min="9" max="9"/>
    <col width="16" customWidth="1" min="10" max="10"/>
    <col width="15" customWidth="1" min="11" max="11"/>
  </cols>
  <sheetData>
    <row r="2" ht="24" customHeight="1">
      <c r="A2" s="29" t="inlineStr">
        <is>
          <t>Statutory QA Lawyer Review - Claims</t>
        </is>
      </c>
    </row>
    <row r="3" ht="48" customHeight="1">
      <c r="A3" s="5" t="inlineStr">
        <is>
          <t>Review each answer claim independently. If the claim needs case law or common law, mark that field even when the wording is otherwise correct.</t>
        </is>
      </c>
    </row>
    <row r="4">
      <c r="A4" s="30" t="n"/>
      <c r="B4" s="30" t="n"/>
      <c r="C4" s="30" t="n"/>
      <c r="D4" s="30" t="n"/>
      <c r="E4" s="30" t="n"/>
      <c r="F4" s="30" t="n"/>
      <c r="G4" s="30" t="n"/>
      <c r="H4" s="30" t="n"/>
      <c r="I4" s="30" t="n"/>
      <c r="J4" s="30" t="n"/>
    </row>
    <row r="5" ht="34" customHeight="1">
      <c r="A5" s="31" t="inlineStr">
        <is>
          <t>Question ID</t>
        </is>
      </c>
      <c r="B5" s="31" t="inlineStr">
        <is>
          <t>Claim ID</t>
        </is>
      </c>
      <c r="C5" s="31" t="inlineStr">
        <is>
          <t>Draft Answer Claim</t>
        </is>
      </c>
      <c r="D5" s="31" t="inlineStr">
        <is>
          <t>Linked Provision IDs</t>
        </is>
      </c>
      <c r="E5" s="31" t="inlineStr">
        <is>
          <t>Agent Verification</t>
        </is>
      </c>
      <c r="F5" s="31" t="inlineStr">
        <is>
          <t>Lawyer Judgment</t>
        </is>
      </c>
      <c r="G5" s="31" t="inlineStr">
        <is>
          <t>Corrected Claim / Notes</t>
        </is>
      </c>
      <c r="H5" s="31" t="inlineStr">
        <is>
          <t>Case Law / Common Law Required?</t>
        </is>
      </c>
      <c r="I5" s="31" t="inlineStr">
        <is>
          <t>Authority / Citation Needed</t>
        </is>
      </c>
      <c r="J5" s="31" t="inlineStr">
        <is>
          <t>Reviewer ID</t>
        </is>
      </c>
      <c r="K5" s="31" t="inlineStr">
        <is>
          <t>Review Status</t>
        </is>
      </c>
    </row>
    <row r="6">
      <c r="A6" s="19" t="inlineStr">
        <is>
          <t>M001-Q03</t>
        </is>
      </c>
      <c r="B6" s="19" t="inlineStr">
        <is>
          <t>CL-M001-Q03-001</t>
        </is>
      </c>
      <c r="C6" s="17" t="inlineStr">
        <is>
          <t>[rule] The Land (Restrictions on Alienation) Act No. 38 of 2014 is deemed to have come into operation with effect from 1 January 2013.</t>
        </is>
      </c>
      <c r="D6" s="17" t="inlineStr">
        <is>
          <t>PROV-M001-010: Land (Restrictions on Alienation) Act No. 38 of 2014 s.1 (2)</t>
        </is>
      </c>
      <c r="E6" s="17" t="inlineStr">
        <is>
          <t>[verified, support direct]</t>
        </is>
      </c>
      <c r="F6" s="21" t="n"/>
      <c r="G6" s="21" t="n"/>
      <c r="H6" s="21" t="n"/>
      <c r="I6" s="21" t="n"/>
      <c r="J6" s="21" t="n"/>
      <c r="K6" s="17">
        <f>IF(OR(A6="",B6=""),"",IF(AND(F6&lt;&gt;"",H6&lt;&gt;"",J6&lt;&gt;""),"Complete","Pending"))</f>
        <v/>
      </c>
    </row>
    <row r="7">
      <c r="A7" s="19" t="inlineStr">
        <is>
          <t>M001-Q03</t>
        </is>
      </c>
      <c r="B7" s="19" t="inlineStr">
        <is>
          <t>CL-M001-Q03-002</t>
        </is>
      </c>
      <c r="C7" s="17" t="inlineStr">
        <is>
          <t>[rule] Section 2(1)(a) prohibits the transfer of title of land situated in Sri Lanka to a foreigner unless the transfer is exempted under section 3.</t>
        </is>
      </c>
      <c r="D7" s="17" t="inlineStr">
        <is>
          <t>PROV-M001-011: Land (Restrictions on Alienation) Act No. 38 of 2014 s.2 (1)(a)</t>
        </is>
      </c>
      <c r="E7" s="17" t="inlineStr">
        <is>
          <t>[verified, support direct]</t>
        </is>
      </c>
      <c r="F7" s="21" t="n"/>
      <c r="G7" s="21" t="n"/>
      <c r="H7" s="21" t="n"/>
      <c r="I7" s="21" t="n"/>
      <c r="J7" s="21" t="n"/>
      <c r="K7" s="17">
        <f>IF(OR(A7="",B7=""),"",IF(AND(F7&lt;&gt;"",H7&lt;&gt;"",J7&lt;&gt;""),"Complete","Pending"))</f>
        <v/>
      </c>
    </row>
    <row r="8">
      <c r="A8" s="19" t="inlineStr">
        <is>
          <t>M001-Q03</t>
        </is>
      </c>
      <c r="B8" s="19" t="inlineStr">
        <is>
          <t>CL-M001-Q03-003</t>
        </is>
      </c>
      <c r="C8" s="17" t="inlineStr">
        <is>
          <t>[rule] A foreigner is a person who is not a citizen of Sri Lanka, and a transfer is a sale, donation, gift or conveyance by which title passes to another person.</t>
        </is>
      </c>
      <c r="D8" s="17" t="inlineStr">
        <is>
          <t>PROV-M001-014: Land (Restrictions on Alienation) Act No. 38 of 2014 s.25 definition of "foreigner"
PROV-M001-015: Land (Restrictions on Alienation) Act No. 38 of 2014 s.25 definition of "transfer"</t>
        </is>
      </c>
      <c r="E8" s="17" t="inlineStr">
        <is>
          <t>[verified, support direct]</t>
        </is>
      </c>
      <c r="F8" s="21" t="n"/>
      <c r="G8" s="21" t="n"/>
      <c r="H8" s="21" t="n"/>
      <c r="I8" s="21" t="n"/>
      <c r="J8" s="21" t="n"/>
      <c r="K8" s="17">
        <f>IF(OR(A8="",B8=""),"",IF(AND(F8&lt;&gt;"",H8&lt;&gt;"",J8&lt;&gt;""),"Complete","Pending"))</f>
        <v/>
      </c>
    </row>
    <row r="9">
      <c r="A9" s="19" t="inlineStr">
        <is>
          <t>M001-Q03</t>
        </is>
      </c>
      <c r="B9" s="19" t="inlineStr">
        <is>
          <t>CL-M001-Q03-004</t>
        </is>
      </c>
      <c r="C9" s="17" t="inlineStr">
        <is>
          <t>[rule] Section 3(1)(d) exempts from section 2 any land the title of which is transferred by intestacy to a next of kin who is a foreigner in accordance with the applicable law of succession of Sri Lanka.</t>
        </is>
      </c>
      <c r="D9" s="17" t="inlineStr">
        <is>
          <t>PROV-M001-012: Land (Restrictions on Alienation) Act No. 38 of 2014 s.3 (1)(d)</t>
        </is>
      </c>
      <c r="E9" s="17" t="inlineStr">
        <is>
          <t>[verified, support direct]</t>
        </is>
      </c>
      <c r="F9" s="21" t="n"/>
      <c r="G9" s="21" t="n"/>
      <c r="H9" s="21" t="n"/>
      <c r="I9" s="21" t="n"/>
      <c r="J9" s="21" t="n"/>
      <c r="K9" s="17">
        <f>IF(OR(A9="",B9=""),"",IF(AND(F9&lt;&gt;"",H9&lt;&gt;"",J9&lt;&gt;""),"Complete","Pending"))</f>
        <v/>
      </c>
    </row>
    <row r="10">
      <c r="A10" s="19" t="inlineStr">
        <is>
          <t>M001-Q03</t>
        </is>
      </c>
      <c r="B10" s="19" t="inlineStr">
        <is>
          <t>CL-M001-Q03-005</t>
        </is>
      </c>
      <c r="C10" s="17" t="inlineStr">
        <is>
          <t>[rule] The 2018 Amendment Act came into operation on 1 April 2018 and amended section 3(1) by substituting paragraph (b), altering paragraph (h) and adding a new paragraph (i), leaving the intestacy exemption in paragraph (d) unchanged.</t>
        </is>
      </c>
      <c r="D10" s="17" t="inlineStr">
        <is>
          <t>PROV-M001-017: Land (Restrictions on Alienation) (Amendment) Act No. 21 of 2018 s.1
PROV-M001-018: Land (Restrictions on Alienation) (Amendment) Act No. 21 of 2018 s.2</t>
        </is>
      </c>
      <c r="E10" s="17" t="inlineStr">
        <is>
          <t>[verified, support direct]</t>
        </is>
      </c>
      <c r="F10" s="21" t="n"/>
      <c r="G10" s="21" t="n"/>
      <c r="H10" s="21" t="n"/>
      <c r="I10" s="21" t="n"/>
      <c r="J10" s="21" t="n"/>
      <c r="K10" s="17">
        <f>IF(OR(A10="",B10=""),"",IF(AND(F10&lt;&gt;"",H10&lt;&gt;"",J10&lt;&gt;""),"Complete","Pending"))</f>
        <v/>
      </c>
    </row>
    <row r="11">
      <c r="A11" s="19" t="inlineStr">
        <is>
          <t>M001-Q03</t>
        </is>
      </c>
      <c r="B11" s="19" t="inlineStr">
        <is>
          <t>CL-M001-Q03-006</t>
        </is>
      </c>
      <c r="C11" s="17" t="inlineStr">
        <is>
          <t>[rule] An alienation of land in contravention of the Act is void and has no effect in law.</t>
        </is>
      </c>
      <c r="D11" s="17" t="inlineStr">
        <is>
          <t>PROV-M001-016: Land (Restrictions on Alienation) Act No. 38 of 2014 s.18</t>
        </is>
      </c>
      <c r="E11" s="17" t="inlineStr">
        <is>
          <t>[verified, support direct]</t>
        </is>
      </c>
      <c r="F11" s="21" t="n"/>
      <c r="G11" s="21" t="n"/>
      <c r="H11" s="21" t="n"/>
      <c r="I11" s="21" t="n"/>
      <c r="J11" s="21" t="n"/>
      <c r="K11" s="17">
        <f>IF(OR(A11="",B11=""),"",IF(AND(F11&lt;&gt;"",H11&lt;&gt;"",J11&lt;&gt;""),"Complete","Pending"))</f>
        <v/>
      </c>
    </row>
    <row r="12">
      <c r="A12" s="19" t="inlineStr">
        <is>
          <t>M001-Q03</t>
        </is>
      </c>
      <c r="B12" s="19" t="inlineStr">
        <is>
          <t>CL-M001-Q03-007</t>
        </is>
      </c>
      <c r="C12" s="17" t="inlineStr">
        <is>
          <t>[application] Because Suresh Perera died on 10 December 1995, the Act does not reach the devolution of his estate at all.</t>
        </is>
      </c>
      <c r="D12" s="17" t="inlineStr">
        <is>
          <t>PROV-M001-010: Land (Restrictions on Alienation) Act No. 38 of 2014 s.1 (2)
Facts: BG-9</t>
        </is>
      </c>
      <c r="E12" s="17" t="inlineStr">
        <is>
          <t>[verified, support direct]</t>
        </is>
      </c>
      <c r="F12" s="21" t="n"/>
      <c r="G12" s="21" t="n"/>
      <c r="H12" s="21" t="n"/>
      <c r="I12" s="21" t="n"/>
      <c r="J12" s="21" t="n"/>
      <c r="K12" s="17">
        <f>IF(OR(A12="",B12=""),"",IF(AND(F12&lt;&gt;"",H12&lt;&gt;"",J12&lt;&gt;""),"Complete","Pending"))</f>
        <v/>
      </c>
    </row>
    <row r="13">
      <c r="A13" s="19" t="inlineStr">
        <is>
          <t>M001-Q03</t>
        </is>
      </c>
      <c r="B13" s="19" t="inlineStr">
        <is>
          <t>CL-M001-Q03-008</t>
        </is>
      </c>
      <c r="C13" s="17" t="inlineStr">
        <is>
          <t>[application] The shares that reached Samantha on the deaths of Rakitha in 2022 and Muditha in 2023 fall inside the operative period of both the principal Act and the 2018 Amendment.</t>
        </is>
      </c>
      <c r="D13" s="17" t="inlineStr">
        <is>
          <t>PROV-M001-010: Land (Restrictions on Alienation) Act No. 38 of 2014 s.1 (2)
PROV-M001-017: Land (Restrictions on Alienation) (Amendment) Act No. 21 of 2018 s.1
Facts: BG-7, BG-8</t>
        </is>
      </c>
      <c r="E13" s="17" t="inlineStr">
        <is>
          <t>[verified, support combined]</t>
        </is>
      </c>
      <c r="F13" s="21" t="n"/>
      <c r="G13" s="21" t="n"/>
      <c r="H13" s="21" t="n"/>
      <c r="I13" s="21" t="n"/>
      <c r="J13" s="21" t="n"/>
      <c r="K13" s="17">
        <f>IF(OR(A13="",B13=""),"",IF(AND(F13&lt;&gt;"",H13&lt;&gt;"",J13&lt;&gt;""),"Complete","Pending"))</f>
        <v/>
      </c>
    </row>
    <row r="14">
      <c r="A14" s="19" t="inlineStr">
        <is>
          <t>M001-Q03</t>
        </is>
      </c>
      <c r="B14" s="19" t="inlineStr">
        <is>
          <t>CL-M001-Q03-009</t>
        </is>
      </c>
      <c r="C14" s="17" t="inlineStr">
        <is>
          <t>[application] Samantha is a foreigner within section 25 if she holds no Sri Lankan citizenship; the scenario states only that she is a citizen of the United States of America, which does not by itself exclude Sri Lankan citizenship, and a dual citizen would in any event be exempt under section 3(1)(e).</t>
        </is>
      </c>
      <c r="D14" s="17" t="inlineStr">
        <is>
          <t>PROV-M001-014: Land (Restrictions on Alienation) Act No. 38 of 2014 s.25 definition of "foreigner"
PROV-M001-013: Land (Restrictions on Alienation) Act No. 38 of 2014 s.3 (1)(e)
Facts: BG-10</t>
        </is>
      </c>
      <c r="E14" s="17" t="inlineStr">
        <is>
          <t>[verified, support combined]</t>
        </is>
      </c>
      <c r="F14" s="21" t="n"/>
      <c r="G14" s="21" t="n"/>
      <c r="H14" s="21" t="n"/>
      <c r="I14" s="21" t="n"/>
      <c r="J14" s="21" t="n"/>
      <c r="K14" s="17">
        <f>IF(OR(A14="",B14=""),"",IF(AND(F14&lt;&gt;"",H14&lt;&gt;"",J14&lt;&gt;""),"Complete","Pending"))</f>
        <v/>
      </c>
    </row>
    <row r="15">
      <c r="A15" s="19" t="inlineStr">
        <is>
          <t>M001-Q03</t>
        </is>
      </c>
      <c r="B15" s="19" t="inlineStr">
        <is>
          <t>CL-M001-Q03-010</t>
        </is>
      </c>
      <c r="C15" s="17" t="inlineStr">
        <is>
          <t>[application] Samantha takes as next of kin under the Sri Lankan law of succession, as a child of Suresh and as a half-blood sister of Rakitha and Muditha, so her entitlement falls squarely within the section 3(1)(d) exemption.</t>
        </is>
      </c>
      <c r="D15" s="17" t="inlineStr">
        <is>
          <t>PROV-M001-012: Land (Restrictions on Alienation) Act No. 38 of 2014 s.3 (1)(d)
PROV-M001-005: Matrimonial Rights and Inheritance Ordinance No. 15 of 1876 s.24
PROV-M001-006: Matrimonial Rights and Inheritance Ordinance No. 15 of 1876 s.25
PROV-M001-007: Matrimonial Rights and Inheritance Ordinance No. 15 of 1876 s.27
Facts: BG-7, BG-8, BG-10</t>
        </is>
      </c>
      <c r="E15" s="17" t="inlineStr">
        <is>
          <t>[verified, support combined]</t>
        </is>
      </c>
      <c r="F15" s="21" t="n"/>
      <c r="G15" s="21" t="n"/>
      <c r="H15" s="21" t="n"/>
      <c r="I15" s="21" t="n"/>
      <c r="J15" s="21" t="n"/>
      <c r="K15" s="17">
        <f>IF(OR(A15="",B15=""),"",IF(AND(F15&lt;&gt;"",H15&lt;&gt;"",J15&lt;&gt;""),"Complete","Pending"))</f>
        <v/>
      </c>
    </row>
    <row r="16">
      <c r="A16" s="19" t="inlineStr">
        <is>
          <t>M001-Q03</t>
        </is>
      </c>
      <c r="B16" s="19" t="inlineStr">
        <is>
          <t>CL-M001-Q03-011</t>
        </is>
      </c>
      <c r="C16" s="17" t="inlineStr">
        <is>
          <t>[application] A devolution by operation of law on an intestacy is not obviously a sale, donation, gift or conveyance, so the section 2 prohibition arguably does not engage on its own terms.</t>
        </is>
      </c>
      <c r="D16" s="17" t="inlineStr">
        <is>
          <t>PROV-M001-015: Land (Restrictions on Alienation) Act No. 38 of 2014 s.25 definition of "transfer"
PROV-M001-011: Land (Restrictions on Alienation) Act No. 38 of 2014 s.2 (1)(a)</t>
        </is>
      </c>
      <c r="E16" s="17" t="inlineStr">
        <is>
          <t>[rejected, support inferential]</t>
        </is>
      </c>
      <c r="F16" s="21" t="n"/>
      <c r="G16" s="21" t="n"/>
      <c r="H16" s="21" t="n"/>
      <c r="I16" s="21" t="n"/>
      <c r="J16" s="21" t="n"/>
      <c r="K16" s="17">
        <f>IF(OR(A16="",B16=""),"",IF(AND(F16&lt;&gt;"",H16&lt;&gt;"",J16&lt;&gt;""),"Complete","Pending"))</f>
        <v/>
      </c>
    </row>
    <row r="17">
      <c r="A17" s="19" t="inlineStr">
        <is>
          <t>M001-Q03</t>
        </is>
      </c>
      <c r="B17" s="19" t="inlineStr">
        <is>
          <t>CL-M001-Q03-012</t>
        </is>
      </c>
      <c r="C17" s="17" t="inlineStr">
        <is>
          <t>[conclusion] Samantha can become entitled to the intestate estate of Suresh Perera and to the further shares that devolved on her in 2022 and 2023, and none of that entitlement is void under section 18.</t>
        </is>
      </c>
      <c r="D17" s="17" t="inlineStr">
        <is>
          <t>PROV-M001-010: Land (Restrictions on Alienation) Act No. 38 of 2014 s.1 (2)
PROV-M001-012: Land (Restrictions on Alienation) Act No. 38 of 2014 s.3 (1)(d)
PROV-M001-016: Land (Restrictions on Alienation) Act No. 38 of 2014 s.18
Facts: BG-9, BG-10</t>
        </is>
      </c>
      <c r="E17" s="17" t="inlineStr">
        <is>
          <t>[verified, support combined]</t>
        </is>
      </c>
      <c r="F17" s="21" t="n"/>
      <c r="G17" s="21" t="n"/>
      <c r="H17" s="21" t="n"/>
      <c r="I17" s="21" t="n"/>
      <c r="J17" s="21" t="n"/>
      <c r="K17" s="17">
        <f>IF(OR(A17="",B17=""),"",IF(AND(F17&lt;&gt;"",H17&lt;&gt;"",J17&lt;&gt;""),"Complete","Pending"))</f>
        <v/>
      </c>
    </row>
    <row r="18">
      <c r="A18" s="19" t="inlineStr">
        <is>
          <t>M001-Q03</t>
        </is>
      </c>
      <c r="B18" s="19" t="inlineStr">
        <is>
          <t>CL-M001-Q03-013</t>
        </is>
      </c>
      <c r="C18" s="17" t="inlineStr">
        <is>
          <t>[conclusion] Any later disposition of the land by Samantha would still be tested against section 2, because the Act applies to every subsequent transfer of land whose title passed under an exemption in section 3.</t>
        </is>
      </c>
      <c r="D18" s="17" t="inlineStr">
        <is>
          <t>PROV-M001-012: Land (Restrictions on Alienation) Act No. 38 of 2014 s.3 (1)(d)
PROV-M001-011: Land (Restrictions on Alienation) Act No. 38 of 2014 s.2 (1)(a)
PROV-M001-902: Land (Restrictions on Alienation) Act No. 38 of 2014 s.3 (4)</t>
        </is>
      </c>
      <c r="E18" s="17" t="inlineStr">
        <is>
          <t>[verified, support inferential]</t>
        </is>
      </c>
      <c r="F18" s="21" t="n"/>
      <c r="G18" s="21" t="n"/>
      <c r="H18" s="21" t="n"/>
      <c r="I18" s="21" t="n"/>
      <c r="J18" s="21" t="n"/>
      <c r="K18" s="17">
        <f>IF(OR(A18="",B18=""),"",IF(AND(F18&lt;&gt;"",H18&lt;&gt;"",J18&lt;&gt;""),"Complete","Pending"))</f>
        <v/>
      </c>
    </row>
    <row r="19">
      <c r="A19" s="19" t="inlineStr">
        <is>
          <t>M002-Q01</t>
        </is>
      </c>
      <c r="B19" s="19" t="inlineStr">
        <is>
          <t>CL-M002-Q01-001</t>
        </is>
      </c>
      <c r="C19" s="17" t="inlineStr">
        <is>
          <t>[rule] Before drawing a deed affecting an interest in land the notary must search or cause to be searched the registers in the land registry to ascertain the state of the title and whether any prior deed has been registered.</t>
        </is>
      </c>
      <c r="D19" s="17" t="inlineStr">
        <is>
          <t>PROV-M002-001: Notaries Ordinance s.31 rule (17)(a)</t>
        </is>
      </c>
      <c r="E19" s="17" t="inlineStr">
        <is>
          <t>[verified, support direct]</t>
        </is>
      </c>
      <c r="F19" s="21" t="n"/>
      <c r="G19" s="21" t="n"/>
      <c r="H19" s="21" t="n"/>
      <c r="I19" s="21" t="n"/>
      <c r="J19" s="21" t="n"/>
      <c r="K19" s="17">
        <f>IF(OR(A19="",B19=""),"",IF(AND(F19&lt;&gt;"",H19&lt;&gt;"",J19&lt;&gt;""),"Complete","Pending"))</f>
        <v/>
      </c>
    </row>
    <row r="20">
      <c r="A20" s="19" t="inlineStr">
        <is>
          <t>M002-Q01</t>
        </is>
      </c>
      <c r="B20" s="19" t="inlineStr">
        <is>
          <t>CL-M002-Q01-002</t>
        </is>
      </c>
      <c r="C20" s="17" t="inlineStr">
        <is>
          <t>[rule] The notary must obtain from the Registrar of the relevant Land Registry a certified extract of the folio containing the last entry, showing the ownership and the registered encumbrances of the land.</t>
        </is>
      </c>
      <c r="D20" s="17" t="inlineStr">
        <is>
          <t>PROV-M002-002: Notaries Ordinance s.31 rule (17)(b)(i)</t>
        </is>
      </c>
      <c r="E20" s="17" t="inlineStr">
        <is>
          <t>[verified, support direct]</t>
        </is>
      </c>
      <c r="F20" s="21" t="n"/>
      <c r="G20" s="21" t="n"/>
      <c r="H20" s="21" t="n"/>
      <c r="I20" s="21" t="n"/>
      <c r="J20" s="21" t="n"/>
      <c r="K20" s="17">
        <f>IF(OR(A20="",B20=""),"",IF(AND(F20&lt;&gt;"",H20&lt;&gt;"",J20&lt;&gt;""),"Complete","Pending"))</f>
        <v/>
      </c>
    </row>
    <row r="21">
      <c r="A21" s="19" t="inlineStr">
        <is>
          <t>M002-Q01</t>
        </is>
      </c>
      <c r="B21" s="19" t="inlineStr">
        <is>
          <t>CL-M002-Q01-003</t>
        </is>
      </c>
      <c r="C21" s="17" t="inlineStr">
        <is>
          <t>[rule] The registry books and indexes may be searched, and certified copies or extracts obtained, by a person interested or by his attorney-at-law or authorised agent.</t>
        </is>
      </c>
      <c r="D21" s="17" t="inlineStr">
        <is>
          <t>PROV-M002-009: Registration of Documents Ordinance s.42</t>
        </is>
      </c>
      <c r="E21" s="17" t="inlineStr">
        <is>
          <t>[verified, support direct]</t>
        </is>
      </c>
      <c r="F21" s="21" t="n"/>
      <c r="G21" s="21" t="n"/>
      <c r="H21" s="21" t="n"/>
      <c r="I21" s="21" t="n"/>
      <c r="J21" s="21" t="n"/>
      <c r="K21" s="17">
        <f>IF(OR(A21="",B21=""),"",IF(AND(F21&lt;&gt;"",H21&lt;&gt;"",J21&lt;&gt;""),"Complete","Pending"))</f>
        <v/>
      </c>
    </row>
    <row r="22">
      <c r="A22" s="19" t="inlineStr">
        <is>
          <t>M002-Q01</t>
        </is>
      </c>
      <c r="B22" s="19" t="inlineStr">
        <is>
          <t>CL-M002-Q01-004</t>
        </is>
      </c>
      <c r="C22" s="17" t="inlineStr">
        <is>
          <t>[rule] The search matters because an instrument that is not duly registered is void against a subsequent duly registered instrument taken for valuable consideration.</t>
        </is>
      </c>
      <c r="D22" s="17" t="inlineStr">
        <is>
          <t>PROV-M002-008: Registration of Documents Ordinance s.7 (1)</t>
        </is>
      </c>
      <c r="E22" s="17" t="inlineStr">
        <is>
          <t>[verified, support direct]</t>
        </is>
      </c>
      <c r="F22" s="21" t="n"/>
      <c r="G22" s="21" t="n"/>
      <c r="H22" s="21" t="n"/>
      <c r="I22" s="21" t="n"/>
      <c r="J22" s="21" t="n"/>
      <c r="K22" s="17">
        <f>IF(OR(A22="",B22=""),"",IF(AND(F22&lt;&gt;"",H22&lt;&gt;"",J22&lt;&gt;""),"Complete","Pending"))</f>
        <v/>
      </c>
    </row>
    <row r="23">
      <c r="A23" s="19" t="inlineStr">
        <is>
          <t>M002-Q01</t>
        </is>
      </c>
      <c r="B23" s="19" t="inlineStr">
        <is>
          <t>CL-M002-Q01-005</t>
        </is>
      </c>
      <c r="C23" s="17" t="inlineStr">
        <is>
          <t>[rule] The search must extend to a registered lis pendens, which binds a purchaser, and to registered caveats, which allow a caveator to have a later instrument rectified or cancelled.</t>
        </is>
      </c>
      <c r="D23" s="17" t="inlineStr">
        <is>
          <t>PROV-M002-010: Registration of Documents Ordinance s.11 (1)
PROV-M002-011: Registration of Documents Ordinance s.32 (1)
PROV-M002-905: Registration of Documents Ordinance s.32 (5)</t>
        </is>
      </c>
      <c r="E23" s="17" t="inlineStr">
        <is>
          <t>[verified, support combined]</t>
        </is>
      </c>
      <c r="F23" s="21" t="n"/>
      <c r="G23" s="21" t="n"/>
      <c r="H23" s="21" t="n"/>
      <c r="I23" s="21" t="n"/>
      <c r="J23" s="21" t="n"/>
      <c r="K23" s="17">
        <f>IF(OR(A23="",B23=""),"",IF(AND(F23&lt;&gt;"",H23&lt;&gt;"",J23&lt;&gt;""),"Complete","Pending"))</f>
        <v/>
      </c>
    </row>
    <row r="24">
      <c r="A24" s="19" t="inlineStr">
        <is>
          <t>M002-Q01</t>
        </is>
      </c>
      <c r="B24" s="19" t="inlineStr">
        <is>
          <t>CL-M002-Q01-006</t>
        </is>
      </c>
      <c r="C24" s="17" t="inlineStr">
        <is>
          <t>[rule] The notary must use his best endeavours to obtain the title deed of the property being transferred.</t>
        </is>
      </c>
      <c r="D24" s="17" t="inlineStr">
        <is>
          <t>PROV-M002-005: Notaries Ordinance s.31 rule (33)</t>
        </is>
      </c>
      <c r="E24" s="17" t="inlineStr">
        <is>
          <t>[verified, support direct]</t>
        </is>
      </c>
      <c r="F24" s="21" t="n"/>
      <c r="G24" s="21" t="n"/>
      <c r="H24" s="21" t="n"/>
      <c r="I24" s="21" t="n"/>
      <c r="J24" s="21" t="n"/>
      <c r="K24" s="17">
        <f>IF(OR(A24="",B24=""),"",IF(AND(F24&lt;&gt;"",H24&lt;&gt;"",J24&lt;&gt;""),"Complete","Pending"))</f>
        <v/>
      </c>
    </row>
    <row r="25">
      <c r="A25" s="19" t="inlineStr">
        <is>
          <t>M002-Q01</t>
        </is>
      </c>
      <c r="B25" s="19" t="inlineStr">
        <is>
          <t>CL-M002-Q01-007</t>
        </is>
      </c>
      <c r="C25" s="17" t="inlineStr">
        <is>
          <t>[rule] The deed must embody an accurate and clear description of the land with its boundaries, extent and situation, and registration will be refused if the instrument does not state those particulars.</t>
        </is>
      </c>
      <c r="D25" s="17" t="inlineStr">
        <is>
          <t>PROV-M002-006: Notaries Ordinance s.31 rule (16)(a)
PROV-M002-012: Registration of Documents Ordinance s.13 (1)
PROV-M002-904: Registration of Documents Ordinance s.13 (5)</t>
        </is>
      </c>
      <c r="E25" s="17" t="inlineStr">
        <is>
          <t>[verified, support combined]</t>
        </is>
      </c>
      <c r="F25" s="21" t="n"/>
      <c r="G25" s="21" t="n"/>
      <c r="H25" s="21" t="n"/>
      <c r="I25" s="21" t="n"/>
      <c r="J25" s="21" t="n"/>
      <c r="K25" s="17">
        <f>IF(OR(A25="",B25=""),"",IF(AND(F25&lt;&gt;"",H25&lt;&gt;"",J25&lt;&gt;""),"Complete","Pending"))</f>
        <v/>
      </c>
    </row>
    <row r="26">
      <c r="A26" s="19" t="inlineStr">
        <is>
          <t>M002-Q01</t>
        </is>
      </c>
      <c r="B26" s="19" t="inlineStr">
        <is>
          <t>CL-M002-Q01-008</t>
        </is>
      </c>
      <c r="C26" s="17" t="inlineStr">
        <is>
          <t>[rule] Where a party is a corporate body the notary must retain a certified copy of its certificate of incorporation and the details of its board of directors, and must attach to the protocol a copy of the board resolution authorising the signatory.</t>
        </is>
      </c>
      <c r="D26" s="17" t="inlineStr">
        <is>
          <t>PROV-M002-003: Notaries Ordinance s.31 rule (17)(d)
PROV-M002-004: Notaries Ordinance s.31 rule (14)</t>
        </is>
      </c>
      <c r="E26" s="17" t="inlineStr">
        <is>
          <t>[verified, support combined]</t>
        </is>
      </c>
      <c r="F26" s="21" t="n"/>
      <c r="G26" s="21" t="n"/>
      <c r="H26" s="21" t="n"/>
      <c r="I26" s="21" t="n"/>
      <c r="J26" s="21" t="n"/>
      <c r="K26" s="17">
        <f>IF(OR(A26="",B26=""),"",IF(AND(F26&lt;&gt;"",H26&lt;&gt;"",J26&lt;&gt;""),"Complete","Pending"))</f>
        <v/>
      </c>
    </row>
    <row r="27">
      <c r="A27" s="19" t="inlineStr">
        <is>
          <t>M002-Q01</t>
        </is>
      </c>
      <c r="B27" s="19" t="inlineStr">
        <is>
          <t>CL-M002-Q01-009</t>
        </is>
      </c>
      <c r="C27" s="17" t="inlineStr">
        <is>
          <t>[rule] Where the transferee is a corporate body whose board cannot be present, the board must authorise in writing the person who signs the deed on its behalf.</t>
        </is>
      </c>
      <c r="D27" s="17" t="inlineStr">
        <is>
          <t>PROV-M002-016: Prevention of Frauds Ordinance s.2 (2)</t>
        </is>
      </c>
      <c r="E27" s="17" t="inlineStr">
        <is>
          <t>[verified, support direct]</t>
        </is>
      </c>
      <c r="F27" s="21" t="n"/>
      <c r="G27" s="21" t="n"/>
      <c r="H27" s="21" t="n"/>
      <c r="I27" s="21" t="n"/>
      <c r="J27" s="21" t="n"/>
      <c r="K27" s="17">
        <f>IF(OR(A27="",B27=""),"",IF(AND(F27&lt;&gt;"",H27&lt;&gt;"",J27&lt;&gt;""),"Complete","Pending"))</f>
        <v/>
      </c>
    </row>
    <row r="28">
      <c r="A28" s="19" t="inlineStr">
        <is>
          <t>M002-Q01</t>
        </is>
      </c>
      <c r="B28" s="19" t="inlineStr">
        <is>
          <t>CL-M002-Q01-010</t>
        </is>
      </c>
      <c r="C28" s="17" t="inlineStr">
        <is>
          <t>[rule] A certificate of incorporation is conclusive evidence that the company has been incorporated on the date it specifies and that the incorporation requirements were complied with.</t>
        </is>
      </c>
      <c r="D28" s="17" t="inlineStr">
        <is>
          <t>PROV-M002-019: Companies Act s.5 (3)</t>
        </is>
      </c>
      <c r="E28" s="17" t="inlineStr">
        <is>
          <t>[verified, support direct]</t>
        </is>
      </c>
      <c r="F28" s="21" t="n"/>
      <c r="G28" s="21" t="n"/>
      <c r="H28" s="21" t="n"/>
      <c r="I28" s="21" t="n"/>
      <c r="J28" s="21" t="n"/>
      <c r="K28" s="17">
        <f>IF(OR(A28="",B28=""),"",IF(AND(F28&lt;&gt;"",H28&lt;&gt;"",J28&lt;&gt;""),"Complete","Pending"))</f>
        <v/>
      </c>
    </row>
    <row r="29">
      <c r="A29" s="19" t="inlineStr">
        <is>
          <t>M002-Q01</t>
        </is>
      </c>
      <c r="B29" s="19" t="inlineStr">
        <is>
          <t>CL-M002-Q01-011</t>
        </is>
      </c>
      <c r="C29" s="17" t="inlineStr">
        <is>
          <t>[rule] Transfer of title of land to a company incorporated in Sri Lanka is prohibited where its direct or indirect foreign shareholding is fifty per cent or above, and any alienation in contravention of the Act is void.</t>
        </is>
      </c>
      <c r="D29" s="17" t="inlineStr">
        <is>
          <t>PROV-M002-013: Land (Restrictions on Alienation) Act s.2 (1)
PROV-M002-015: Land (Restrictions on Alienation) Act s.18</t>
        </is>
      </c>
      <c r="E29" s="17" t="inlineStr">
        <is>
          <t>[verified, support combined]</t>
        </is>
      </c>
      <c r="F29" s="21" t="n"/>
      <c r="G29" s="21" t="n"/>
      <c r="H29" s="21" t="n"/>
      <c r="I29" s="21" t="n"/>
      <c r="J29" s="21" t="n"/>
      <c r="K29" s="17">
        <f>IF(OR(A29="",B29=""),"",IF(AND(F29&lt;&gt;"",H29&lt;&gt;"",J29&lt;&gt;""),"Complete","Pending"))</f>
        <v/>
      </c>
    </row>
    <row r="30">
      <c r="A30" s="19" t="inlineStr">
        <is>
          <t>M002-Q01</t>
        </is>
      </c>
      <c r="B30" s="19" t="inlineStr">
        <is>
          <t>CL-M002-Q01-012</t>
        </is>
      </c>
      <c r="C30" s="17" t="inlineStr">
        <is>
          <t>[rule] Where the transferee company has less than fifty per cent foreign shareholding, the Registrar of Lands must require the company secretary to submit documentary proof of that shareholding before registering the transfer.</t>
        </is>
      </c>
      <c r="D30" s="17" t="inlineStr">
        <is>
          <t>PROV-M002-014: Land (Restrictions on Alienation) Act s.4 (3)</t>
        </is>
      </c>
      <c r="E30" s="17" t="inlineStr">
        <is>
          <t>[verified, support direct]</t>
        </is>
      </c>
      <c r="F30" s="21" t="n"/>
      <c r="G30" s="21" t="n"/>
      <c r="H30" s="21" t="n"/>
      <c r="I30" s="21" t="n"/>
      <c r="J30" s="21" t="n"/>
      <c r="K30" s="17">
        <f>IF(OR(A30="",B30=""),"",IF(AND(F30&lt;&gt;"",H30&lt;&gt;"",J30&lt;&gt;""),"Complete","Pending"))</f>
        <v/>
      </c>
    </row>
    <row r="31">
      <c r="A31" s="19" t="inlineStr">
        <is>
          <t>M002-Q01</t>
        </is>
      </c>
      <c r="B31" s="19" t="inlineStr">
        <is>
          <t>CL-M002-Q01-013</t>
        </is>
      </c>
      <c r="C31" s="17" t="inlineStr">
        <is>
          <t>[rule] Every power of attorney, whether executed in Sri Lanka or abroad, must be registered with the Registrar-General.</t>
        </is>
      </c>
      <c r="D31" s="17" t="inlineStr">
        <is>
          <t>PROV-M002-017: Powers of Attorney Ordinance s.3 (1)(a)</t>
        </is>
      </c>
      <c r="E31" s="17" t="inlineStr">
        <is>
          <t>[verified, support direct]</t>
        </is>
      </c>
      <c r="F31" s="21" t="n"/>
      <c r="G31" s="21" t="n"/>
      <c r="H31" s="21" t="n"/>
      <c r="I31" s="21" t="n"/>
      <c r="J31" s="21" t="n"/>
      <c r="K31" s="17">
        <f>IF(OR(A31="",B31=""),"",IF(AND(F31&lt;&gt;"",H31&lt;&gt;"",J31&lt;&gt;""),"Complete","Pending"))</f>
        <v/>
      </c>
    </row>
    <row r="32">
      <c r="A32" s="19" t="inlineStr">
        <is>
          <t>M002-Q01</t>
        </is>
      </c>
      <c r="B32" s="19" t="inlineStr">
        <is>
          <t>CL-M002-Q01-014</t>
        </is>
      </c>
      <c r="C32" s="17" t="inlineStr">
        <is>
          <t>[rule] A notary attesting a deed signed under a power of attorney must examine the relevant volumes and folios in the Registrar-General's department, be satisfied that the power has not been revoked or cancelled and state that in his attestation, retain the identity documents of grantor and attorney and a copy of the power, and keep a true copy of the power with his protocol.</t>
        </is>
      </c>
      <c r="D32" s="17" t="inlineStr">
        <is>
          <t>PROV-M002-018: Powers of Attorney Ordinance s.3B (1)
PROV-M002-007: Notaries Ordinance s.31 rule (30)
PROV-M002-902: Powers of Attorney Ordinance s.3A (3)
PROV-M002-903: Notaries Ordinance s.31 rule (15A)(c)</t>
        </is>
      </c>
      <c r="E32" s="17" t="inlineStr">
        <is>
          <t>[verified, support combined]</t>
        </is>
      </c>
      <c r="F32" s="21" t="n"/>
      <c r="G32" s="21" t="n"/>
      <c r="H32" s="21" t="n"/>
      <c r="I32" s="21" t="n"/>
      <c r="J32" s="21" t="n"/>
      <c r="K32" s="17">
        <f>IF(OR(A32="",B32=""),"",IF(AND(F32&lt;&gt;"",H32&lt;&gt;"",J32&lt;&gt;""),"Complete","Pending"))</f>
        <v/>
      </c>
    </row>
    <row r="33">
      <c r="A33" s="19" t="inlineStr">
        <is>
          <t>M002-Q01</t>
        </is>
      </c>
      <c r="B33" s="19" t="inlineStr">
        <is>
          <t>CL-M002-Q01-015</t>
        </is>
      </c>
      <c r="C33" s="17" t="inlineStr">
        <is>
          <t>[rule] Ten years of undisturbed possession adverse to the owner can defeat the paper title, so the deeds alone are not conclusive.</t>
        </is>
      </c>
      <c r="D33" s="17" t="inlineStr">
        <is>
          <t>PROV-M002-020: Prescription Ordinance s.3</t>
        </is>
      </c>
      <c r="E33" s="17" t="inlineStr">
        <is>
          <t>[verified, support direct]</t>
        </is>
      </c>
      <c r="F33" s="21" t="n"/>
      <c r="G33" s="21" t="n"/>
      <c r="H33" s="21" t="n"/>
      <c r="I33" s="21" t="n"/>
      <c r="J33" s="21" t="n"/>
      <c r="K33" s="17">
        <f>IF(OR(A33="",B33=""),"",IF(AND(F33&lt;&gt;"",H33&lt;&gt;"",J33&lt;&gt;""),"Complete","Pending"))</f>
        <v/>
      </c>
    </row>
    <row r="34">
      <c r="A34" s="19" t="inlineStr">
        <is>
          <t>M002-Q01</t>
        </is>
      </c>
      <c r="B34" s="19" t="inlineStr">
        <is>
          <t>CL-M002-Q01-016</t>
        </is>
      </c>
      <c r="C34" s="17" t="inlineStr">
        <is>
          <t>[application] Because the vendor has produced only the 2011 deed, the notary must call for the earlier deeds in the chain and obtain the title deed itself, and must check from the folio extract that each link is registered.</t>
        </is>
      </c>
      <c r="D34" s="17" t="inlineStr">
        <is>
          <t>PROV-M002-001: Notaries Ordinance s.31 rule (17)(a)
PROV-M002-002: Notaries Ordinance s.31 rule (17)(b)(i)
PROV-M002-005: Notaries Ordinance s.31 rule (33)
PROV-M002-008: Registration of Documents Ordinance s.7 (1)
Facts: FACT-M002-Q01-004</t>
        </is>
      </c>
      <c r="E34" s="17" t="inlineStr">
        <is>
          <t>[verified, support combined]</t>
        </is>
      </c>
      <c r="F34" s="21" t="n"/>
      <c r="G34" s="21" t="n"/>
      <c r="H34" s="21" t="n"/>
      <c r="I34" s="21" t="n"/>
      <c r="J34" s="21" t="n"/>
      <c r="K34" s="17">
        <f>IF(OR(A34="",B34=""),"",IF(AND(F34&lt;&gt;"",H34&lt;&gt;"",J34&lt;&gt;""),"Complete","Pending"))</f>
        <v/>
      </c>
    </row>
    <row r="35">
      <c r="A35" s="19" t="inlineStr">
        <is>
          <t>M002-Q01</t>
        </is>
      </c>
      <c r="B35" s="19" t="inlineStr">
        <is>
          <t>CL-M002-Q01-017</t>
        </is>
      </c>
      <c r="C35" s="17" t="inlineStr">
        <is>
          <t>[application] The 2021 survey plan and the prior deed descriptions must be compared so that the schedule of the transfer states the boundaries, extent and situation of Lot A accurately and matches the folio.</t>
        </is>
      </c>
      <c r="D35" s="17" t="inlineStr">
        <is>
          <t>PROV-M002-006: Notaries Ordinance s.31 rule (16)(a)
PROV-M002-012: Registration of Documents Ordinance s.13 (1)
Facts: FACT-M002-Q01-003</t>
        </is>
      </c>
      <c r="E35" s="17" t="inlineStr">
        <is>
          <t>[verified, support combined]</t>
        </is>
      </c>
      <c r="F35" s="21" t="n"/>
      <c r="G35" s="21" t="n"/>
      <c r="H35" s="21" t="n"/>
      <c r="I35" s="21" t="n"/>
      <c r="J35" s="21" t="n"/>
      <c r="K35" s="17">
        <f>IF(OR(A35="",B35=""),"",IF(AND(F35&lt;&gt;"",H35&lt;&gt;"",J35&lt;&gt;""),"Complete","Pending"))</f>
        <v/>
      </c>
    </row>
    <row r="36">
      <c r="A36" s="19" t="inlineStr">
        <is>
          <t>M002-Q01</t>
        </is>
      </c>
      <c r="B36" s="19" t="inlineStr">
        <is>
          <t>CL-M002-Q01-018</t>
        </is>
      </c>
      <c r="C36" s="17" t="inlineStr">
        <is>
          <t>[application] The notary must take the purchasing company's certificate of incorporation, the particulars of its directors and the board resolution authorising its managing director to sign.</t>
        </is>
      </c>
      <c r="D36" s="17" t="inlineStr">
        <is>
          <t>PROV-M002-003: Notaries Ordinance s.31 rule (17)(d)
PROV-M002-004: Notaries Ordinance s.31 rule (14)
PROV-M002-016: Prevention of Frauds Ordinance s.2 (2)
PROV-M002-019: Companies Act s.5 (3)
Facts: FACT-M002-Q01-001, FACT-M002-Q01-002</t>
        </is>
      </c>
      <c r="E36" s="17" t="inlineStr">
        <is>
          <t>[verified, support combined]</t>
        </is>
      </c>
      <c r="F36" s="21" t="n"/>
      <c r="G36" s="21" t="n"/>
      <c r="H36" s="21" t="n"/>
      <c r="I36" s="21" t="n"/>
      <c r="J36" s="21" t="n"/>
      <c r="K36" s="17">
        <f>IF(OR(A36="",B36=""),"",IF(AND(F36&lt;&gt;"",H36&lt;&gt;"",J36&lt;&gt;""),"Complete","Pending"))</f>
        <v/>
      </c>
    </row>
    <row r="37">
      <c r="A37" s="19" t="inlineStr">
        <is>
          <t>M002-Q01</t>
        </is>
      </c>
      <c r="B37" s="19" t="inlineStr">
        <is>
          <t>CL-M002-Q01-019</t>
        </is>
      </c>
      <c r="C37" s="17" t="inlineStr">
        <is>
          <t>[application] The notary must obtain from the company secretary documentary proof that the Singapore company's 3,500,000 of 10,000,000 shares leave the foreign shareholding below fifty per cent, because the Registrar of Lands will require it and a transfer in breach would be void.</t>
        </is>
      </c>
      <c r="D37" s="17" t="inlineStr">
        <is>
          <t>PROV-M002-013: Land (Restrictions on Alienation) Act s.2 (1)
PROV-M002-014: Land (Restrictions on Alienation) Act s.4 (3)
PROV-M002-015: Land (Restrictions on Alienation) Act s.18
Facts: FACT-M002-Q01-001</t>
        </is>
      </c>
      <c r="E37" s="17" t="inlineStr">
        <is>
          <t>[verified, support combined]</t>
        </is>
      </c>
      <c r="F37" s="21" t="n"/>
      <c r="G37" s="21" t="n"/>
      <c r="H37" s="21" t="n"/>
      <c r="I37" s="21" t="n"/>
      <c r="J37" s="21" t="n"/>
      <c r="K37" s="17">
        <f>IF(OR(A37="",B37=""),"",IF(AND(F37&lt;&gt;"",H37&lt;&gt;"",J37&lt;&gt;""),"Complete","Pending"))</f>
        <v/>
      </c>
    </row>
    <row r="38">
      <c r="A38" s="19" t="inlineStr">
        <is>
          <t>M002-Q01</t>
        </is>
      </c>
      <c r="B38" s="19" t="inlineStr">
        <is>
          <t>CL-M002-Q01-020</t>
        </is>
      </c>
      <c r="C38" s="17" t="inlineStr">
        <is>
          <t>[application] Because the vendor will sign through his brother, the notary must see the original power of attorney of 3 March 2024, confirm its registration with the Registrar-General, search the volumes and folios there for a revocation, and take copies of the identity documents of grantor and attorney.</t>
        </is>
      </c>
      <c r="D38" s="17" t="inlineStr">
        <is>
          <t>PROV-M002-017: Powers of Attorney Ordinance s.3 (1)(a)
PROV-M002-018: Powers of Attorney Ordinance s.3B (1)
PROV-M002-007: Notaries Ordinance s.31 rule (30)
PROV-M002-902: Powers of Attorney Ordinance s.3A (3)
PROV-M002-906: Powers of Attorney Ordinance s.3C
Facts: FACT-M002-Q01-005</t>
        </is>
      </c>
      <c r="E38" s="17" t="inlineStr">
        <is>
          <t>[verified, support combined]</t>
        </is>
      </c>
      <c r="F38" s="21" t="n"/>
      <c r="G38" s="21" t="n"/>
      <c r="H38" s="21" t="n"/>
      <c r="I38" s="21" t="n"/>
      <c r="J38" s="21" t="n"/>
      <c r="K38" s="17">
        <f>IF(OR(A38="",B38=""),"",IF(AND(F38&lt;&gt;"",H38&lt;&gt;"",J38&lt;&gt;""),"Complete","Pending"))</f>
        <v/>
      </c>
    </row>
    <row r="39">
      <c r="A39" s="19" t="inlineStr">
        <is>
          <t>M002-Q01</t>
        </is>
      </c>
      <c r="B39" s="19" t="inlineStr">
        <is>
          <t>CL-M002-Q01-021</t>
        </is>
      </c>
      <c r="C39" s="17" t="inlineStr">
        <is>
          <t>[application] The northern portion fenced and cultivated by the neighbours since 2009 must be investigated on the ground, because possession adverse to the owner for ten years can defeat the paper title to that portion.</t>
        </is>
      </c>
      <c r="D39" s="17" t="inlineStr">
        <is>
          <t>PROV-M002-020: Prescription Ordinance s.3
Facts: FACT-M002-Q01-006</t>
        </is>
      </c>
      <c r="E39" s="17" t="inlineStr">
        <is>
          <t>[verified, support direct]</t>
        </is>
      </c>
      <c r="F39" s="21" t="n"/>
      <c r="G39" s="21" t="n"/>
      <c r="H39" s="21" t="n"/>
      <c r="I39" s="21" t="n"/>
      <c r="J39" s="21" t="n"/>
      <c r="K39" s="17">
        <f>IF(OR(A39="",B39=""),"",IF(AND(F39&lt;&gt;"",H39&lt;&gt;"",J39&lt;&gt;""),"Complete","Pending"))</f>
        <v/>
      </c>
    </row>
    <row r="40">
      <c r="A40" s="19" t="inlineStr">
        <is>
          <t>M002-Q01</t>
        </is>
      </c>
      <c r="B40" s="19" t="inlineStr">
        <is>
          <t>CL-M002-Q01-022</t>
        </is>
      </c>
      <c r="C40" s="17" t="inlineStr">
        <is>
          <t>[conclusion] The notary should check five groups of documents before the company buys: the certified folio extract with all registered encumbrances, lis pendens and caveats; the vendor's title deed and the prior deeds in the chain together with the survey plan; the certificate of incorporation, directors' particulars and board resolution of the purchaser; the company secretary's proof of foreign shareholding; and the registered power of attorney with a revocation search and the identity documents of grantor and attorney.</t>
        </is>
      </c>
      <c r="D40" s="17" t="inlineStr">
        <is>
          <t>PROV-M002-001: Notaries Ordinance s.31 rule (17)(a)
PROV-M002-002: Notaries Ordinance s.31 rule (17)(b)(i)
PROV-M002-003: Notaries Ordinance s.31 rule (17)(d)
PROV-M002-004: Notaries Ordinance s.31 rule (14)
PROV-M002-005: Notaries Ordinance s.31 rule (33)
PROV-M002-007: Notaries Ordinance s.31 rule (30)
PROV-M002-013: Land (Restrictions on Alienation) Act s.2 (1)
PROV-M002-014: Land (Restrictions on Alienation) Act s.4 (3)
PROV-M002-017: Powers of Attorney Ordinance s.3 (1)(a)
PROV-M002-018: Powers of Attorney Ordinance s.3B (1)
Facts: FACT-M002-Q01-001, FACT-M002-Q01-003, FACT-M002-Q01-004, FACT-M002-Q01-005</t>
        </is>
      </c>
      <c r="E40" s="17" t="inlineStr">
        <is>
          <t>[verified, support combined]</t>
        </is>
      </c>
      <c r="F40" s="21" t="n"/>
      <c r="G40" s="21" t="n"/>
      <c r="H40" s="21" t="n"/>
      <c r="I40" s="21" t="n"/>
      <c r="J40" s="21" t="n"/>
      <c r="K40" s="17">
        <f>IF(OR(A40="",B40=""),"",IF(AND(F40&lt;&gt;"",H40&lt;&gt;"",J40&lt;&gt;""),"Complete","Pending"))</f>
        <v/>
      </c>
    </row>
    <row r="41">
      <c r="A41" s="19" t="inlineStr">
        <is>
          <t>M002-Q01</t>
        </is>
      </c>
      <c r="B41" s="19" t="inlineStr">
        <is>
          <t>CL-M002-Q01-023</t>
        </is>
      </c>
      <c r="C41" s="17" t="inlineStr">
        <is>
          <t>[conclusion] He should also satisfy himself about possession on the ground and, from the root of title and the registry entries, that no State grant condition or acquisition affects the land.</t>
        </is>
      </c>
      <c r="D41" s="17" t="inlineStr">
        <is>
          <t>PROV-M002-020: Prescription Ordinance s.3
PROV-M002-021: Land Acquisition Act s.2 (1)
PROV-M002-022: Land Development Ordinance s.46 (1)
Facts: FACT-M002-Q01-006</t>
        </is>
      </c>
      <c r="E41" s="17" t="inlineStr">
        <is>
          <t>[disputed, support inferential]</t>
        </is>
      </c>
      <c r="F41" s="21" t="n"/>
      <c r="G41" s="21" t="n"/>
      <c r="H41" s="21" t="n"/>
      <c r="I41" s="21" t="n"/>
      <c r="J41" s="21" t="n"/>
      <c r="K41" s="17">
        <f>IF(OR(A41="",B41=""),"",IF(AND(F41&lt;&gt;"",H41&lt;&gt;"",J41&lt;&gt;""),"Complete","Pending"))</f>
        <v/>
      </c>
    </row>
    <row r="42">
      <c r="A42" s="19" t="inlineStr">
        <is>
          <t>M003-Q02</t>
        </is>
      </c>
      <c r="B42" s="19" t="inlineStr">
        <is>
          <t>CL-M003-Q02-001</t>
        </is>
      </c>
      <c r="C42" s="17" t="inlineStr">
        <is>
          <t>[rule] A 'holding' under the Land Development Ordinance is land alienated by grant under the Ordinance.</t>
        </is>
      </c>
      <c r="D42" s="17" t="inlineStr">
        <is>
          <t>PROV-M003-012: Land Development Ordinance s.2 definition of "holding"</t>
        </is>
      </c>
      <c r="E42" s="17" t="inlineStr">
        <is>
          <t>[verified, support direct]</t>
        </is>
      </c>
      <c r="F42" s="21" t="n"/>
      <c r="G42" s="21" t="n"/>
      <c r="H42" s="21" t="n"/>
      <c r="I42" s="21" t="n"/>
      <c r="J42" s="21" t="n"/>
      <c r="K42" s="17">
        <f>IF(OR(A42="",B42=""),"",IF(AND(F42&lt;&gt;"",H42&lt;&gt;"",J42&lt;&gt;""),"Complete","Pending"))</f>
        <v/>
      </c>
    </row>
    <row r="43">
      <c r="A43" s="19" t="inlineStr">
        <is>
          <t>M003-Q02</t>
        </is>
      </c>
      <c r="B43" s="19" t="inlineStr">
        <is>
          <t>CL-M003-Q02-002</t>
        </is>
      </c>
      <c r="C43" s="17" t="inlineStr">
        <is>
          <t>[rule] A mortgage is a 'disposition' for the purposes of the Ordinance.</t>
        </is>
      </c>
      <c r="D43" s="17" t="inlineStr">
        <is>
          <t>PROV-M003-014: Land Development Ordinance s.2 definition of "disposition"</t>
        </is>
      </c>
      <c r="E43" s="17" t="inlineStr">
        <is>
          <t>[verified, support direct]</t>
        </is>
      </c>
      <c r="F43" s="21" t="n"/>
      <c r="G43" s="21" t="n"/>
      <c r="H43" s="21" t="n"/>
      <c r="I43" s="21" t="n"/>
      <c r="J43" s="21" t="n"/>
      <c r="K43" s="17">
        <f>IF(OR(A43="",B43=""),"",IF(AND(F43&lt;&gt;"",H43&lt;&gt;"",J43&lt;&gt;""),"Complete","Pending"))</f>
        <v/>
      </c>
    </row>
    <row r="44">
      <c r="A44" s="19" t="inlineStr">
        <is>
          <t>M003-Q02</t>
        </is>
      </c>
      <c r="B44" s="19" t="inlineStr">
        <is>
          <t>CL-M003-Q02-003</t>
        </is>
      </c>
      <c r="C44" s="17" t="inlineStr">
        <is>
          <t>[rule] Every grant contains a condition that the owner shall not dispose of the holding except with the prior approval of the Government Agent.</t>
        </is>
      </c>
      <c r="D44" s="17" t="inlineStr">
        <is>
          <t>PROV-M003-010: Land Development Ordinance s.19 (6)(b) and (7)</t>
        </is>
      </c>
      <c r="E44" s="17" t="inlineStr">
        <is>
          <t>[verified, support direct]</t>
        </is>
      </c>
      <c r="F44" s="21" t="n"/>
      <c r="G44" s="21" t="n"/>
      <c r="H44" s="21" t="n"/>
      <c r="I44" s="21" t="n"/>
      <c r="J44" s="21" t="n"/>
      <c r="K44" s="17">
        <f>IF(OR(A44="",B44=""),"",IF(AND(F44&lt;&gt;"",H44&lt;&gt;"",J44&lt;&gt;""),"Complete","Pending"))</f>
        <v/>
      </c>
    </row>
    <row r="45">
      <c r="A45" s="19" t="inlineStr">
        <is>
          <t>M003-Q02</t>
        </is>
      </c>
      <c r="B45" s="19" t="inlineStr">
        <is>
          <t>CL-M003-Q02-004</t>
        </is>
      </c>
      <c r="C45" s="17" t="inlineStr">
        <is>
          <t>[rule] Notwithstanding that condition, the approval of the Divisional Secretary is not required when mortgaging the holding to a licensed commercial bank or another listed institution.</t>
        </is>
      </c>
      <c r="D45" s="17" t="inlineStr">
        <is>
          <t>PROV-M003-010: Land Development Ordinance s.19 (6)(b) and (7)</t>
        </is>
      </c>
      <c r="E45" s="17" t="inlineStr">
        <is>
          <t>[verified, support direct]</t>
        </is>
      </c>
      <c r="F45" s="21" t="n"/>
      <c r="G45" s="21" t="n"/>
      <c r="H45" s="21" t="n"/>
      <c r="I45" s="21" t="n"/>
      <c r="J45" s="21" t="n"/>
      <c r="K45" s="17">
        <f>IF(OR(A45="",B45=""),"",IF(AND(F45&lt;&gt;"",H45&lt;&gt;"",J45&lt;&gt;""),"Complete","Pending"))</f>
        <v/>
      </c>
    </row>
    <row r="46">
      <c r="A46" s="19" t="inlineStr">
        <is>
          <t>M003-Q02</t>
        </is>
      </c>
      <c r="B46" s="19" t="inlineStr">
        <is>
          <t>CL-M003-Q02-005</t>
        </is>
      </c>
      <c r="C46" s="17" t="inlineStr">
        <is>
          <t>[rule] The owner of a holding may not mortgage it to any person other than a licensed commercial bank or one of the other listed institutions.</t>
        </is>
      </c>
      <c r="D46" s="17" t="inlineStr">
        <is>
          <t>PROV-M003-011: Land Development Ordinance s.43 (b)
PROV-M003-901: Land Development Ordinance s.2 definition of "owner"</t>
        </is>
      </c>
      <c r="E46" s="17" t="inlineStr">
        <is>
          <t>[verified, support direct]</t>
        </is>
      </c>
      <c r="F46" s="21" t="n"/>
      <c r="G46" s="21" t="n"/>
      <c r="H46" s="21" t="n"/>
      <c r="I46" s="21" t="n"/>
      <c r="J46" s="21" t="n"/>
      <c r="K46" s="17">
        <f>IF(OR(A46="",B46=""),"",IF(AND(F46&lt;&gt;"",H46&lt;&gt;"",J46&lt;&gt;""),"Complete","Pending"))</f>
        <v/>
      </c>
    </row>
    <row r="47">
      <c r="A47" s="19" t="inlineStr">
        <is>
          <t>M003-Q02</t>
        </is>
      </c>
      <c r="B47" s="19" t="inlineStr">
        <is>
          <t>CL-M003-Q02-006</t>
        </is>
      </c>
      <c r="C47" s="17" t="inlineStr">
        <is>
          <t>[rule] 'Licensed commercial bank' bears the meaning given to it by the banking legislation referred to in the Ordinance.</t>
        </is>
      </c>
      <c r="D47" s="17" t="inlineStr">
        <is>
          <t>PROV-M003-013: Land Development Ordinance s.2 definition of "licensed commercial bank"</t>
        </is>
      </c>
      <c r="E47" s="17" t="inlineStr">
        <is>
          <t>[verified, support direct]</t>
        </is>
      </c>
      <c r="F47" s="21" t="n"/>
      <c r="G47" s="21" t="n"/>
      <c r="H47" s="21" t="n"/>
      <c r="I47" s="21" t="n"/>
      <c r="J47" s="21" t="n"/>
      <c r="K47" s="17">
        <f>IF(OR(A47="",B47=""),"",IF(AND(F47&lt;&gt;"",H47&lt;&gt;"",J47&lt;&gt;""),"Complete","Pending"))</f>
        <v/>
      </c>
    </row>
    <row r="48">
      <c r="A48" s="19" t="inlineStr">
        <is>
          <t>M003-Q02</t>
        </is>
      </c>
      <c r="B48" s="19" t="inlineStr">
        <is>
          <t>CL-M003-Q02-007</t>
        </is>
      </c>
      <c r="C48" s="17" t="inlineStr">
        <is>
          <t>[rule] A permit-holder, by contrast, may effect no disposition except a mortgage to a registered society of which he is a member, and then only with the written consent of the Government Agent.</t>
        </is>
      </c>
      <c r="D48" s="17" t="inlineStr">
        <is>
          <t>PROV-M003-015: Land Development Ordinance s.46 (1) and (2)</t>
        </is>
      </c>
      <c r="E48" s="17" t="inlineStr">
        <is>
          <t>[verified, support direct]</t>
        </is>
      </c>
      <c r="F48" s="21" t="n"/>
      <c r="G48" s="21" t="n"/>
      <c r="H48" s="21" t="n"/>
      <c r="I48" s="21" t="n"/>
      <c r="J48" s="21" t="n"/>
      <c r="K48" s="17">
        <f>IF(OR(A48="",B48=""),"",IF(AND(F48&lt;&gt;"",H48&lt;&gt;"",J48&lt;&gt;""),"Complete","Pending"))</f>
        <v/>
      </c>
    </row>
    <row r="49">
      <c r="A49" s="19" t="inlineStr">
        <is>
          <t>M003-Q02</t>
        </is>
      </c>
      <c r="B49" s="19" t="inlineStr">
        <is>
          <t>CL-M003-Q02-008</t>
        </is>
      </c>
      <c r="C49" s="17" t="inlineStr">
        <is>
          <t>[rule] The general bar on seizure and sale of alienated land does not prevent a licensed commercial bank enforcing a mortgage over land alienated on a grant.</t>
        </is>
      </c>
      <c r="D49" s="17" t="inlineStr">
        <is>
          <t>PROV-M003-016: Land Development Ordinance s.41A</t>
        </is>
      </c>
      <c r="E49" s="17" t="inlineStr">
        <is>
          <t>[verified, support direct]</t>
        </is>
      </c>
      <c r="F49" s="21" t="n"/>
      <c r="G49" s="21" t="n"/>
      <c r="H49" s="21" t="n"/>
      <c r="I49" s="21" t="n"/>
      <c r="J49" s="21" t="n"/>
      <c r="K49" s="17">
        <f>IF(OR(A49="",B49=""),"",IF(AND(F49&lt;&gt;"",H49&lt;&gt;"",J49&lt;&gt;""),"Complete","Pending"))</f>
        <v/>
      </c>
    </row>
    <row r="50">
      <c r="A50" s="19" t="inlineStr">
        <is>
          <t>M003-Q02</t>
        </is>
      </c>
      <c r="B50" s="19" t="inlineStr">
        <is>
          <t>CL-M003-Q02-009</t>
        </is>
      </c>
      <c r="C50" s="17" t="inlineStr">
        <is>
          <t>[application] Herath holds the land under a registered grant issued after he paid the purchase amount in full, so the land is a holding and he is its owner rather than a permit-holder.</t>
        </is>
      </c>
      <c r="D50" s="17" t="inlineStr">
        <is>
          <t>PROV-M003-012: Land Development Ordinance s.2 definition of "holding"
PROV-M003-901: Land Development Ordinance s.2 definition of "owner"
Facts: FACT-M003-Q02-001</t>
        </is>
      </c>
      <c r="E50" s="17" t="inlineStr">
        <is>
          <t>[verified, support direct]</t>
        </is>
      </c>
      <c r="F50" s="21" t="n"/>
      <c r="G50" s="21" t="n"/>
      <c r="H50" s="21" t="n"/>
      <c r="I50" s="21" t="n"/>
      <c r="J50" s="21" t="n"/>
      <c r="K50" s="17">
        <f>IF(OR(A50="",B50=""),"",IF(AND(F50&lt;&gt;"",H50&lt;&gt;"",J50&lt;&gt;""),"Complete","Pending"))</f>
        <v/>
      </c>
    </row>
    <row r="51">
      <c r="A51" s="19" t="inlineStr">
        <is>
          <t>M003-Q02</t>
        </is>
      </c>
      <c r="B51" s="19" t="inlineStr">
        <is>
          <t>CL-M003-Q02-010</t>
        </is>
      </c>
      <c r="C51" s="17" t="inlineStr">
        <is>
          <t>[application] The proposed mortgage is a disposition of the holding, so the approval condition in the grant is engaged on its face.</t>
        </is>
      </c>
      <c r="D51" s="17" t="inlineStr">
        <is>
          <t>PROV-M003-010: Land Development Ordinance s.19 (6)(b) and (7)
PROV-M003-014: Land Development Ordinance s.2 definition of "disposition"
Facts: BG-1</t>
        </is>
      </c>
      <c r="E51" s="17" t="inlineStr">
        <is>
          <t>[verified, support combined]</t>
        </is>
      </c>
      <c r="F51" s="21" t="n"/>
      <c r="G51" s="21" t="n"/>
      <c r="H51" s="21" t="n"/>
      <c r="I51" s="21" t="n"/>
      <c r="J51" s="21" t="n"/>
      <c r="K51" s="17">
        <f>IF(OR(A51="",B51=""),"",IF(AND(F51&lt;&gt;"",H51&lt;&gt;"",J51&lt;&gt;""),"Complete","Pending"))</f>
        <v/>
      </c>
    </row>
    <row r="52">
      <c r="A52" s="19" t="inlineStr">
        <is>
          <t>M003-Q02</t>
        </is>
      </c>
      <c r="B52" s="19" t="inlineStr">
        <is>
          <t>CL-M003-Q02-011</t>
        </is>
      </c>
      <c r="C52" s="17" t="inlineStr">
        <is>
          <t>[application] The intended mortgagee is a licensed commercial bank, so it is a permissible mortgagee and falls within the class that triggers the exemption.</t>
        </is>
      </c>
      <c r="D52" s="17" t="inlineStr">
        <is>
          <t>PROV-M003-011: Land Development Ordinance s.43 (b)
PROV-M003-013: Land Development Ordinance s.2 definition of "licensed commercial bank"
Facts: FACT-M003-Q02-002</t>
        </is>
      </c>
      <c r="E52" s="17" t="inlineStr">
        <is>
          <t>[verified, support combined]</t>
        </is>
      </c>
      <c r="F52" s="21" t="n"/>
      <c r="G52" s="21" t="n"/>
      <c r="H52" s="21" t="n"/>
      <c r="I52" s="21" t="n"/>
      <c r="J52" s="21" t="n"/>
      <c r="K52" s="17">
        <f>IF(OR(A52="",B52=""),"",IF(AND(F52&lt;&gt;"",H52&lt;&gt;"",J52&lt;&gt;""),"Complete","Pending"))</f>
        <v/>
      </c>
    </row>
    <row r="53">
      <c r="A53" s="19" t="inlineStr">
        <is>
          <t>M003-Q02</t>
        </is>
      </c>
      <c r="B53" s="19" t="inlineStr">
        <is>
          <t>CL-M003-Q02-012</t>
        </is>
      </c>
      <c r="C53" s="17" t="inlineStr">
        <is>
          <t>[application] Because the whole holding and not a divided portion or undivided share is being mortgaged, the separate subdivision condition in the grant is not offended.</t>
        </is>
      </c>
      <c r="D53" s="17" t="inlineStr">
        <is>
          <t>PROV-M003-010: Land Development Ordinance s.19 (6)(b) and (7)
Facts: FACT-M003-Q02-003</t>
        </is>
      </c>
      <c r="E53" s="17" t="inlineStr">
        <is>
          <t>[verified, support combined]</t>
        </is>
      </c>
      <c r="F53" s="21" t="n"/>
      <c r="G53" s="21" t="n"/>
      <c r="H53" s="21" t="n"/>
      <c r="I53" s="21" t="n"/>
      <c r="J53" s="21" t="n"/>
      <c r="K53" s="17">
        <f>IF(OR(A53="",B53=""),"",IF(AND(F53&lt;&gt;"",H53&lt;&gt;"",J53&lt;&gt;""),"Complete","Pending"))</f>
        <v/>
      </c>
    </row>
    <row r="54">
      <c r="A54" s="19" t="inlineStr">
        <is>
          <t>M003-Q02</t>
        </is>
      </c>
      <c r="B54" s="19" t="inlineStr">
        <is>
          <t>CL-M003-Q02-013</t>
        </is>
      </c>
      <c r="C54" s="17" t="inlineStr">
        <is>
          <t>[conclusion] Herath does not require the approval of the Divisional Secretary to mortgage the land to the bank.</t>
        </is>
      </c>
      <c r="D54" s="17" t="inlineStr">
        <is>
          <t>PROV-M003-010: Land Development Ordinance s.19 (6)(b) and (7)
PROV-M003-011: Land Development Ordinance s.43 (b)
PROV-M003-013: Land Development Ordinance s.2 definition of "licensed commercial bank"
Facts: FACT-M003-Q02-001, FACT-M003-Q02-002</t>
        </is>
      </c>
      <c r="E54" s="17" t="inlineStr">
        <is>
          <t>[verified, support combined]</t>
        </is>
      </c>
      <c r="F54" s="21" t="n"/>
      <c r="G54" s="21" t="n"/>
      <c r="H54" s="21" t="n"/>
      <c r="I54" s="21" t="n"/>
      <c r="J54" s="21" t="n"/>
      <c r="K54" s="17">
        <f>IF(OR(A54="",B54=""),"",IF(AND(F54&lt;&gt;"",H54&lt;&gt;"",J54&lt;&gt;""),"Complete","Pending"))</f>
        <v/>
      </c>
    </row>
    <row r="55">
      <c r="A55" s="19" t="inlineStr">
        <is>
          <t>M003-Q02</t>
        </is>
      </c>
      <c r="B55" s="19" t="inlineStr">
        <is>
          <t>CL-M003-Q02-014</t>
        </is>
      </c>
      <c r="C55" s="17" t="inlineStr">
        <is>
          <t>[conclusion] The exemption removes only the approval condition, so the remaining conditions of the grant continue to bind Herath.</t>
        </is>
      </c>
      <c r="D55" s="17" t="inlineStr">
        <is>
          <t>PROV-M003-010: Land Development Ordinance s.19 (6)(b) and (7)
Facts: FACT-M003-Q02-003</t>
        </is>
      </c>
      <c r="E55" s="17" t="inlineStr">
        <is>
          <t>[verified, support inferential]</t>
        </is>
      </c>
      <c r="F55" s="21" t="n"/>
      <c r="G55" s="21" t="n"/>
      <c r="H55" s="21" t="n"/>
      <c r="I55" s="21" t="n"/>
      <c r="J55" s="21" t="n"/>
      <c r="K55" s="17">
        <f>IF(OR(A55="",B55=""),"",IF(AND(F55&lt;&gt;"",H55&lt;&gt;"",J55&lt;&gt;""),"Complete","Pending"))</f>
        <v/>
      </c>
    </row>
    <row r="56">
      <c r="A56" s="19" t="inlineStr">
        <is>
          <t>M005-Q01</t>
        </is>
      </c>
      <c r="B56" s="19" t="inlineStr">
        <is>
          <t>CL-M005-Q01-001</t>
        </is>
      </c>
      <c r="C56" s="17" t="inlineStr">
        <is>
          <t>[rule] Notaries Ordinance s.31 casts on every notary a duty strictly to observe and act in conformity with the rules set out in that section.</t>
        </is>
      </c>
      <c r="D56" s="17" t="inlineStr">
        <is>
          <t>PROV-M005-001: Notaries Ordinance s.31(opening words (chapeau))</t>
        </is>
      </c>
      <c r="E56" s="17" t="inlineStr">
        <is>
          <t>[verified, support direct]</t>
        </is>
      </c>
      <c r="F56" s="21" t="n"/>
      <c r="G56" s="21" t="n"/>
      <c r="H56" s="21" t="n"/>
      <c r="I56" s="21" t="n"/>
      <c r="J56" s="21" t="n"/>
      <c r="K56" s="17">
        <f>IF(OR(A56="",B56=""),"",IF(AND(F56&lt;&gt;"",H56&lt;&gt;"",J56&lt;&gt;""),"Complete","Pending"))</f>
        <v/>
      </c>
    </row>
    <row r="57">
      <c r="A57" s="19" t="inlineStr">
        <is>
          <t>M005-Q01</t>
        </is>
      </c>
      <c r="B57" s="19" t="inlineStr">
        <is>
          <t>CL-M005-Q01-002</t>
        </is>
      </c>
      <c r="C57" s="17" t="inlineStr">
        <is>
          <t>[rule] Under Notaries Ordinance s.31 rule (17)(a), before any deed or instrument other than a will or codicil affecting any interest in land or other immovable property is drawn by him, the notary must search or cause to be searched the registers in the land registry to ascertain the state of the title and whether any prior deed affecting an interest in that land has been registered.</t>
        </is>
      </c>
      <c r="D57" s="17" t="inlineStr">
        <is>
          <t>PROV-M005-002: Notaries Ordinance s.31 rule (17)(a)</t>
        </is>
      </c>
      <c r="E57" s="17" t="inlineStr">
        <is>
          <t>[verified, support direct]</t>
        </is>
      </c>
      <c r="F57" s="21" t="n"/>
      <c r="G57" s="21" t="n"/>
      <c r="H57" s="21" t="n"/>
      <c r="I57" s="21" t="n"/>
      <c r="J57" s="21" t="n"/>
      <c r="K57" s="17">
        <f>IF(OR(A57="",B57=""),"",IF(AND(F57&lt;&gt;"",H57&lt;&gt;"",J57&lt;&gt;""),"Complete","Pending"))</f>
        <v/>
      </c>
    </row>
    <row r="58">
      <c r="A58" s="19" t="inlineStr">
        <is>
          <t>M005-Q01</t>
        </is>
      </c>
      <c r="B58" s="19" t="inlineStr">
        <is>
          <t>CL-M005-Q01-003</t>
        </is>
      </c>
      <c r="C58" s="17" t="inlineStr">
        <is>
          <t>[rule] Notaries Ordinance s.31 rule (17)(b)(i) requires the notary to obtain from the Registrar of the relevant Land Registry a certified extract of the folio containing the last entry showing the ownership of, and the registered encumbrances on, the land.</t>
        </is>
      </c>
      <c r="D58" s="17" t="inlineStr">
        <is>
          <t>PROV-M005-004: Notaries Ordinance s.31 rule (17)(b)(i)</t>
        </is>
      </c>
      <c r="E58" s="17" t="inlineStr">
        <is>
          <t>[verified, support direct]</t>
        </is>
      </c>
      <c r="F58" s="21" t="n"/>
      <c r="G58" s="21" t="n"/>
      <c r="H58" s="21" t="n"/>
      <c r="I58" s="21" t="n"/>
      <c r="J58" s="21" t="n"/>
      <c r="K58" s="17">
        <f>IF(OR(A58="",B58=""),"",IF(AND(F58&lt;&gt;"",H58&lt;&gt;"",J58&lt;&gt;""),"Complete","Pending"))</f>
        <v/>
      </c>
    </row>
    <row r="59">
      <c r="A59" s="19" t="inlineStr">
        <is>
          <t>M005-Q01</t>
        </is>
      </c>
      <c r="B59" s="19" t="inlineStr">
        <is>
          <t>CL-M005-Q01-004</t>
        </is>
      </c>
      <c r="C59" s="17" t="inlineStr">
        <is>
          <t>[rule] The proviso to Notaries Ordinance s.31 rule (17) makes the search non-compulsory only where the parties to the transaction authorise the notary in writing to dispense with it, and even then the notary must write at the head of the deed the reference to the previous registration, if any, before the deed is tendered for registration.</t>
        </is>
      </c>
      <c r="D59" s="17" t="inlineStr">
        <is>
          <t>PROV-M005-003: Notaries Ordinance s.31(proviso to rule (17))</t>
        </is>
      </c>
      <c r="E59" s="17" t="inlineStr">
        <is>
          <t>[verified, support direct]</t>
        </is>
      </c>
      <c r="F59" s="21" t="n"/>
      <c r="G59" s="21" t="n"/>
      <c r="H59" s="21" t="n"/>
      <c r="I59" s="21" t="n"/>
      <c r="J59" s="21" t="n"/>
      <c r="K59" s="17">
        <f>IF(OR(A59="",B59=""),"",IF(AND(F59&lt;&gt;"",H59&lt;&gt;"",J59&lt;&gt;""),"Complete","Pending"))</f>
        <v/>
      </c>
    </row>
    <row r="60">
      <c r="A60" s="19" t="inlineStr">
        <is>
          <t>M005-Q01</t>
        </is>
      </c>
      <c r="B60" s="19" t="inlineStr">
        <is>
          <t>CL-M005-Q01-005</t>
        </is>
      </c>
      <c r="C60" s="17" t="inlineStr">
        <is>
          <t>[rule] Notaries Ordinance s.31 rule (33) separately requires a notary before whom a deed transferring immovable property is executed to use his best endeavours to obtain the title deed of the property.</t>
        </is>
      </c>
      <c r="D60" s="17" t="inlineStr">
        <is>
          <t>PROV-M005-005: Notaries Ordinance s.31 rule (33)</t>
        </is>
      </c>
      <c r="E60" s="17" t="inlineStr">
        <is>
          <t>[verified, support direct]</t>
        </is>
      </c>
      <c r="F60" s="21" t="n"/>
      <c r="G60" s="21" t="n"/>
      <c r="H60" s="21" t="n"/>
      <c r="I60" s="21" t="n"/>
      <c r="J60" s="21" t="n"/>
      <c r="K60" s="17">
        <f>IF(OR(A60="",B60=""),"",IF(AND(F60&lt;&gt;"",H60&lt;&gt;"",J60&lt;&gt;""),"Complete","Pending"))</f>
        <v/>
      </c>
    </row>
    <row r="61">
      <c r="A61" s="19" t="inlineStr">
        <is>
          <t>M005-Q01</t>
        </is>
      </c>
      <c r="B61" s="19" t="inlineStr">
        <is>
          <t>CL-M005-Q01-006</t>
        </is>
      </c>
      <c r="C61" s="17" t="inlineStr">
        <is>
          <t>[rule] A notary who disregards or neglects to observe rule (17) is guilty of an offence and liable on summary trial before a Magistrate to a fine not exceeding fifty thousand rupees, in addition to any civil liability, because rule (17) is not named in Notaries Ordinance s.34(1)(a) or (b) and so falls within the residual paragraph s.34(1)(c).</t>
        </is>
      </c>
      <c r="D61" s="17" t="inlineStr">
        <is>
          <t>PROV-M005-006: Notaries Ordinance s.34 (1)(c)</t>
        </is>
      </c>
      <c r="E61" s="17" t="inlineStr">
        <is>
          <t>[verified, support combined]</t>
        </is>
      </c>
      <c r="F61" s="21" t="n"/>
      <c r="G61" s="21" t="n"/>
      <c r="H61" s="21" t="n"/>
      <c r="I61" s="21" t="n"/>
      <c r="J61" s="21" t="n"/>
      <c r="K61" s="17">
        <f>IF(OR(A61="",B61=""),"",IF(AND(F61&lt;&gt;"",H61&lt;&gt;"",J61&lt;&gt;""),"Complete","Pending"))</f>
        <v/>
      </c>
    </row>
    <row r="62">
      <c r="A62" s="19" t="inlineStr">
        <is>
          <t>M005-Q01</t>
        </is>
      </c>
      <c r="B62" s="19" t="inlineStr">
        <is>
          <t>CL-M005-Q01-007</t>
        </is>
      </c>
      <c r="C62" s="17" t="inlineStr">
        <is>
          <t>[rule] Notaries Ordinance s.33 protects an instrument from being held invalid only where the notary's non-compliance with a s.31 rule concerns a matter of form, and it does not by its terms relieve the notary of liability for the breach.</t>
        </is>
      </c>
      <c r="D62" s="17" t="inlineStr">
        <is>
          <t>PROV-M005-007: Notaries Ordinance s.33</t>
        </is>
      </c>
      <c r="E62" s="17" t="inlineStr">
        <is>
          <t>[verified, support inferential]</t>
        </is>
      </c>
      <c r="F62" s="21" t="n"/>
      <c r="G62" s="21" t="n"/>
      <c r="H62" s="21" t="n"/>
      <c r="I62" s="21" t="n"/>
      <c r="J62" s="21" t="n"/>
      <c r="K62" s="17">
        <f>IF(OR(A62="",B62=""),"",IF(AND(F62&lt;&gt;"",H62&lt;&gt;"",J62&lt;&gt;""),"Complete","Pending"))</f>
        <v/>
      </c>
    </row>
    <row r="63">
      <c r="A63" s="19" t="inlineStr">
        <is>
          <t>M005-Q01</t>
        </is>
      </c>
      <c r="B63" s="19" t="inlineStr">
        <is>
          <t>CL-M005-Q01-008</t>
        </is>
      </c>
      <c r="C63" s="17" t="inlineStr">
        <is>
          <t>[application] The instrument Saman is asked to execute is a deed of transfer of an allotment of land at Talangama North, so it is a deed affecting an interest in land and is not a will or codicil, and rule (17)(a) applies to it.</t>
        </is>
      </c>
      <c r="D63" s="17" t="inlineStr">
        <is>
          <t>PROV-M005-002: Notaries Ordinance s.31 rule (17)(a)
Facts: FACT-M005-Q01-001, BG-3</t>
        </is>
      </c>
      <c r="E63" s="17" t="inlineStr">
        <is>
          <t>[verified, support combined]</t>
        </is>
      </c>
      <c r="F63" s="21" t="n"/>
      <c r="G63" s="21" t="n"/>
      <c r="H63" s="21" t="n"/>
      <c r="I63" s="21" t="n"/>
      <c r="J63" s="21" t="n"/>
      <c r="K63" s="17">
        <f>IF(OR(A63="",B63=""),"",IF(AND(F63&lt;&gt;"",H63&lt;&gt;"",J63&lt;&gt;""),"Complete","Pending"))</f>
        <v/>
      </c>
    </row>
    <row r="64">
      <c r="A64" s="19" t="inlineStr">
        <is>
          <t>M005-Q01</t>
        </is>
      </c>
      <c r="B64" s="19" t="inlineStr">
        <is>
          <t>CL-M005-Q01-009</t>
        </is>
      </c>
      <c r="C64" s="17" t="inlineStr">
        <is>
          <t>[application] Neither the vendor nor the purchaser has authorised Saman in writing to dispense with the search, so the proviso to rule (17) is not available to him.</t>
        </is>
      </c>
      <c r="D64" s="17" t="inlineStr">
        <is>
          <t>PROV-M005-003: Notaries Ordinance s.31(proviso to rule (17))
Facts: FACT-M005-Q01-004, FACT-M005-Q01-002</t>
        </is>
      </c>
      <c r="E64" s="17" t="inlineStr">
        <is>
          <t>[verified, support direct]</t>
        </is>
      </c>
      <c r="F64" s="21" t="n"/>
      <c r="G64" s="21" t="n"/>
      <c r="H64" s="21" t="n"/>
      <c r="I64" s="21" t="n"/>
      <c r="J64" s="21" t="n"/>
      <c r="K64" s="17">
        <f>IF(OR(A64="",B64=""),"",IF(AND(F64&lt;&gt;"",H64&lt;&gt;"",J64&lt;&gt;""),"Complete","Pending"))</f>
        <v/>
      </c>
    </row>
    <row r="65">
      <c r="A65" s="19" t="inlineStr">
        <is>
          <t>M005-Q01</t>
        </is>
      </c>
      <c r="B65" s="19" t="inlineStr">
        <is>
          <t>CL-M005-Q01-010</t>
        </is>
      </c>
      <c r="C65" s="17" t="inlineStr">
        <is>
          <t>[application] A photocopy of the vendor's 2014 deed supplied by the employer is not a search of the registers in the land registry and is not the certified folio extract that rule (17)(b)(i) requires, so acting on it alone would leave rule (17) unperformed.</t>
        </is>
      </c>
      <c r="D65" s="17" t="inlineStr">
        <is>
          <t>PROV-M005-002: Notaries Ordinance s.31 rule (17)(a)
PROV-M005-004: Notaries Ordinance s.31 rule (17)(b)(i)
Facts: FACT-M005-Q01-003</t>
        </is>
      </c>
      <c r="E65" s="17" t="inlineStr">
        <is>
          <t>[verified, support combined]</t>
        </is>
      </c>
      <c r="F65" s="21" t="n"/>
      <c r="G65" s="21" t="n"/>
      <c r="H65" s="21" t="n"/>
      <c r="I65" s="21" t="n"/>
      <c r="J65" s="21" t="n"/>
      <c r="K65" s="17">
        <f>IF(OR(A65="",B65=""),"",IF(AND(F65&lt;&gt;"",H65&lt;&gt;"",J65&lt;&gt;""),"Complete","Pending"))</f>
        <v/>
      </c>
    </row>
    <row r="66">
      <c r="A66" s="19" t="inlineStr">
        <is>
          <t>M005-Q01</t>
        </is>
      </c>
      <c r="B66" s="19" t="inlineStr">
        <is>
          <t>CL-M005-Q01-011</t>
        </is>
      </c>
      <c r="C66" s="17" t="inlineStr">
        <is>
          <t>[application] The duty under s.31 is imposed on Saman as notary, so his employment as a legal officer of the real estate company and the urgency of his employer's instruction do not qualify or excuse it; the Ordinance provides no exception for urgency or for instructions from an employer, and the employer is not a party to the transaction whose written authority the proviso to rule (17) contemplates.</t>
        </is>
      </c>
      <c r="D66" s="17" t="inlineStr">
        <is>
          <t>PROV-M005-001: Notaries Ordinance s.31(opening words (chapeau))
PROV-M005-002: Notaries Ordinance s.31 rule (17)(a)
PROV-M005-003: Notaries Ordinance s.31(proviso to rule (17))
Facts: BG-2, BG-3, FACT-M005-Q01-005</t>
        </is>
      </c>
      <c r="E66" s="17" t="inlineStr">
        <is>
          <t>[verified, support inferential]</t>
        </is>
      </c>
      <c r="F66" s="21" t="n"/>
      <c r="G66" s="21" t="n"/>
      <c r="H66" s="21" t="n"/>
      <c r="I66" s="21" t="n"/>
      <c r="J66" s="21" t="n"/>
      <c r="K66" s="17">
        <f>IF(OR(A66="",B66=""),"",IF(AND(F66&lt;&gt;"",H66&lt;&gt;"",J66&lt;&gt;""),"Complete","Pending"))</f>
        <v/>
      </c>
    </row>
    <row r="67">
      <c r="A67" s="19" t="inlineStr">
        <is>
          <t>M005-Q01</t>
        </is>
      </c>
      <c r="B67" s="19" t="inlineStr">
        <is>
          <t>CL-M005-Q01-012</t>
        </is>
      </c>
      <c r="C67" s="17" t="inlineStr">
        <is>
          <t>[conclusion] Saman cannot lawfully execute the Deed of Transfer without first searching or causing to be searched the land registry registers and obtaining the certified folio extract, because the only statutory dispensation, written authority from the parties, is absent on these facts.</t>
        </is>
      </c>
      <c r="D67" s="17" t="inlineStr">
        <is>
          <t>PROV-M005-002: Notaries Ordinance s.31 rule (17)(a)
PROV-M005-003: Notaries Ordinance s.31(proviso to rule (17))
PROV-M005-004: Notaries Ordinance s.31 rule (17)(b)(i)
Facts: FACT-M005-Q01-001, FACT-M005-Q01-003, FACT-M005-Q01-004</t>
        </is>
      </c>
      <c r="E67" s="17" t="inlineStr">
        <is>
          <t>[verified, support combined]</t>
        </is>
      </c>
      <c r="F67" s="21" t="n"/>
      <c r="G67" s="21" t="n"/>
      <c r="H67" s="21" t="n"/>
      <c r="I67" s="21" t="n"/>
      <c r="J67" s="21" t="n"/>
      <c r="K67" s="17">
        <f>IF(OR(A67="",B67=""),"",IF(AND(F67&lt;&gt;"",H67&lt;&gt;"",J67&lt;&gt;""),"Complete","Pending"))</f>
        <v/>
      </c>
    </row>
    <row r="68">
      <c r="A68" s="19" t="inlineStr">
        <is>
          <t>M005-Q01</t>
        </is>
      </c>
      <c r="B68" s="19" t="inlineStr">
        <is>
          <t>CL-M005-Q01-013</t>
        </is>
      </c>
      <c r="C68" s="17" t="inlineStr">
        <is>
          <t>[conclusion] If Saman proceeds without the search he commits an offence under s.34(1)(c) punishable with a fine not exceeding fifty thousand rupees in addition to any civil liability, and s.33 would not assist him because it addresses only the validity of the instrument and only in matters of form.</t>
        </is>
      </c>
      <c r="D68" s="17" t="inlineStr">
        <is>
          <t>PROV-M005-006: Notaries Ordinance s.34 (1)(c)
PROV-M005-007: Notaries Ordinance s.33
Facts: FACT-M005-Q01-003, FACT-M005-Q01-004</t>
        </is>
      </c>
      <c r="E68" s="17" t="inlineStr">
        <is>
          <t>[verified, support combined]</t>
        </is>
      </c>
      <c r="F68" s="21" t="n"/>
      <c r="G68" s="21" t="n"/>
      <c r="H68" s="21" t="n"/>
      <c r="I68" s="21" t="n"/>
      <c r="J68" s="21" t="n"/>
      <c r="K68" s="17">
        <f>IF(OR(A68="",B68=""),"",IF(AND(F68&lt;&gt;"",H68&lt;&gt;"",J68&lt;&gt;""),"Complete","Pending"))</f>
        <v/>
      </c>
    </row>
    <row r="69">
      <c r="A69" s="19" t="inlineStr">
        <is>
          <t>M005-Q01</t>
        </is>
      </c>
      <c r="B69" s="19" t="inlineStr">
        <is>
          <t>CL-M005-Q01-014</t>
        </is>
      </c>
      <c r="C69" s="17" t="inlineStr">
        <is>
          <t>[conclusion] If instead both Nimal Perera and Kamala Silva were to authorise Saman in writing to dispense with the search, the search would cease to be compulsory, and Saman would then have to write the reference to the previous registration, if any, at the head of the deed before tendering it for registration.</t>
        </is>
      </c>
      <c r="D69" s="17" t="inlineStr">
        <is>
          <t>PROV-M005-003: Notaries Ordinance s.31(proviso to rule (17))
Facts: FACT-M005-Q01-004</t>
        </is>
      </c>
      <c r="E69" s="17" t="inlineStr">
        <is>
          <t>[disputed, support direct]</t>
        </is>
      </c>
      <c r="F69" s="21" t="n"/>
      <c r="G69" s="21" t="n"/>
      <c r="H69" s="21" t="n"/>
      <c r="I69" s="21" t="n"/>
      <c r="J69" s="21" t="n"/>
      <c r="K69" s="17">
        <f>IF(OR(A69="",B69=""),"",IF(AND(F69&lt;&gt;"",H69&lt;&gt;"",J69&lt;&gt;""),"Complete","Pending"))</f>
        <v/>
      </c>
    </row>
    <row r="70">
      <c r="A70" s="19" t="inlineStr">
        <is>
          <t>M006-Q01</t>
        </is>
      </c>
      <c r="B70" s="19" t="inlineStr">
        <is>
          <t>CL-M006-Q01-001</t>
        </is>
      </c>
      <c r="C70" s="17" t="inlineStr">
        <is>
          <t>[rule] A notary's warrant authorises him to practise only in the language in which he passed the conveyancing examination and within the judicial zone in which he resides.</t>
        </is>
      </c>
      <c r="D70" s="17" t="inlineStr">
        <is>
          <t>PROV-M006-001: Notaries Ordinance s.3(3(1))</t>
        </is>
      </c>
      <c r="E70" s="17" t="inlineStr">
        <is>
          <t>[verified, support direct]</t>
        </is>
      </c>
      <c r="F70" s="21" t="n"/>
      <c r="G70" s="21" t="n"/>
      <c r="H70" s="21" t="n"/>
      <c r="I70" s="21" t="n"/>
      <c r="J70" s="21" t="n"/>
      <c r="K70" s="17">
        <f>IF(OR(A70="",B70=""),"",IF(AND(F70&lt;&gt;"",H70&lt;&gt;"",J70&lt;&gt;""),"Complete","Pending"))</f>
        <v/>
      </c>
    </row>
    <row r="71">
      <c r="A71" s="19" t="inlineStr">
        <is>
          <t>M006-Q01</t>
        </is>
      </c>
      <c r="B71" s="19" t="inlineStr">
        <is>
          <t>CL-M006-Q01-002</t>
        </is>
      </c>
      <c r="C71" s="17" t="inlineStr">
        <is>
          <t>[rule] A notary must not authenticate or attest a deed in any area other than that in which he is authorised to practise, nor in a language, or on a deed drawn in a language, other than that in which he is authorised to practise.</t>
        </is>
      </c>
      <c r="D71" s="17" t="inlineStr">
        <is>
          <t>PROV-M006-002: Notaries Ordinance s.31(31(22))</t>
        </is>
      </c>
      <c r="E71" s="17" t="inlineStr">
        <is>
          <t>[verified, support direct]</t>
        </is>
      </c>
      <c r="F71" s="21" t="n"/>
      <c r="G71" s="21" t="n"/>
      <c r="H71" s="21" t="n"/>
      <c r="I71" s="21" t="n"/>
      <c r="J71" s="21" t="n"/>
      <c r="K71" s="17">
        <f>IF(OR(A71="",B71=""),"",IF(AND(F71&lt;&gt;"",H71&lt;&gt;"",J71&lt;&gt;""),"Complete","Pending"))</f>
        <v/>
      </c>
    </row>
    <row r="72">
      <c r="A72" s="19" t="inlineStr">
        <is>
          <t>M006-Q01</t>
        </is>
      </c>
      <c r="B72" s="19" t="inlineStr">
        <is>
          <t>CL-M006-Q01-003</t>
        </is>
      </c>
      <c r="C72" s="17" t="inlineStr">
        <is>
          <t>[rule] The territorial restriction attaches to the place where the notary attests and to the location of his office, not to the situation of the land affected by the deed.</t>
        </is>
      </c>
      <c r="D72" s="17" t="inlineStr">
        <is>
          <t>PROV-M006-002: Notaries Ordinance s.31(31(22))
PROV-M006-005: Notaries Ordinance s.9
PROV-M006-003: Notaries Ordinance s.31(31(29))</t>
        </is>
      </c>
      <c r="E72" s="17" t="inlineStr">
        <is>
          <t>[verified, support combined]</t>
        </is>
      </c>
      <c r="F72" s="21" t="n"/>
      <c r="G72" s="21" t="n"/>
      <c r="H72" s="21" t="n"/>
      <c r="I72" s="21" t="n"/>
      <c r="J72" s="21" t="n"/>
      <c r="K72" s="17">
        <f>IF(OR(A72="",B72=""),"",IF(AND(F72&lt;&gt;"",H72&lt;&gt;"",J72&lt;&gt;""),"Complete","Pending"))</f>
        <v/>
      </c>
    </row>
    <row r="73">
      <c r="A73" s="19" t="inlineStr">
        <is>
          <t>M006-Q01</t>
        </is>
      </c>
      <c r="B73" s="19" t="inlineStr">
        <is>
          <t>CL-M006-Q01-004</t>
        </is>
      </c>
      <c r="C73" s="17" t="inlineStr">
        <is>
          <t>[rule] The Ordinance contemplates a notary attesting a deed affecting land in a district other than the one in which he resides, and in that case requires him to deliver or transmit a certified copy of the deed, with a list in duplicate, to the Registrar of Lands of the district in which the land is situated on or before the fifteenth day of the following month.</t>
        </is>
      </c>
      <c r="D73" s="17" t="inlineStr">
        <is>
          <t>PROV-M006-003: Notaries Ordinance s.31(31(29))</t>
        </is>
      </c>
      <c r="E73" s="17" t="inlineStr">
        <is>
          <t>[verified, support direct]</t>
        </is>
      </c>
      <c r="F73" s="21" t="n"/>
      <c r="G73" s="21" t="n"/>
      <c r="H73" s="21" t="n"/>
      <c r="I73" s="21" t="n"/>
      <c r="J73" s="21" t="n"/>
      <c r="K73" s="17">
        <f>IF(OR(A73="",B73=""),"",IF(AND(F73&lt;&gt;"",H73&lt;&gt;"",J73&lt;&gt;""),"Complete","Pending"))</f>
        <v/>
      </c>
    </row>
    <row r="74">
      <c r="A74" s="19" t="inlineStr">
        <is>
          <t>M006-Q01</t>
        </is>
      </c>
      <c r="B74" s="19" t="inlineStr">
        <is>
          <t>CL-M006-Q01-005</t>
        </is>
      </c>
      <c r="C74" s="17" t="inlineStr">
        <is>
          <t>[rule] Where the deed has to be registered outside the jurisdiction in which the notary practises he has sixty days rather than thirty from attestation to submit it for registration, and the deed is registrable in the division in which the land is situated.</t>
        </is>
      </c>
      <c r="D74" s="17" t="inlineStr">
        <is>
          <t>PROV-M006-004: Notaries Ordinance s.31(31(30A))
PROV-M006-009: Registration of Documents Ordinance s.14(14(1))</t>
        </is>
      </c>
      <c r="E74" s="17" t="inlineStr">
        <is>
          <t>[verified, support combined]</t>
        </is>
      </c>
      <c r="F74" s="21" t="n"/>
      <c r="G74" s="21" t="n"/>
      <c r="H74" s="21" t="n"/>
      <c r="I74" s="21" t="n"/>
      <c r="J74" s="21" t="n"/>
      <c r="K74" s="17">
        <f>IF(OR(A74="",B74=""),"",IF(AND(F74&lt;&gt;"",H74&lt;&gt;"",J74&lt;&gt;""),"Complete","Pending"))</f>
        <v/>
      </c>
    </row>
    <row r="75">
      <c r="A75" s="19" t="inlineStr">
        <is>
          <t>M006-Q01</t>
        </is>
      </c>
      <c r="B75" s="19" t="inlineStr">
        <is>
          <t>CL-M006-Q01-006</t>
        </is>
      </c>
      <c r="C75" s="17" t="inlineStr">
        <is>
          <t>[rule] Attesting a deed outside the area in which the notary is authorised to practise is an offence punishable, on summary trial before a Magistrate, by a fine not exceeding fifty thousand rupees in addition to any civil liability.</t>
        </is>
      </c>
      <c r="D75" s="17" t="inlineStr">
        <is>
          <t>PROV-M006-006: Notaries Ordinance s.34(34(1)(c))
PROV-M006-002: Notaries Ordinance s.31(31(22))</t>
        </is>
      </c>
      <c r="E75" s="17" t="inlineStr">
        <is>
          <t>[verified, support combined]</t>
        </is>
      </c>
      <c r="F75" s="21" t="n"/>
      <c r="G75" s="21" t="n"/>
      <c r="H75" s="21" t="n"/>
      <c r="I75" s="21" t="n"/>
      <c r="J75" s="21" t="n"/>
      <c r="K75" s="17">
        <f>IF(OR(A75="",B75=""),"",IF(AND(F75&lt;&gt;"",H75&lt;&gt;"",J75&lt;&gt;""),"Complete","Pending"))</f>
        <v/>
      </c>
    </row>
    <row r="76">
      <c r="A76" s="19" t="inlineStr">
        <is>
          <t>M006-Q01</t>
        </is>
      </c>
      <c r="B76" s="19" t="inlineStr">
        <is>
          <t>CL-M006-Q01-007</t>
        </is>
      </c>
      <c r="C76" s="17" t="inlineStr">
        <is>
          <t>[rule] Being a legal officer of a company is not a disqualification from attesting; the disqualification is being a party to the deed, and a notary who is a legal officer must state the company's registered address on the front page of the deed.</t>
        </is>
      </c>
      <c r="D76" s="17" t="inlineStr">
        <is>
          <t>PROV-M006-010: Notaries Ordinance s.31(31(13))
PROV-M006-007: Notaries Ordinance s.31(31(17)(c))</t>
        </is>
      </c>
      <c r="E76" s="17" t="inlineStr">
        <is>
          <t>[verified, support combined]</t>
        </is>
      </c>
      <c r="F76" s="21" t="n"/>
      <c r="G76" s="21" t="n"/>
      <c r="H76" s="21" t="n"/>
      <c r="I76" s="21" t="n"/>
      <c r="J76" s="21" t="n"/>
      <c r="K76" s="17">
        <f>IF(OR(A76="",B76=""),"",IF(AND(F76&lt;&gt;"",H76&lt;&gt;"",J76&lt;&gt;""),"Complete","Pending"))</f>
        <v/>
      </c>
    </row>
    <row r="77">
      <c r="A77" s="19" t="inlineStr">
        <is>
          <t>M006-Q01</t>
        </is>
      </c>
      <c r="B77" s="19" t="inlineStr">
        <is>
          <t>CL-M006-Q01-008</t>
        </is>
      </c>
      <c r="C77" s="17" t="inlineStr">
        <is>
          <t>[application] Saman's authorised area is the Judicial Zone of Colombo and he proposes to have the deed signed and to attest it at his Hulftsdorp office in Colombo, which is inside that zone.</t>
        </is>
      </c>
      <c r="D77" s="17" t="inlineStr">
        <is>
          <t>PROV-M006-001: Notaries Ordinance s.3(3(1))
PROV-M006-002: Notaries Ordinance s.31(31(22))
PROV-M006-005: Notaries Ordinance s.9
Facts: BG-1, FACT-M006-Q01-003</t>
        </is>
      </c>
      <c r="E77" s="17" t="inlineStr">
        <is>
          <t>[verified, support combined]</t>
        </is>
      </c>
      <c r="F77" s="21" t="n"/>
      <c r="G77" s="21" t="n"/>
      <c r="H77" s="21" t="n"/>
      <c r="I77" s="21" t="n"/>
      <c r="J77" s="21" t="n"/>
      <c r="K77" s="17">
        <f>IF(OR(A77="",B77=""),"",IF(AND(F77&lt;&gt;"",H77&lt;&gt;"",J77&lt;&gt;""),"Complete","Pending"))</f>
        <v/>
      </c>
    </row>
    <row r="78">
      <c r="A78" s="19" t="inlineStr">
        <is>
          <t>M006-Q01</t>
        </is>
      </c>
      <c r="B78" s="19" t="inlineStr">
        <is>
          <t>CL-M006-Q01-009</t>
        </is>
      </c>
      <c r="C78" s="17" t="inlineStr">
        <is>
          <t>[application] The deed is drawn in Sinhala, the language in which Saman's warrant authorises him to practise, so the language limb of the restriction is also satisfied.</t>
        </is>
      </c>
      <c r="D78" s="17" t="inlineStr">
        <is>
          <t>PROV-M006-002: Notaries Ordinance s.31(31(22))
PROV-M006-001: Notaries Ordinance s.3(3(1))
Facts: FACT-M006-Q01-004</t>
        </is>
      </c>
      <c r="E78" s="17" t="inlineStr">
        <is>
          <t>[verified, support combined]</t>
        </is>
      </c>
      <c r="F78" s="21" t="n"/>
      <c r="G78" s="21" t="n"/>
      <c r="H78" s="21" t="n"/>
      <c r="I78" s="21" t="n"/>
      <c r="J78" s="21" t="n"/>
      <c r="K78" s="17">
        <f>IF(OR(A78="",B78=""),"",IF(AND(F78&lt;&gt;"",H78&lt;&gt;"",J78&lt;&gt;""),"Complete","Pending"))</f>
        <v/>
      </c>
    </row>
    <row r="79">
      <c r="A79" s="19" t="inlineStr">
        <is>
          <t>M006-Q01</t>
        </is>
      </c>
      <c r="B79" s="19" t="inlineStr">
        <is>
          <t>CL-M006-Q01-010</t>
        </is>
      </c>
      <c r="C79" s="17" t="inlineStr">
        <is>
          <t>[application] That the land lies at Malkaduwawa in the Kurunegala District does not take the attestation outside Saman's authorised area, because the restriction turns on where he attests and the Ordinance separately regulates deeds affecting land in another district.</t>
        </is>
      </c>
      <c r="D79" s="17" t="inlineStr">
        <is>
          <t>PROV-M006-002: Notaries Ordinance s.31(31(22))
PROV-M006-003: Notaries Ordinance s.31(31(29))
Facts: BG-2, FACT-M006-Q01-002</t>
        </is>
      </c>
      <c r="E79" s="17" t="inlineStr">
        <is>
          <t>[verified, support combined]</t>
        </is>
      </c>
      <c r="F79" s="21" t="n"/>
      <c r="G79" s="21" t="n"/>
      <c r="H79" s="21" t="n"/>
      <c r="I79" s="21" t="n"/>
      <c r="J79" s="21" t="n"/>
      <c r="K79" s="17">
        <f>IF(OR(A79="",B79=""),"",IF(AND(F79&lt;&gt;"",H79&lt;&gt;"",J79&lt;&gt;""),"Complete","Pending"))</f>
        <v/>
      </c>
    </row>
    <row r="80">
      <c r="A80" s="19" t="inlineStr">
        <is>
          <t>M006-Q01</t>
        </is>
      </c>
      <c r="B80" s="19" t="inlineStr">
        <is>
          <t>CL-M006-Q01-011</t>
        </is>
      </c>
      <c r="C80" s="17" t="inlineStr">
        <is>
          <t>[application] Saman is not a party to the deed and holds no shares or directorship in the purchasing company, so the bar on attesting a deed to which the notary is a party does not apply; as its legal officer he must state the company's registered address on the front page of the deed.</t>
        </is>
      </c>
      <c r="D80" s="17" t="inlineStr">
        <is>
          <t>PROV-M006-010: Notaries Ordinance s.31(31(13))
PROV-M006-007: Notaries Ordinance s.31(31(17)(c))
Facts: BG-3, FACT-M006-Q01-001</t>
        </is>
      </c>
      <c r="E80" s="17" t="inlineStr">
        <is>
          <t>[verified, support combined]</t>
        </is>
      </c>
      <c r="F80" s="21" t="n"/>
      <c r="G80" s="21" t="n"/>
      <c r="H80" s="21" t="n"/>
      <c r="I80" s="21" t="n"/>
      <c r="J80" s="21" t="n"/>
      <c r="K80" s="17">
        <f>IF(OR(A80="",B80=""),"",IF(AND(F80&lt;&gt;"",H80&lt;&gt;"",J80&lt;&gt;""),"Complete","Pending"))</f>
        <v/>
      </c>
    </row>
    <row r="81">
      <c r="A81" s="19" t="inlineStr">
        <is>
          <t>M006-Q01</t>
        </is>
      </c>
      <c r="B81" s="19" t="inlineStr">
        <is>
          <t>CL-M006-Q01-012</t>
        </is>
      </c>
      <c r="C81" s="17" t="inlineStr">
        <is>
          <t>[application] Because the land is in the Kurunegala District, Saman must send a certified copy of the deed and a list in duplicate to the Registrar of Lands at Kurunegala by 15 May 2026 and must submit the deed for registration at the Kurunegala land registry within sixty days of attestation.</t>
        </is>
      </c>
      <c r="D81" s="17" t="inlineStr">
        <is>
          <t>PROV-M006-003: Notaries Ordinance s.31(31(29))
PROV-M006-004: Notaries Ordinance s.31(31(30A))
PROV-M006-009: Registration of Documents Ordinance s.14(14(1))
Facts: FACT-M006-Q01-002, FACT-M006-Q01-003, FACT-M006-Q01-005</t>
        </is>
      </c>
      <c r="E81" s="17" t="inlineStr">
        <is>
          <t>[verified, support combined]</t>
        </is>
      </c>
      <c r="F81" s="21" t="n"/>
      <c r="G81" s="21" t="n"/>
      <c r="H81" s="21" t="n"/>
      <c r="I81" s="21" t="n"/>
      <c r="J81" s="21" t="n"/>
      <c r="K81" s="17">
        <f>IF(OR(A81="",B81=""),"",IF(AND(F81&lt;&gt;"",H81&lt;&gt;"",J81&lt;&gt;""),"Complete","Pending"))</f>
        <v/>
      </c>
    </row>
    <row r="82">
      <c r="A82" s="19" t="inlineStr">
        <is>
          <t>M006-Q01</t>
        </is>
      </c>
      <c r="B82" s="19" t="inlineStr">
        <is>
          <t>CL-M006-Q01-013</t>
        </is>
      </c>
      <c r="C82" s="17" t="inlineStr">
        <is>
          <t>[conclusion] Saman can attest the Deed of Transfer notwithstanding that the land is in Kurunegala, provided the attestation takes place within the Judicial Zone of Colombo and the deed is in the language of his warrant.</t>
        </is>
      </c>
      <c r="D82" s="17" t="inlineStr">
        <is>
          <t>PROV-M006-001: Notaries Ordinance s.3(3(1))
PROV-M006-002: Notaries Ordinance s.31(31(22))
PROV-M006-003: Notaries Ordinance s.31(31(29))
Facts: BG-1, BG-2, FACT-M006-Q01-003, FACT-M006-Q01-004</t>
        </is>
      </c>
      <c r="E82" s="17" t="inlineStr">
        <is>
          <t>[verified, support combined]</t>
        </is>
      </c>
      <c r="F82" s="21" t="n"/>
      <c r="G82" s="21" t="n"/>
      <c r="H82" s="21" t="n"/>
      <c r="I82" s="21" t="n"/>
      <c r="J82" s="21" t="n"/>
      <c r="K82" s="17">
        <f>IF(OR(A82="",B82=""),"",IF(AND(F82&lt;&gt;"",H82&lt;&gt;"",J82&lt;&gt;""),"Complete","Pending"))</f>
        <v/>
      </c>
    </row>
    <row r="83">
      <c r="A83" s="19" t="inlineStr">
        <is>
          <t>M006-Q01</t>
        </is>
      </c>
      <c r="B83" s="19" t="inlineStr">
        <is>
          <t>CL-M006-Q01-014</t>
        </is>
      </c>
      <c r="C83" s="17" t="inlineStr">
        <is>
          <t>[conclusion] He could not lawfully attest the deed in Kurunegala itself unless the Minister first granted him a fresh warrant authorising practice in that judicial zone.</t>
        </is>
      </c>
      <c r="D83" s="17" t="inlineStr">
        <is>
          <t>PROV-M006-002: Notaries Ordinance s.31(31(22))
PROV-M006-008: Notaries Ordinance s.11
PROV-M006-006: Notaries Ordinance s.34(34(1)(c))
Facts: BG-1</t>
        </is>
      </c>
      <c r="E83" s="17" t="inlineStr">
        <is>
          <t>[verified, support combined]</t>
        </is>
      </c>
      <c r="F83" s="21" t="n"/>
      <c r="G83" s="21" t="n"/>
      <c r="H83" s="21" t="n"/>
      <c r="I83" s="21" t="n"/>
      <c r="J83" s="21" t="n"/>
      <c r="K83" s="17">
        <f>IF(OR(A83="",B83=""),"",IF(AND(F83&lt;&gt;"",H83&lt;&gt;"",J83&lt;&gt;""),"Complete","Pending"))</f>
        <v/>
      </c>
    </row>
    <row r="84">
      <c r="A84" s="19" t="inlineStr">
        <is>
          <t>M008-Q02</t>
        </is>
      </c>
      <c r="B84" s="19" t="inlineStr">
        <is>
          <t>CL-M008-Q02-001</t>
        </is>
      </c>
      <c r="C84" s="17" t="inlineStr">
        <is>
          <t>[rule] Any person may, on application in the prescribed form and on payment of the prescribed fee, inspect during office hours any title register and any cadastral map maintained under the Registration of Title Act.</t>
        </is>
      </c>
      <c r="D84" s="17" t="inlineStr">
        <is>
          <t>PROV-M008-008: Registration of Title Act s.34 (1)</t>
        </is>
      </c>
      <c r="E84" s="17" t="inlineStr">
        <is>
          <t>[verified, support direct]</t>
        </is>
      </c>
      <c r="F84" s="21" t="n"/>
      <c r="G84" s="21" t="n"/>
      <c r="H84" s="21" t="n"/>
      <c r="I84" s="21" t="n"/>
      <c r="J84" s="21" t="n"/>
      <c r="K84" s="17">
        <f>IF(OR(A84="",B84=""),"",IF(AND(F84&lt;&gt;"",H84&lt;&gt;"",J84&lt;&gt;""),"Complete","Pending"))</f>
        <v/>
      </c>
    </row>
    <row r="85">
      <c r="A85" s="19" t="inlineStr">
        <is>
          <t>M008-Q02</t>
        </is>
      </c>
      <c r="B85" s="19" t="inlineStr">
        <is>
          <t>CL-M008-Q02-002</t>
        </is>
      </c>
      <c r="C85" s="17" t="inlineStr">
        <is>
          <t>[rule] Any person is entitled, on application to the relevant Registrar of Title and payment of the prescribed fee, to an extract of the Title Register certified by that Registrar of Title.</t>
        </is>
      </c>
      <c r="D85" s="17" t="inlineStr">
        <is>
          <t>PROV-M008-009: Registration of Title Act s.34 (2)
PROV-M008-011: Registration of Title Act s.75</t>
        </is>
      </c>
      <c r="E85" s="17" t="inlineStr">
        <is>
          <t>[verified, support combined]</t>
        </is>
      </c>
      <c r="F85" s="21" t="n"/>
      <c r="G85" s="21" t="n"/>
      <c r="H85" s="21" t="n"/>
      <c r="I85" s="21" t="n"/>
      <c r="J85" s="21" t="n"/>
      <c r="K85" s="17">
        <f>IF(OR(A85="",B85=""),"",IF(AND(F85&lt;&gt;"",H85&lt;&gt;"",J85&lt;&gt;""),"Complete","Pending"))</f>
        <v/>
      </c>
    </row>
    <row r="86">
      <c r="A86" s="19" t="inlineStr">
        <is>
          <t>M008-Q02</t>
        </is>
      </c>
      <c r="B86" s="19" t="inlineStr">
        <is>
          <t>CL-M008-Q02-003</t>
        </is>
      </c>
      <c r="C86" s="17" t="inlineStr">
        <is>
          <t>[rule] A certified copy of an extract of the cadastral map is obtained from the relevant Superintendent of Surveys and is certified on behalf of the Surveyor-General, not by the Registrar of Title.</t>
        </is>
      </c>
      <c r="D86" s="17" t="inlineStr">
        <is>
          <t>PROV-M008-010: Registration of Title Act s.34 (3)
PROV-M008-014: Registration of Title Act s.75</t>
        </is>
      </c>
      <c r="E86" s="17" t="inlineStr">
        <is>
          <t>[verified, support combined]</t>
        </is>
      </c>
      <c r="F86" s="21" t="n"/>
      <c r="G86" s="21" t="n"/>
      <c r="H86" s="21" t="n"/>
      <c r="I86" s="21" t="n"/>
      <c r="J86" s="21" t="n"/>
      <c r="K86" s="17">
        <f>IF(OR(A86="",B86=""),"",IF(AND(F86&lt;&gt;"",H86&lt;&gt;"",J86&lt;&gt;""),"Complete","Pending"))</f>
        <v/>
      </c>
    </row>
    <row r="87">
      <c r="A87" s="19" t="inlineStr">
        <is>
          <t>M008-Q02</t>
        </is>
      </c>
      <c r="B87" s="19" t="inlineStr">
        <is>
          <t>CL-M008-Q02-004</t>
        </is>
      </c>
      <c r="C87" s="17" t="inlineStr">
        <is>
          <t>[rule] The forms and fees to which s.34 refers are those prescribed by regulations made under the Act.</t>
        </is>
      </c>
      <c r="D87" s="17" t="inlineStr">
        <is>
          <t>PROV-M008-013: Registration of Title Act s.67 (2)(g), (2)(h)</t>
        </is>
      </c>
      <c r="E87" s="17" t="inlineStr">
        <is>
          <t>[verified, support direct]</t>
        </is>
      </c>
      <c r="F87" s="21" t="n"/>
      <c r="G87" s="21" t="n"/>
      <c r="H87" s="21" t="n"/>
      <c r="I87" s="21" t="n"/>
      <c r="J87" s="21" t="n"/>
      <c r="K87" s="17">
        <f>IF(OR(A87="",B87=""),"",IF(AND(F87&lt;&gt;"",H87&lt;&gt;"",J87&lt;&gt;""),"Complete","Pending"))</f>
        <v/>
      </c>
    </row>
    <row r="88">
      <c r="A88" s="19" t="inlineStr">
        <is>
          <t>M008-Q02</t>
        </is>
      </c>
      <c r="B88" s="19" t="inlineStr">
        <is>
          <t>CL-M008-Q02-005</t>
        </is>
      </c>
      <c r="C88" s="17" t="inlineStr">
        <is>
          <t>[rule] A document purporting to be certified by a Registrar of Title is presumed to have been so certified and is accepted as prima facie evidence of the matter to which it relates without further proof.</t>
        </is>
      </c>
      <c r="D88" s="17" t="inlineStr">
        <is>
          <t>PROV-M008-012: Registration of Title Act s.35 (1), (2)</t>
        </is>
      </c>
      <c r="E88" s="17" t="inlineStr">
        <is>
          <t>[verified, support direct]</t>
        </is>
      </c>
      <c r="F88" s="21" t="n"/>
      <c r="G88" s="21" t="n"/>
      <c r="H88" s="21" t="n"/>
      <c r="I88" s="21" t="n"/>
      <c r="J88" s="21" t="n"/>
      <c r="K88" s="17">
        <f>IF(OR(A88="",B88=""),"",IF(AND(F88&lt;&gt;"",H88&lt;&gt;"",J88&lt;&gt;""),"Complete","Pending"))</f>
        <v/>
      </c>
    </row>
    <row r="89">
      <c r="A89" s="19" t="inlineStr">
        <is>
          <t>M008-Q02</t>
        </is>
      </c>
      <c r="B89" s="19" t="inlineStr">
        <is>
          <t>CL-M008-Q02-006</t>
        </is>
      </c>
      <c r="C89" s="17" t="inlineStr">
        <is>
          <t>[application] Sureka is a person within s.34, and because the section requires no proof of interest or written authority, the absence of any authority or power of attorney from Kamal does not prevent her from inspecting or from obtaining certified copies.</t>
        </is>
      </c>
      <c r="D89" s="17" t="inlineStr">
        <is>
          <t>PROV-M008-008: Registration of Title Act s.34 (1)
Facts: FACT-M008-Q02-002, BG-2</t>
        </is>
      </c>
      <c r="E89" s="17" t="inlineStr">
        <is>
          <t>[verified, support inferential]</t>
        </is>
      </c>
      <c r="F89" s="21" t="n"/>
      <c r="G89" s="21" t="n"/>
      <c r="H89" s="21" t="n"/>
      <c r="I89" s="21" t="n"/>
      <c r="J89" s="21" t="n"/>
      <c r="K89" s="17">
        <f>IF(OR(A89="",B89=""),"",IF(AND(F89&lt;&gt;"",H89&lt;&gt;"",J89&lt;&gt;""),"Complete","Pending"))</f>
        <v/>
      </c>
    </row>
    <row r="90">
      <c r="A90" s="19" t="inlineStr">
        <is>
          <t>M008-Q02</t>
        </is>
      </c>
      <c r="B90" s="19" t="inlineStr">
        <is>
          <t>CL-M008-Q02-007</t>
        </is>
      </c>
      <c r="C90" s="17" t="inlineStr">
        <is>
          <t>[application] She must apply on the prescribed form, pay the prescribed fee and attend during office hours, and she is willing to meet those conditions.</t>
        </is>
      </c>
      <c r="D90" s="17" t="inlineStr">
        <is>
          <t>PROV-M008-008: Registration of Title Act s.34 (1)
PROV-M008-013: Registration of Title Act s.67 (2)(g), (2)(h)
Facts: FACT-M008-Q02-002</t>
        </is>
      </c>
      <c r="E90" s="17" t="inlineStr">
        <is>
          <t>[verified, support combined]</t>
        </is>
      </c>
      <c r="F90" s="21" t="n"/>
      <c r="G90" s="21" t="n"/>
      <c r="H90" s="21" t="n"/>
      <c r="I90" s="21" t="n"/>
      <c r="J90" s="21" t="n"/>
      <c r="K90" s="17">
        <f>IF(OR(A90="",B90=""),"",IF(AND(F90&lt;&gt;"",H90&lt;&gt;"",J90&lt;&gt;""),"Complete","Pending"))</f>
        <v/>
      </c>
    </row>
    <row r="91">
      <c r="A91" s="19" t="inlineStr">
        <is>
          <t>M008-Q02</t>
        </is>
      </c>
      <c r="B91" s="19" t="inlineStr">
        <is>
          <t>CL-M008-Q02-008</t>
        </is>
      </c>
      <c r="C91" s="17" t="inlineStr">
        <is>
          <t>[application] The certified extract of the register for Lot 42 must be sought from the Registrar of Title at the Homagama Title Registry, and the certified copy of an extract of the cadastral map from the Superintendent of Surveys for the Colombo District.</t>
        </is>
      </c>
      <c r="D91" s="17" t="inlineStr">
        <is>
          <t>PROV-M008-009: Registration of Title Act s.34 (2)
PROV-M008-010: Registration of Title Act s.34 (3)
Facts: FACT-M008-Q02-001</t>
        </is>
      </c>
      <c r="E91" s="17" t="inlineStr">
        <is>
          <t>[verified, support combined]</t>
        </is>
      </c>
      <c r="F91" s="21" t="n"/>
      <c r="G91" s="21" t="n"/>
      <c r="H91" s="21" t="n"/>
      <c r="I91" s="21" t="n"/>
      <c r="J91" s="21" t="n"/>
      <c r="K91" s="17">
        <f>IF(OR(A91="",B91=""),"",IF(AND(F91&lt;&gt;"",H91&lt;&gt;"",J91&lt;&gt;""),"Complete","Pending"))</f>
        <v/>
      </c>
    </row>
    <row r="92">
      <c r="A92" s="19" t="inlineStr">
        <is>
          <t>M008-Q02</t>
        </is>
      </c>
      <c r="B92" s="19" t="inlineStr">
        <is>
          <t>CL-M008-Q02-009</t>
        </is>
      </c>
      <c r="C92" s="17" t="inlineStr">
        <is>
          <t>[conclusion] Sureka may inspect both the title register and the cadastral map on behalf of Kamal, and could equally do so in her own name.</t>
        </is>
      </c>
      <c r="D92" s="17" t="inlineStr">
        <is>
          <t>PROV-M008-008: Registration of Title Act s.34 (1)
Facts: FACT-M008-Q02-001, FACT-M008-Q02-002</t>
        </is>
      </c>
      <c r="E92" s="17" t="inlineStr">
        <is>
          <t>[verified, support direct]</t>
        </is>
      </c>
      <c r="F92" s="21" t="n"/>
      <c r="G92" s="21" t="n"/>
      <c r="H92" s="21" t="n"/>
      <c r="I92" s="21" t="n"/>
      <c r="J92" s="21" t="n"/>
      <c r="K92" s="17">
        <f>IF(OR(A92="",B92=""),"",IF(AND(F92&lt;&gt;"",H92&lt;&gt;"",J92&lt;&gt;""),"Complete","Pending"))</f>
        <v/>
      </c>
    </row>
    <row r="93">
      <c r="A93" s="19" t="inlineStr">
        <is>
          <t>M008-Q02</t>
        </is>
      </c>
      <c r="B93" s="19" t="inlineStr">
        <is>
          <t>CL-M008-Q02-010</t>
        </is>
      </c>
      <c r="C93" s="17" t="inlineStr">
        <is>
          <t>[conclusion] She may also obtain certified copies of both documents, but from two different officers and on payment of the prescribed fee in each case.</t>
        </is>
      </c>
      <c r="D93" s="17" t="inlineStr">
        <is>
          <t>PROV-M008-009: Registration of Title Act s.34 (2)
PROV-M008-010: Registration of Title Act s.34 (3)
PROV-M008-011: Registration of Title Act s.75
PROV-M008-014: Registration of Title Act s.75
Facts: FACT-M008-Q02-001</t>
        </is>
      </c>
      <c r="E93" s="17" t="inlineStr">
        <is>
          <t>[verified, support combined]</t>
        </is>
      </c>
      <c r="F93" s="21" t="n"/>
      <c r="G93" s="21" t="n"/>
      <c r="H93" s="21" t="n"/>
      <c r="I93" s="21" t="n"/>
      <c r="J93" s="21" t="n"/>
      <c r="K93" s="17">
        <f>IF(OR(A93="",B93=""),"",IF(AND(F93&lt;&gt;"",H93&lt;&gt;"",J93&lt;&gt;""),"Complete","Pending"))</f>
        <v/>
      </c>
    </row>
    <row r="94">
      <c r="A94" s="19" t="inlineStr">
        <is>
          <t>M010-Q01</t>
        </is>
      </c>
      <c r="B94" s="19" t="inlineStr">
        <is>
          <t>CL-M010-Q01-001</t>
        </is>
      </c>
      <c r="C94" s="17" t="inlineStr">
        <is>
          <t>[rule] A person who has reached eighteen years and is residing in or outside Sri Lanka may execute a will disposing of movable and immovable property belonging to him at death which would otherwise devolve on his heirs, in favour of a person not legally incapacitated from taking.</t>
        </is>
      </c>
      <c r="D94" s="17" t="inlineStr">
        <is>
          <t>PROV-M010-001: Wills Ordinance s.2 (1)</t>
        </is>
      </c>
      <c r="E94" s="17" t="inlineStr">
        <is>
          <t>[verified, support direct]</t>
        </is>
      </c>
      <c r="F94" s="21" t="n"/>
      <c r="G94" s="21" t="n"/>
      <c r="H94" s="21" t="n"/>
      <c r="I94" s="21" t="n"/>
      <c r="J94" s="21" t="n"/>
      <c r="K94" s="17">
        <f>IF(OR(A94="",B94=""),"",IF(AND(F94&lt;&gt;"",H94&lt;&gt;"",J94&lt;&gt;""),"Complete","Pending"))</f>
        <v/>
      </c>
    </row>
    <row r="95">
      <c r="A95" s="19" t="inlineStr">
        <is>
          <t>M010-Q01</t>
        </is>
      </c>
      <c r="B95" s="19" t="inlineStr">
        <is>
          <t>CL-M010-Q01-002</t>
        </is>
      </c>
      <c r="C95" s="17" t="inlineStr">
        <is>
          <t>[rule] Every testator has full power to exclude, disinherit or omit to mention any child without assigning any reason, notwithstanding any law, usage or custom to the contrary.</t>
        </is>
      </c>
      <c r="D95" s="17" t="inlineStr">
        <is>
          <t>PROV-M010-002: Wills Ordinance s.2 (2)</t>
        </is>
      </c>
      <c r="E95" s="17" t="inlineStr">
        <is>
          <t>[verified, support direct]</t>
        </is>
      </c>
      <c r="F95" s="21" t="n"/>
      <c r="G95" s="21" t="n"/>
      <c r="H95" s="21" t="n"/>
      <c r="I95" s="21" t="n"/>
      <c r="J95" s="21" t="n"/>
      <c r="K95" s="17">
        <f>IF(OR(A95="",B95=""),"",IF(AND(F95&lt;&gt;"",H95&lt;&gt;"",J95&lt;&gt;""),"Complete","Pending"))</f>
        <v/>
      </c>
    </row>
    <row r="96">
      <c r="A96" s="19" t="inlineStr">
        <is>
          <t>M010-Q01</t>
        </is>
      </c>
      <c r="B96" s="19" t="inlineStr">
        <is>
          <t>CL-M010-Q01-003</t>
        </is>
      </c>
      <c r="C96" s="17" t="inlineStr">
        <is>
          <t>[rule] The preferential right of children to a parent's estate operates in inheritance ab intestato and therefore does not defeat a valid testamentary disposition.</t>
        </is>
      </c>
      <c r="D96" s="17" t="inlineStr">
        <is>
          <t>PROV-M010-005: Matrimonial Rights and Inheritance Ordinance s.24
PROV-M010-002: Wills Ordinance s.2 (2)
PROV-M010-901: Matrimonial Rights and Inheritance Ordinance s.21 (1)</t>
        </is>
      </c>
      <c r="E96" s="17" t="inlineStr">
        <is>
          <t>[verified, support combined]</t>
        </is>
      </c>
      <c r="F96" s="21" t="n"/>
      <c r="G96" s="21" t="n"/>
      <c r="H96" s="21" t="n"/>
      <c r="I96" s="21" t="n"/>
      <c r="J96" s="21" t="n"/>
      <c r="K96" s="17">
        <f>IF(OR(A96="",B96=""),"",IF(AND(F96&lt;&gt;"",H96&lt;&gt;"",J96&lt;&gt;""),"Complete","Pending"))</f>
        <v/>
      </c>
    </row>
    <row r="97">
      <c r="A97" s="19" t="inlineStr">
        <is>
          <t>M010-Q01</t>
        </is>
      </c>
      <c r="B97" s="19" t="inlineStr">
        <is>
          <t>CL-M010-Q01-004</t>
        </is>
      </c>
      <c r="C97" s="17" t="inlineStr">
        <is>
          <t>[rule] A will containing a devise of immovable property or a bequest of movable property is valid only if it is in writing and the testator signs it and affixes his thumb impression at the foot or end before a notary public and two witnesses present at the same time.</t>
        </is>
      </c>
      <c r="D97" s="17" t="inlineStr">
        <is>
          <t>PROV-M010-003: Prevention of Frauds Ordinance s.4 (1) and (2)</t>
        </is>
      </c>
      <c r="E97" s="17" t="inlineStr">
        <is>
          <t>[verified, support direct]</t>
        </is>
      </c>
      <c r="F97" s="21" t="n"/>
      <c r="G97" s="21" t="n"/>
      <c r="H97" s="21" t="n"/>
      <c r="I97" s="21" t="n"/>
      <c r="J97" s="21" t="n"/>
      <c r="K97" s="17">
        <f>IF(OR(A97="",B97=""),"",IF(AND(F97&lt;&gt;"",H97&lt;&gt;"",J97&lt;&gt;""),"Complete","Pending"))</f>
        <v/>
      </c>
    </row>
    <row r="98">
      <c r="A98" s="19" t="inlineStr">
        <is>
          <t>M010-Q01</t>
        </is>
      </c>
      <c r="B98" s="19" t="inlineStr">
        <is>
          <t>CL-M010-Q01-005</t>
        </is>
      </c>
      <c r="C98" s="17" t="inlineStr">
        <is>
          <t>[rule] A benefit given by a will to a person who attests it, or to that person's spouse, is null and void so far as concerns that attesting witness.</t>
        </is>
      </c>
      <c r="D98" s="17" t="inlineStr">
        <is>
          <t>PROV-M010-004: Prevention of Frauds Ordinance s.11</t>
        </is>
      </c>
      <c r="E98" s="17" t="inlineStr">
        <is>
          <t>[verified, support direct]</t>
        </is>
      </c>
      <c r="F98" s="21" t="n"/>
      <c r="G98" s="21" t="n"/>
      <c r="H98" s="21" t="n"/>
      <c r="I98" s="21" t="n"/>
      <c r="J98" s="21" t="n"/>
      <c r="K98" s="17">
        <f>IF(OR(A98="",B98=""),"",IF(AND(F98&lt;&gt;"",H98&lt;&gt;"",J98&lt;&gt;""),"Complete","Pending"))</f>
        <v/>
      </c>
    </row>
    <row r="99">
      <c r="A99" s="19" t="inlineStr">
        <is>
          <t>M010-Q01</t>
        </is>
      </c>
      <c r="B99" s="19" t="inlineStr">
        <is>
          <t>CL-M010-Q01-006</t>
        </is>
      </c>
      <c r="C99" s="17" t="inlineStr">
        <is>
          <t>[application] Martin Perera, aged seventy-two, of sound mind and governed by the general law, satisfies the statutory age and capacity condition for executing a will.</t>
        </is>
      </c>
      <c r="D99" s="17" t="inlineStr">
        <is>
          <t>PROV-M010-001: Wills Ordinance s.2 (1)
Facts: FACT-M010-Q01-001, FACT-M010-Q01-002</t>
        </is>
      </c>
      <c r="E99" s="17" t="inlineStr">
        <is>
          <t>[verified, support combined]</t>
        </is>
      </c>
      <c r="F99" s="21" t="n"/>
      <c r="G99" s="21" t="n"/>
      <c r="H99" s="21" t="n"/>
      <c r="I99" s="21" t="n"/>
      <c r="J99" s="21" t="n"/>
      <c r="K99" s="17">
        <f>IF(OR(A99="",B99=""),"",IF(AND(F99&lt;&gt;"",H99&lt;&gt;"",J99&lt;&gt;""),"Complete","Pending"))</f>
        <v/>
      </c>
    </row>
    <row r="100">
      <c r="A100" s="19" t="inlineStr">
        <is>
          <t>M010-Q01</t>
        </is>
      </c>
      <c r="B100" s="19" t="inlineStr">
        <is>
          <t>CL-M010-Q01-007</t>
        </is>
      </c>
      <c r="C100" s="17" t="inlineStr">
        <is>
          <t>[application] The house at Nugegoda is Martin's own immovable property which would otherwise devolve on his two adult children, and Siripala, an unrelated helper, is not legally incapacitated from taking it under the will.</t>
        </is>
      </c>
      <c r="D100" s="17" t="inlineStr">
        <is>
          <t>PROV-M010-001: Wills Ordinance s.2 (1)
PROV-M010-006: Wills Ordinance s.9
Facts: FACT-M010-Q01-003, FACT-M010-Q01-005, BG-1</t>
        </is>
      </c>
      <c r="E100" s="17" t="inlineStr">
        <is>
          <t>[verified, support combined]</t>
        </is>
      </c>
      <c r="F100" s="21" t="n"/>
      <c r="G100" s="21" t="n"/>
      <c r="H100" s="21" t="n"/>
      <c r="I100" s="21" t="n"/>
      <c r="J100" s="21" t="n"/>
      <c r="K100" s="17">
        <f>IF(OR(A100="",B100=""),"",IF(AND(F100&lt;&gt;"",H100&lt;&gt;"",J100&lt;&gt;""),"Complete","Pending"))</f>
        <v/>
      </c>
    </row>
    <row r="101">
      <c r="A101" s="19" t="inlineStr">
        <is>
          <t>M010-Q01</t>
        </is>
      </c>
      <c r="B101" s="19" t="inlineStr">
        <is>
          <t>CL-M010-Q01-008</t>
        </is>
      </c>
      <c r="C101" s="17" t="inlineStr">
        <is>
          <t>[application] Because Martin's children take only on intestacy, they acquire no claim to the house against a valid will and cannot attack the exclusion on the ground that the will gives no reason for it.</t>
        </is>
      </c>
      <c r="D101" s="17" t="inlineStr">
        <is>
          <t>PROV-M010-002: Wills Ordinance s.2 (2)
PROV-M010-005: Matrimonial Rights and Inheritance Ordinance s.24
PROV-M010-901: Matrimonial Rights and Inheritance Ordinance s.21 (1)
Facts: FACT-M010-Q01-004, BG-2</t>
        </is>
      </c>
      <c r="E101" s="17" t="inlineStr">
        <is>
          <t>[verified, support combined]</t>
        </is>
      </c>
      <c r="F101" s="21" t="n"/>
      <c r="G101" s="21" t="n"/>
      <c r="H101" s="21" t="n"/>
      <c r="I101" s="21" t="n"/>
      <c r="J101" s="21" t="n"/>
      <c r="K101" s="17">
        <f>IF(OR(A101="",B101=""),"",IF(AND(F101&lt;&gt;"",H101&lt;&gt;"",J101&lt;&gt;""),"Complete","Pending"))</f>
        <v/>
      </c>
    </row>
    <row r="102">
      <c r="A102" s="19" t="inlineStr">
        <is>
          <t>M010-Q01</t>
        </is>
      </c>
      <c r="B102" s="19" t="inlineStr">
        <is>
          <t>CL-M010-Q01-009</t>
        </is>
      </c>
      <c r="C102" s="17" t="inlineStr">
        <is>
          <t>[application] The proposed execution before a notary public and two disinterested neighbours, with Martin's signature and thumb impression at the end of the will, meets the statutory form, and since neither witness benefits under the will the devise to Siripala is not avoided.</t>
        </is>
      </c>
      <c r="D102" s="17" t="inlineStr">
        <is>
          <t>PROV-M010-003: Prevention of Frauds Ordinance s.4 (1) and (2)
PROV-M010-004: Prevention of Frauds Ordinance s.11
Facts: FACT-M010-Q01-006</t>
        </is>
      </c>
      <c r="E102" s="17" t="inlineStr">
        <is>
          <t>[verified, support combined]</t>
        </is>
      </c>
      <c r="F102" s="21" t="n"/>
      <c r="G102" s="21" t="n"/>
      <c r="H102" s="21" t="n"/>
      <c r="I102" s="21" t="n"/>
      <c r="J102" s="21" t="n"/>
      <c r="K102" s="17">
        <f>IF(OR(A102="",B102=""),"",IF(AND(F102&lt;&gt;"",H102&lt;&gt;"",J102&lt;&gt;""),"Complete","Pending"))</f>
        <v/>
      </c>
    </row>
    <row r="103">
      <c r="A103" s="19" t="inlineStr">
        <is>
          <t>M010-Q01</t>
        </is>
      </c>
      <c r="B103" s="19" t="inlineStr">
        <is>
          <t>CL-M010-Q01-010</t>
        </is>
      </c>
      <c r="C103" s="17" t="inlineStr">
        <is>
          <t>[conclusion] Martin Perera may execute the will leaving his house to Siripala and nothing to his children without assigning any reason, provided the will is executed in the prescribed form and no beneficiary or beneficiary's spouse attests it.</t>
        </is>
      </c>
      <c r="D103" s="17" t="inlineStr">
        <is>
          <t>PROV-M010-002: Wills Ordinance s.2 (2)
PROV-M010-001: Wills Ordinance s.2 (1)
PROV-M010-003: Prevention of Frauds Ordinance s.4 (1) and (2)
PROV-M010-004: Prevention of Frauds Ordinance s.11
Facts: FACT-M010-Q01-001, FACT-M010-Q01-006</t>
        </is>
      </c>
      <c r="E103" s="17" t="inlineStr">
        <is>
          <t>[verified, support combined]</t>
        </is>
      </c>
      <c r="F103" s="21" t="n"/>
      <c r="G103" s="21" t="n"/>
      <c r="H103" s="21" t="n"/>
      <c r="I103" s="21" t="n"/>
      <c r="J103" s="21" t="n"/>
      <c r="K103" s="17">
        <f>IF(OR(A103="",B103=""),"",IF(AND(F103&lt;&gt;"",H103&lt;&gt;"",J103&lt;&gt;""),"Complete","Pending"))</f>
        <v/>
      </c>
    </row>
    <row r="104">
      <c r="A104" s="19" t="inlineStr">
        <is>
          <t>M010-Q02</t>
        </is>
      </c>
      <c r="B104" s="19" t="inlineStr">
        <is>
          <t>CL-M010-Q02-001</t>
        </is>
      </c>
      <c r="C104" s="17" t="inlineStr">
        <is>
          <t>[rule] After the testator's death the will must be duly proved and recorded in the District Court empowered to grant probate or administration.</t>
        </is>
      </c>
      <c r="D104" s="17" t="inlineStr">
        <is>
          <t>PROV-M010-007: Prevention of Frauds Ordinance s.9</t>
        </is>
      </c>
      <c r="E104" s="17" t="inlineStr">
        <is>
          <t>[verified, support direct]</t>
        </is>
      </c>
      <c r="F104" s="21" t="n"/>
      <c r="G104" s="21" t="n"/>
      <c r="H104" s="21" t="n"/>
      <c r="I104" s="21" t="n"/>
      <c r="J104" s="21" t="n"/>
      <c r="K104" s="17">
        <f>IF(OR(A104="",B104=""),"",IF(AND(F104&lt;&gt;"",H104&lt;&gt;"",J104&lt;&gt;""),"Complete","Pending"))</f>
        <v/>
      </c>
    </row>
    <row r="105">
      <c r="A105" s="19" t="inlineStr">
        <is>
          <t>M010-Q02</t>
        </is>
      </c>
      <c r="B105" s="19" t="inlineStr">
        <is>
          <t>CL-M010-Q02-002</t>
        </is>
      </c>
      <c r="C105" s="17" t="inlineStr">
        <is>
          <t>[rule] The person who held or who finds the will after the death must produce it, as soon as reasonably may be, to the District Court of the district in which he resides or in which the testator died, with an affidavit verifying the time and place of death and the property left.</t>
        </is>
      </c>
      <c r="D105" s="17" t="inlineStr">
        <is>
          <t>PROV-M010-008: Civil Procedure Code s.516</t>
        </is>
      </c>
      <c r="E105" s="17" t="inlineStr">
        <is>
          <t>[verified, support direct]</t>
        </is>
      </c>
      <c r="F105" s="21" t="n"/>
      <c r="G105" s="21" t="n"/>
      <c r="H105" s="21" t="n"/>
      <c r="I105" s="21" t="n"/>
      <c r="J105" s="21" t="n"/>
      <c r="K105" s="17">
        <f>IF(OR(A105="",B105=""),"",IF(AND(F105&lt;&gt;"",H105&lt;&gt;"",J105&lt;&gt;""),"Complete","Pending"))</f>
        <v/>
      </c>
    </row>
    <row r="106">
      <c r="A106" s="19" t="inlineStr">
        <is>
          <t>M010-Q02</t>
        </is>
      </c>
      <c r="B106" s="19" t="inlineStr">
        <is>
          <t>CL-M010-Q02-003</t>
        </is>
      </c>
      <c r="C106" s="17" t="inlineStr">
        <is>
          <t>[rule] The executor named in the will may apply to the District Court of the district of his residence, of the testator's residence at death, or where land of the estate lies, in the manner and within the time specified in section 524, to have the will proved and probate granted to him; and if no one applies the court itself proceeds to grant probate to the named executor.</t>
        </is>
      </c>
      <c r="D106" s="17" t="inlineStr">
        <is>
          <t>PROV-M010-009: Civil Procedure Code s.517 (1)
PROV-M010-010: Civil Procedure Code s.518</t>
        </is>
      </c>
      <c r="E106" s="17" t="inlineStr">
        <is>
          <t>[verified, support combined]</t>
        </is>
      </c>
      <c r="F106" s="21" t="n"/>
      <c r="G106" s="21" t="n"/>
      <c r="H106" s="21" t="n"/>
      <c r="I106" s="21" t="n"/>
      <c r="J106" s="21" t="n"/>
      <c r="K106" s="17">
        <f>IF(OR(A106="",B106=""),"",IF(AND(F106&lt;&gt;"",H106&lt;&gt;"",J106&lt;&gt;""),"Complete","Pending"))</f>
        <v/>
      </c>
    </row>
    <row r="107">
      <c r="A107" s="19" t="inlineStr">
        <is>
          <t>M010-Q02</t>
        </is>
      </c>
      <c r="B107" s="19" t="inlineStr">
        <is>
          <t>CL-M010-Q02-004</t>
        </is>
      </c>
      <c r="C107" s="17" t="inlineStr">
        <is>
          <t>[rule] The application must be made within three months of the finding of the will, by petition and affidavit setting out in numbered paragraphs the making of the will, the details and situation of the property, the heirs to the best of the petitioner's knowledge, the grounds of entitlement and the character claimed, with the will produced, proof of due execution and the charges for publication.</t>
        </is>
      </c>
      <c r="D107" s="17" t="inlineStr">
        <is>
          <t>PROV-M010-011: Civil Procedure Code s.524 (1)</t>
        </is>
      </c>
      <c r="E107" s="17" t="inlineStr">
        <is>
          <t>[verified, support direct]</t>
        </is>
      </c>
      <c r="F107" s="21" t="n"/>
      <c r="G107" s="21" t="n"/>
      <c r="H107" s="21" t="n"/>
      <c r="I107" s="21" t="n"/>
      <c r="J107" s="21" t="n"/>
      <c r="K107" s="17">
        <f>IF(OR(A107="",B107=""),"",IF(AND(F107&lt;&gt;"",H107&lt;&gt;"",J107&lt;&gt;""),"Complete","Pending"))</f>
        <v/>
      </c>
    </row>
    <row r="108">
      <c r="A108" s="19" t="inlineStr">
        <is>
          <t>M010-Q02</t>
        </is>
      </c>
      <c r="B108" s="19" t="inlineStr">
        <is>
          <t>CL-M010-Q02-005</t>
        </is>
      </c>
      <c r="C108" s="17" t="inlineStr">
        <is>
          <t>[rule] Notice of the application is published by the Probate Officer calling on persons with objections to file them in writing supported by affidavit before the date stated in the notice.</t>
        </is>
      </c>
      <c r="D108" s="17" t="inlineStr">
        <is>
          <t>PROV-M010-012: Civil Procedure Code s.529 (3)</t>
        </is>
      </c>
      <c r="E108" s="17" t="inlineStr">
        <is>
          <t>[verified, support direct]</t>
        </is>
      </c>
      <c r="F108" s="21" t="n"/>
      <c r="G108" s="21" t="n"/>
      <c r="H108" s="21" t="n"/>
      <c r="I108" s="21" t="n"/>
      <c r="J108" s="21" t="n"/>
      <c r="K108" s="17">
        <f>IF(OR(A108="",B108=""),"",IF(AND(F108&lt;&gt;"",H108&lt;&gt;"",J108&lt;&gt;""),"Complete","Pending"))</f>
        <v/>
      </c>
    </row>
    <row r="109">
      <c r="A109" s="19" t="inlineStr">
        <is>
          <t>M010-Q02</t>
        </is>
      </c>
      <c r="B109" s="19" t="inlineStr">
        <is>
          <t>CL-M010-Q02-006</t>
        </is>
      </c>
      <c r="C109" s="17" t="inlineStr">
        <is>
          <t>[rule] Where no objection is filed and the court is satisfied of prima facie proof of the due making of the will and the character of the petitioner, it declares the will proved, declares the applicant executor and directs the grant of probate to him; where objections are filed, probate is granted after the final hearing unless the prima facie proof is rebutted.</t>
        </is>
      </c>
      <c r="D109" s="17" t="inlineStr">
        <is>
          <t>PROV-M010-013: Civil Procedure Code s.531 (1)(a)
PROV-M010-014: Civil Procedure Code s.534 (1)(a)
PROV-M010-903: Civil Procedure Code s.532 (1)</t>
        </is>
      </c>
      <c r="E109" s="17" t="inlineStr">
        <is>
          <t>[verified, support combined]</t>
        </is>
      </c>
      <c r="F109" s="21" t="n"/>
      <c r="G109" s="21" t="n"/>
      <c r="H109" s="21" t="n"/>
      <c r="I109" s="21" t="n"/>
      <c r="J109" s="21" t="n"/>
      <c r="K109" s="17">
        <f>IF(OR(A109="",B109=""),"",IF(AND(F109&lt;&gt;"",H109&lt;&gt;"",J109&lt;&gt;""),"Complete","Pending"))</f>
        <v/>
      </c>
    </row>
    <row r="110">
      <c r="A110" s="19" t="inlineStr">
        <is>
          <t>M010-Q02</t>
        </is>
      </c>
      <c r="B110" s="19" t="inlineStr">
        <is>
          <t>CL-M010-Q02-007</t>
        </is>
      </c>
      <c r="C110" s="17" t="inlineStr">
        <is>
          <t>[rule] The executor in whose favour the order is made must take the executor's oath within fifteen days of the order and file an inventory of the property with a valuation within one month of the oath, whereupon the court grants probate.</t>
        </is>
      </c>
      <c r="D110" s="17" t="inlineStr">
        <is>
          <t>PROV-M010-015: Civil Procedure Code s.539 (1)</t>
        </is>
      </c>
      <c r="E110" s="17" t="inlineStr">
        <is>
          <t>[verified, support direct]</t>
        </is>
      </c>
      <c r="F110" s="21" t="n"/>
      <c r="G110" s="21" t="n"/>
      <c r="H110" s="21" t="n"/>
      <c r="I110" s="21" t="n"/>
      <c r="J110" s="21" t="n"/>
      <c r="K110" s="17">
        <f>IF(OR(A110="",B110=""),"",IF(AND(F110&lt;&gt;"",H110&lt;&gt;"",J110&lt;&gt;""),"Complete","Pending"))</f>
        <v/>
      </c>
    </row>
    <row r="111">
      <c r="A111" s="19" t="inlineStr">
        <is>
          <t>M010-Q02</t>
        </is>
      </c>
      <c r="B111" s="19" t="inlineStr">
        <is>
          <t>CL-M010-Q02-008</t>
        </is>
      </c>
      <c r="C111" s="17" t="inlineStr">
        <is>
          <t>[rule] An unlimited grant of probate carries power over every portion of the deceased's movable and immovable property in Sri Lanka until the administration is complete, and the executor must file a true and final account verified on oath within twelve months of the grant or such further time as the court allows.</t>
        </is>
      </c>
      <c r="D111" s="17" t="inlineStr">
        <is>
          <t>PROV-M010-016: Civil Procedure Code s.542
PROV-M010-017: Civil Procedure Code s.551</t>
        </is>
      </c>
      <c r="E111" s="17" t="inlineStr">
        <is>
          <t>[verified, support combined]</t>
        </is>
      </c>
      <c r="F111" s="21" t="n"/>
      <c r="G111" s="21" t="n"/>
      <c r="H111" s="21" t="n"/>
      <c r="I111" s="21" t="n"/>
      <c r="J111" s="21" t="n"/>
      <c r="K111" s="17">
        <f>IF(OR(A111="",B111=""),"",IF(AND(F111&lt;&gt;"",H111&lt;&gt;"",J111&lt;&gt;""),"Complete","Pending"))</f>
        <v/>
      </c>
    </row>
    <row r="112">
      <c r="A112" s="19" t="inlineStr">
        <is>
          <t>M010-Q02</t>
        </is>
      </c>
      <c r="B112" s="19" t="inlineStr">
        <is>
          <t>CL-M010-Q02-009</t>
        </is>
      </c>
      <c r="C112" s="17" t="inlineStr">
        <is>
          <t>[rule] An executor who fails within one year of the grant to pay over the sums due to creditors, heirs or legatees is liable to pay interest out of his own funds unless he shows good and sufficient cause.</t>
        </is>
      </c>
      <c r="D112" s="17" t="inlineStr">
        <is>
          <t>PROV-M010-018: Civil Procedure Code s.552</t>
        </is>
      </c>
      <c r="E112" s="17" t="inlineStr">
        <is>
          <t>[verified, support direct]</t>
        </is>
      </c>
      <c r="F112" s="21" t="n"/>
      <c r="G112" s="21" t="n"/>
      <c r="H112" s="21" t="n"/>
      <c r="I112" s="21" t="n"/>
      <c r="J112" s="21" t="n"/>
      <c r="K112" s="17">
        <f>IF(OR(A112="",B112=""),"",IF(AND(F112&lt;&gt;"",H112&lt;&gt;"",J112&lt;&gt;""),"Complete","Pending"))</f>
        <v/>
      </c>
    </row>
    <row r="113">
      <c r="A113" s="19" t="inlineStr">
        <is>
          <t>M010-Q02</t>
        </is>
      </c>
      <c r="B113" s="19" t="inlineStr">
        <is>
          <t>CL-M010-Q02-010</t>
        </is>
      </c>
      <c r="C113" s="17" t="inlineStr">
        <is>
          <t>[application] Nihal, having found the original will in Martin's safe on 17 February 2026, must produce it with the verifying affidavit to the District Court of Colombo, which is both the district where Martin died and the district where Nihal resides.</t>
        </is>
      </c>
      <c r="D113" s="17" t="inlineStr">
        <is>
          <t>PROV-M010-008: Civil Procedure Code s.516
Facts: FACT-M010-Q02-001, FACT-M010-Q02-002, FACT-M010-Q02-003</t>
        </is>
      </c>
      <c r="E113" s="17" t="inlineStr">
        <is>
          <t>[verified, support combined]</t>
        </is>
      </c>
      <c r="F113" s="21" t="n"/>
      <c r="G113" s="21" t="n"/>
      <c r="H113" s="21" t="n"/>
      <c r="I113" s="21" t="n"/>
      <c r="J113" s="21" t="n"/>
      <c r="K113" s="17">
        <f>IF(OR(A113="",B113=""),"",IF(AND(F113&lt;&gt;"",H113&lt;&gt;"",J113&lt;&gt;""),"Complete","Pending"))</f>
        <v/>
      </c>
    </row>
    <row r="114">
      <c r="A114" s="19" t="inlineStr">
        <is>
          <t>M010-Q02</t>
        </is>
      </c>
      <c r="B114" s="19" t="inlineStr">
        <is>
          <t>CL-M010-Q02-011</t>
        </is>
      </c>
      <c r="C114" s="17" t="inlineStr">
        <is>
          <t>[application] As the executor named in the will Nihal must petition that court to have the will proved and probate granted to him by 17 May 2026, within three months of finding the will, naming Anusha and Dinesh as heirs and Siripala as legatee and describing the house and the savings account.</t>
        </is>
      </c>
      <c r="D114" s="17" t="inlineStr">
        <is>
          <t>PROV-M010-009: Civil Procedure Code s.517 (1)
PROV-M010-011: Civil Procedure Code s.524 (1)
Facts: FACT-M010-Q02-003, FACT-M010-Q02-004, FACT-M010-Q02-005</t>
        </is>
      </c>
      <c r="E114" s="17" t="inlineStr">
        <is>
          <t>[verified, support combined]</t>
        </is>
      </c>
      <c r="F114" s="21" t="n"/>
      <c r="G114" s="21" t="n"/>
      <c r="H114" s="21" t="n"/>
      <c r="I114" s="21" t="n"/>
      <c r="J114" s="21" t="n"/>
      <c r="K114" s="17">
        <f>IF(OR(A114="",B114=""),"",IF(AND(F114&lt;&gt;"",H114&lt;&gt;"",J114&lt;&gt;""),"Complete","Pending"))</f>
        <v/>
      </c>
    </row>
    <row r="115">
      <c r="A115" s="19" t="inlineStr">
        <is>
          <t>M010-Q02</t>
        </is>
      </c>
      <c r="B115" s="19" t="inlineStr">
        <is>
          <t>CL-M010-Q02-012</t>
        </is>
      </c>
      <c r="C115" s="17" t="inlineStr">
        <is>
          <t>[application] Martin's children may use the published notice to object, in which case the application proceeds to a final hearing on framed issues rather than being allowed on the papers.</t>
        </is>
      </c>
      <c r="D115" s="17" t="inlineStr">
        <is>
          <t>PROV-M010-012: Civil Procedure Code s.529 (3)
PROV-M010-014: Civil Procedure Code s.534 (1)(a)
PROV-M010-903: Civil Procedure Code s.532 (1)
Facts: FACT-M010-Q02-005</t>
        </is>
      </c>
      <c r="E115" s="17" t="inlineStr">
        <is>
          <t>[verified, support combined]</t>
        </is>
      </c>
      <c r="F115" s="21" t="n"/>
      <c r="G115" s="21" t="n"/>
      <c r="H115" s="21" t="n"/>
      <c r="I115" s="21" t="n"/>
      <c r="J115" s="21" t="n"/>
      <c r="K115" s="17">
        <f>IF(OR(A115="",B115=""),"",IF(AND(F115&lt;&gt;"",H115&lt;&gt;"",J115&lt;&gt;""),"Complete","Pending"))</f>
        <v/>
      </c>
    </row>
    <row r="116">
      <c r="A116" s="19" t="inlineStr">
        <is>
          <t>M010-Q02</t>
        </is>
      </c>
      <c r="B116" s="19" t="inlineStr">
        <is>
          <t>CL-M010-Q02-013</t>
        </is>
      </c>
      <c r="C116" s="17" t="inlineStr">
        <is>
          <t>[application] On the order declaring the will proved Nihal must take the executor's oath within fifteen days and file within a month of the oath an inventory and valuation covering the house at No. 47/3, the savings account and the debts.</t>
        </is>
      </c>
      <c r="D116" s="17" t="inlineStr">
        <is>
          <t>PROV-M010-013: Civil Procedure Code s.531 (1)(a)
PROV-M010-015: Civil Procedure Code s.539 (1)
Facts: FACT-M010-Q02-004</t>
        </is>
      </c>
      <c r="E116" s="17" t="inlineStr">
        <is>
          <t>[verified, support combined]</t>
        </is>
      </c>
      <c r="F116" s="21" t="n"/>
      <c r="G116" s="21" t="n"/>
      <c r="H116" s="21" t="n"/>
      <c r="I116" s="21" t="n"/>
      <c r="J116" s="21" t="n"/>
      <c r="K116" s="17">
        <f>IF(OR(A116="",B116=""),"",IF(AND(F116&lt;&gt;"",H116&lt;&gt;"",J116&lt;&gt;""),"Complete","Pending"))</f>
        <v/>
      </c>
    </row>
    <row r="117">
      <c r="A117" s="19" t="inlineStr">
        <is>
          <t>M010-Q02</t>
        </is>
      </c>
      <c r="B117" s="19" t="inlineStr">
        <is>
          <t>CL-M010-Q02-014</t>
        </is>
      </c>
      <c r="C117" s="17" t="inlineStr">
        <is>
          <t>[application] Under the grant Nihal must get in the assets, pay the funeral expenses and the hospital bill, transfer the house to Siripala in terms of the will, and file his final account within twelve months of the grant.</t>
        </is>
      </c>
      <c r="D117" s="17" t="inlineStr">
        <is>
          <t>PROV-M010-016: Civil Procedure Code s.542
PROV-M010-017: Civil Procedure Code s.551
PROV-M010-018: Civil Procedure Code s.552
PROV-M010-902: Civil Procedure Code s.545
Facts: FACT-M010-Q02-004, BG-1</t>
        </is>
      </c>
      <c r="E117" s="17" t="inlineStr">
        <is>
          <t>[verified, support combined]</t>
        </is>
      </c>
      <c r="F117" s="21" t="n"/>
      <c r="G117" s="21" t="n"/>
      <c r="H117" s="21" t="n"/>
      <c r="I117" s="21" t="n"/>
      <c r="J117" s="21" t="n"/>
      <c r="K117" s="17">
        <f>IF(OR(A117="",B117=""),"",IF(AND(F117&lt;&gt;"",H117&lt;&gt;"",J117&lt;&gt;""),"Complete","Pending"))</f>
        <v/>
      </c>
    </row>
    <row r="118">
      <c r="A118" s="19" t="inlineStr">
        <is>
          <t>M010-Q02</t>
        </is>
      </c>
      <c r="B118" s="19" t="inlineStr">
        <is>
          <t>CL-M010-Q02-015</t>
        </is>
      </c>
      <c r="C118" s="17" t="inlineStr">
        <is>
          <t>[conclusion] Nihal's required steps are therefore production of the will with an affidavit, a petition within three months for proof of the will and probate, publication and disposal of objections, the executor's oath within fifteen days of the order and the inventory within a month of the oath, then administration of the estate and a final account within twelve months of the grant.</t>
        </is>
      </c>
      <c r="D118" s="17" t="inlineStr">
        <is>
          <t>PROV-M010-008: Civil Procedure Code s.516
PROV-M010-009: Civil Procedure Code s.517 (1)
PROV-M010-011: Civil Procedure Code s.524 (1)
PROV-M010-013: Civil Procedure Code s.531 (1)(a)
PROV-M010-015: Civil Procedure Code s.539 (1)
PROV-M010-017: Civil Procedure Code s.551
Facts: FACT-M010-Q02-001, FACT-M010-Q02-003</t>
        </is>
      </c>
      <c r="E118" s="17" t="inlineStr">
        <is>
          <t>[verified, support combined]</t>
        </is>
      </c>
      <c r="F118" s="21" t="n"/>
      <c r="G118" s="21" t="n"/>
      <c r="H118" s="21" t="n"/>
      <c r="I118" s="21" t="n"/>
      <c r="J118" s="21" t="n"/>
      <c r="K118" s="17">
        <f>IF(OR(A118="",B118=""),"",IF(AND(F118&lt;&gt;"",H118&lt;&gt;"",J118&lt;&gt;""),"Complete","Pending"))</f>
        <v/>
      </c>
    </row>
    <row r="119">
      <c r="A119" s="19" t="inlineStr">
        <is>
          <t>M013-Q01</t>
        </is>
      </c>
      <c r="B119" s="19" t="inlineStr">
        <is>
          <t>CL-M013-Q01-001</t>
        </is>
      </c>
      <c r="C119" s="17" t="inlineStr">
        <is>
          <t>[rule] A purchase or transfer of immovable property is not in force and does not avail in law unless the deed is in writing, signed by every executant or by a person duly authorised by the executant and by the witnesses before a licensed notary all present together, attested by that notary, and bearing the thumb impression of every executant on the original, duplicate and protocol.</t>
        </is>
      </c>
      <c r="D119" s="17" t="inlineStr">
        <is>
          <t>PROV-M013-002: Prevention of Frauds Ordinance s.2 (1)
PROV-M013-003: Prevention of Frauds Ordinance s.2 (1)(a)-(b)</t>
        </is>
      </c>
      <c r="E119" s="17" t="inlineStr">
        <is>
          <t>[verified, support direct]</t>
        </is>
      </c>
      <c r="F119" s="21" t="n"/>
      <c r="G119" s="21" t="n"/>
      <c r="H119" s="21" t="n"/>
      <c r="I119" s="21" t="n"/>
      <c r="J119" s="21" t="n"/>
      <c r="K119" s="17">
        <f>IF(OR(A119="",B119=""),"",IF(AND(F119&lt;&gt;"",H119&lt;&gt;"",J119&lt;&gt;""),"Complete","Pending"))</f>
        <v/>
      </c>
    </row>
    <row r="120">
      <c r="A120" s="19" t="inlineStr">
        <is>
          <t>M013-Q01</t>
        </is>
      </c>
      <c r="B120" s="19" t="inlineStr">
        <is>
          <t>CL-M013-Q01-002</t>
        </is>
      </c>
      <c r="C120" s="17" t="inlineStr">
        <is>
          <t>[rule] Since the Prevention of Frauds (Amendment) Act No. 4 of 2024, section 2(2)(a) requires both the transferor and the transferee of a transfer deed to affix their signatures and thumb impressions as required by section 2(1).</t>
        </is>
      </c>
      <c r="D120" s="17" t="inlineStr">
        <is>
          <t>PROV-M013-001: Prevention of Frauds Ordinance s.2 (2)
PROV-M013-004: Prevention of Frauds (Amendment) Act s.2</t>
        </is>
      </c>
      <c r="E120" s="17" t="inlineStr">
        <is>
          <t>[verified, support direct]</t>
        </is>
      </c>
      <c r="F120" s="21" t="n"/>
      <c r="G120" s="21" t="n"/>
      <c r="H120" s="21" t="n"/>
      <c r="I120" s="21" t="n"/>
      <c r="J120" s="21" t="n"/>
      <c r="K120" s="17">
        <f>IF(OR(A120="",B120=""),"",IF(AND(F120&lt;&gt;"",H120&lt;&gt;"",J120&lt;&gt;""),"Complete","Pending"))</f>
        <v/>
      </c>
    </row>
    <row r="121">
      <c r="A121" s="19" t="inlineStr">
        <is>
          <t>M013-Q01</t>
        </is>
      </c>
      <c r="B121" s="19" t="inlineStr">
        <is>
          <t>CL-M013-Q01-003</t>
        </is>
      </c>
      <c r="C121" s="17" t="inlineStr">
        <is>
          <t>[rule] Where the transferee is unable to be present and execute the deed, she must authorise another person in writing to sign on her behalf, and that person must comply with the requirements of section 2(1).</t>
        </is>
      </c>
      <c r="D121" s="17" t="inlineStr">
        <is>
          <t>PROV-M013-001: Prevention of Frauds Ordinance s.2 (2)
PROV-M013-003: Prevention of Frauds Ordinance s.2 (1)(a)-(b)</t>
        </is>
      </c>
      <c r="E121" s="17" t="inlineStr">
        <is>
          <t>[verified, support direct]</t>
        </is>
      </c>
      <c r="F121" s="21" t="n"/>
      <c r="G121" s="21" t="n"/>
      <c r="H121" s="21" t="n"/>
      <c r="I121" s="21" t="n"/>
      <c r="J121" s="21" t="n"/>
      <c r="K121" s="17">
        <f>IF(OR(A121="",B121=""),"",IF(AND(F121&lt;&gt;"",H121&lt;&gt;"",J121&lt;&gt;""),"Complete","Pending"))</f>
        <v/>
      </c>
    </row>
    <row r="122">
      <c r="A122" s="19" t="inlineStr">
        <is>
          <t>M013-Q01</t>
        </is>
      </c>
      <c r="B122" s="19" t="inlineStr">
        <is>
          <t>CL-M013-Q01-004</t>
        </is>
      </c>
      <c r="C122" s="17" t="inlineStr">
        <is>
          <t>[rule] A power of attorney granted for a transaction within section 2 of the Prevention of Frauds Ordinance must be executed subject to section 3A(2) or (3) of the Powers of Attorney Ordinance, according to whether it is executed in or outside Sri Lanka.</t>
        </is>
      </c>
      <c r="D122" s="17" t="inlineStr">
        <is>
          <t>PROV-M013-007: Powers of Attorney Ordinance s.3A (1)</t>
        </is>
      </c>
      <c r="E122" s="17" t="inlineStr">
        <is>
          <t>[verified, support direct]</t>
        </is>
      </c>
      <c r="F122" s="21" t="n"/>
      <c r="G122" s="21" t="n"/>
      <c r="H122" s="21" t="n"/>
      <c r="I122" s="21" t="n"/>
      <c r="J122" s="21" t="n"/>
      <c r="K122" s="17">
        <f>IF(OR(A122="",B122=""),"",IF(AND(F122&lt;&gt;"",H122&lt;&gt;"",J122&lt;&gt;""),"Complete","Pending"))</f>
        <v/>
      </c>
    </row>
    <row r="123">
      <c r="A123" s="19" t="inlineStr">
        <is>
          <t>M013-Q01</t>
        </is>
      </c>
      <c r="B123" s="19" t="inlineStr">
        <is>
          <t>CL-M013-Q01-005</t>
        </is>
      </c>
      <c r="C123" s="17" t="inlineStr">
        <is>
          <t>[rule] A power of attorney executed outside Sri Lanka must be executed before an Ambassador, High Commissioner, Diplomatic Officer or Consular Officer, or a person authorised to attest it under the law of that country.</t>
        </is>
      </c>
      <c r="D123" s="17" t="inlineStr">
        <is>
          <t>PROV-M013-006: Powers of Attorney Ordinance s.2 definition of "power of attorney"</t>
        </is>
      </c>
      <c r="E123" s="17" t="inlineStr">
        <is>
          <t>[verified, support direct]</t>
        </is>
      </c>
      <c r="F123" s="21" t="n"/>
      <c r="G123" s="21" t="n"/>
      <c r="H123" s="21" t="n"/>
      <c r="I123" s="21" t="n"/>
      <c r="J123" s="21" t="n"/>
      <c r="K123" s="17">
        <f>IF(OR(A123="",B123=""),"",IF(AND(F123&lt;&gt;"",H123&lt;&gt;"",J123&lt;&gt;""),"Complete","Pending"))</f>
        <v/>
      </c>
    </row>
    <row r="124">
      <c r="A124" s="19" t="inlineStr">
        <is>
          <t>M013-Q01</t>
        </is>
      </c>
      <c r="B124" s="19" t="inlineStr">
        <is>
          <t>CL-M013-Q01-006</t>
        </is>
      </c>
      <c r="C124" s="17" t="inlineStr">
        <is>
          <t>[rule] Such a power of attorney executed outside Sri Lanka must describe the land by metes and bounds and extent, refer to the volume and folio of any prior registration, and be accompanied by the grantor's signed passport bio page and notarially certified identity documents of the attorney.</t>
        </is>
      </c>
      <c r="D124" s="17" t="inlineStr">
        <is>
          <t>PROV-M013-008: Powers of Attorney Ordinance s.3A (3)
PROV-M013-009: Powers of Attorney Ordinance s.3A (3)(d)-(e)</t>
        </is>
      </c>
      <c r="E124" s="17" t="inlineStr">
        <is>
          <t>[verified, support direct]</t>
        </is>
      </c>
      <c r="F124" s="21" t="n"/>
      <c r="G124" s="21" t="n"/>
      <c r="H124" s="21" t="n"/>
      <c r="I124" s="21" t="n"/>
      <c r="J124" s="21" t="n"/>
      <c r="K124" s="17">
        <f>IF(OR(A124="",B124=""),"",IF(AND(F124&lt;&gt;"",H124&lt;&gt;"",J124&lt;&gt;""),"Complete","Pending"))</f>
        <v/>
      </c>
    </row>
    <row r="125">
      <c r="A125" s="19" t="inlineStr">
        <is>
          <t>M013-Q01</t>
        </is>
      </c>
      <c r="B125" s="19" t="inlineStr">
        <is>
          <t>CL-M013-Q01-007</t>
        </is>
      </c>
      <c r="C125" s="17" t="inlineStr">
        <is>
          <t>[rule] Every power of attorney must be registered with the Registrar-General, and one executed outside Sri Lanka must be submitted for registration within three months of execution with a notarially certified copy and the affidavit in Schedule I.</t>
        </is>
      </c>
      <c r="D125" s="17" t="inlineStr">
        <is>
          <t>PROV-M013-010: Powers of Attorney Ordinance s.3 (1)</t>
        </is>
      </c>
      <c r="E125" s="17" t="inlineStr">
        <is>
          <t>[verified, support direct]</t>
        </is>
      </c>
      <c r="F125" s="21" t="n"/>
      <c r="G125" s="21" t="n"/>
      <c r="H125" s="21" t="n"/>
      <c r="I125" s="21" t="n"/>
      <c r="J125" s="21" t="n"/>
      <c r="K125" s="17">
        <f>IF(OR(A125="",B125=""),"",IF(AND(F125&lt;&gt;"",H125&lt;&gt;"",J125&lt;&gt;""),"Complete","Pending"))</f>
        <v/>
      </c>
    </row>
    <row r="126">
      <c r="A126" s="19" t="inlineStr">
        <is>
          <t>M013-Q01</t>
        </is>
      </c>
      <c r="B126" s="19" t="inlineStr">
        <is>
          <t>CL-M013-Q01-008</t>
        </is>
      </c>
      <c r="C126" s="17" t="inlineStr">
        <is>
          <t>[rule] The notary attesting the deed must examine the relevant volumes and folios at the Registrar-General's department, satisfy himself that the power of attorney has not been revoked or cancelled, and state that in his attestation.</t>
        </is>
      </c>
      <c r="D126" s="17" t="inlineStr">
        <is>
          <t>PROV-M013-012: Powers of Attorney Ordinance s.3B (1)</t>
        </is>
      </c>
      <c r="E126" s="17" t="inlineStr">
        <is>
          <t>[verified, support direct]</t>
        </is>
      </c>
      <c r="F126" s="21" t="n"/>
      <c r="G126" s="21" t="n"/>
      <c r="H126" s="21" t="n"/>
      <c r="I126" s="21" t="n"/>
      <c r="J126" s="21" t="n"/>
      <c r="K126" s="17">
        <f>IF(OR(A126="",B126=""),"",IF(AND(F126&lt;&gt;"",H126&lt;&gt;"",J126&lt;&gt;""),"Complete","Pending"))</f>
        <v/>
      </c>
    </row>
    <row r="127">
      <c r="A127" s="19" t="inlineStr">
        <is>
          <t>M013-Q01</t>
        </is>
      </c>
      <c r="B127" s="19" t="inlineStr">
        <is>
          <t>CL-M013-Q01-009</t>
        </is>
      </c>
      <c r="C127" s="17" t="inlineStr">
        <is>
          <t>[rule] An attorney signing a deed must give the notary an affidavit that the power of attorney is genuine and in force and that the grantor is alive at execution, and the notary must keep a true copy of the power with his protocol and forward a copy with the duplicate to the Registrar of Lands.</t>
        </is>
      </c>
      <c r="D127" s="17" t="inlineStr">
        <is>
          <t>PROV-M013-013: Notaries Ordinance s.31 rule (16)(c)
PROV-M013-014: Notaries Ordinance s.31 rule (30)</t>
        </is>
      </c>
      <c r="E127" s="17" t="inlineStr">
        <is>
          <t>[verified, support direct]</t>
        </is>
      </c>
      <c r="F127" s="21" t="n"/>
      <c r="G127" s="21" t="n"/>
      <c r="H127" s="21" t="n"/>
      <c r="I127" s="21" t="n"/>
      <c r="J127" s="21" t="n"/>
      <c r="K127" s="17">
        <f>IF(OR(A127="",B127=""),"",IF(AND(F127&lt;&gt;"",H127&lt;&gt;"",J127&lt;&gt;""),"Complete","Pending"))</f>
        <v/>
      </c>
    </row>
    <row r="128">
      <c r="A128" s="19" t="inlineStr">
        <is>
          <t>M013-Q01</t>
        </is>
      </c>
      <c r="B128" s="19" t="inlineStr">
        <is>
          <t>CL-M013-Q01-010</t>
        </is>
      </c>
      <c r="C128" s="17" t="inlineStr">
        <is>
          <t>[rule] A power of attorney is valid for only five years from execution unless it states its own period or is earlier revoked or cancelled.</t>
        </is>
      </c>
      <c r="D128" s="17" t="inlineStr">
        <is>
          <t>PROV-M013-011: Powers of Attorney Ordinance s.3C</t>
        </is>
      </c>
      <c r="E128" s="17" t="inlineStr">
        <is>
          <t>[verified, support direct]</t>
        </is>
      </c>
      <c r="F128" s="21" t="n"/>
      <c r="G128" s="21" t="n"/>
      <c r="H128" s="21" t="n"/>
      <c r="I128" s="21" t="n"/>
      <c r="J128" s="21" t="n"/>
      <c r="K128" s="17">
        <f>IF(OR(A128="",B128=""),"",IF(AND(F128&lt;&gt;"",H128&lt;&gt;"",J128&lt;&gt;""),"Complete","Pending"))</f>
        <v/>
      </c>
    </row>
    <row r="129">
      <c r="A129" s="19" t="inlineStr">
        <is>
          <t>M013-Q01</t>
        </is>
      </c>
      <c r="B129" s="19" t="inlineStr">
        <is>
          <t>CL-M013-Q01-011</t>
        </is>
      </c>
      <c r="C129" s="17" t="inlineStr">
        <is>
          <t>[application] Wimala's purchase of the Galle land is a purchase and transfer of immovable property within section 2(1), so the section 2 formalities govern her deed.</t>
        </is>
      </c>
      <c r="D129" s="17" t="inlineStr">
        <is>
          <t>PROV-M013-002: Prevention of Frauds Ordinance s.2 (1)
Facts: BG-1, FACT-M013-Q01-002</t>
        </is>
      </c>
      <c r="E129" s="17" t="inlineStr">
        <is>
          <t>[verified, support direct]</t>
        </is>
      </c>
      <c r="F129" s="21" t="n"/>
      <c r="G129" s="21" t="n"/>
      <c r="H129" s="21" t="n"/>
      <c r="I129" s="21" t="n"/>
      <c r="J129" s="21" t="n"/>
      <c r="K129" s="17">
        <f>IF(OR(A129="",B129=""),"",IF(AND(F129&lt;&gt;"",H129&lt;&gt;"",J129&lt;&gt;""),"Complete","Pending"))</f>
        <v/>
      </c>
    </row>
    <row r="130">
      <c r="A130" s="19" t="inlineStr">
        <is>
          <t>M013-Q01</t>
        </is>
      </c>
      <c r="B130" s="19" t="inlineStr">
        <is>
          <t>CL-M013-Q01-012</t>
        </is>
      </c>
      <c r="C130" s="17" t="inlineStr">
        <is>
          <t>[application] As transferee Wimala is now required to sign and place her thumb impression on the deed, and because her employment prevents her from travelling before March 2026 she is a transferee unable to be present within the proviso to section 2(2)(a).</t>
        </is>
      </c>
      <c r="D130" s="17" t="inlineStr">
        <is>
          <t>PROV-M013-001: Prevention of Frauds Ordinance s.2 (2)
Facts: BG-2, FACT-M013-Q01-005</t>
        </is>
      </c>
      <c r="E130" s="17" t="inlineStr">
        <is>
          <t>[verified, support combined]</t>
        </is>
      </c>
      <c r="F130" s="21" t="n"/>
      <c r="G130" s="21" t="n"/>
      <c r="H130" s="21" t="n"/>
      <c r="I130" s="21" t="n"/>
      <c r="J130" s="21" t="n"/>
      <c r="K130" s="17">
        <f>IF(OR(A130="",B130=""),"",IF(AND(F130&lt;&gt;"",H130&lt;&gt;"",J130&lt;&gt;""),"Complete","Pending"))</f>
        <v/>
      </c>
    </row>
    <row r="131">
      <c r="A131" s="19" t="inlineStr">
        <is>
          <t>M013-Q01</t>
        </is>
      </c>
      <c r="B131" s="19" t="inlineStr">
        <is>
          <t>CL-M013-Q01-013</t>
        </is>
      </c>
      <c r="C131" s="17" t="inlineStr">
        <is>
          <t>[application] Wimala must therefore authorise her brother Sunil in writing to sign the deed for her, and it is Sunil who must sign, give his thumb impression and appear before the notary and the two witnesses.</t>
        </is>
      </c>
      <c r="D131" s="17" t="inlineStr">
        <is>
          <t>PROV-M013-001: Prevention of Frauds Ordinance s.2 (2)
PROV-M013-003: Prevention of Frauds Ordinance s.2 (1)(a)-(b)
PROV-M013-901: Notaries Ordinance s.31 rule (8)
Facts: FACT-M013-Q01-003</t>
        </is>
      </c>
      <c r="E131" s="17" t="inlineStr">
        <is>
          <t>[verified, support combined]</t>
        </is>
      </c>
      <c r="F131" s="21" t="n"/>
      <c r="G131" s="21" t="n"/>
      <c r="H131" s="21" t="n"/>
      <c r="I131" s="21" t="n"/>
      <c r="J131" s="21" t="n"/>
      <c r="K131" s="17">
        <f>IF(OR(A131="",B131=""),"",IF(AND(F131&lt;&gt;"",H131&lt;&gt;"",J131&lt;&gt;""),"Complete","Pending"))</f>
        <v/>
      </c>
    </row>
    <row r="132">
      <c r="A132" s="19" t="inlineStr">
        <is>
          <t>M013-Q01</t>
        </is>
      </c>
      <c r="B132" s="19" t="inlineStr">
        <is>
          <t>CL-M013-Q01-014</t>
        </is>
      </c>
      <c r="C132" s="17" t="inlineStr">
        <is>
          <t>[application] Signing the instrument at the Sri Lanka High Commission in Canberra before a consular officer satisfies the requirement of execution before an authorised person for a power of attorney executed outside Sri Lanka.</t>
        </is>
      </c>
      <c r="D132" s="17" t="inlineStr">
        <is>
          <t>PROV-M013-006: Powers of Attorney Ordinance s.2 definition of "power of attorney"
PROV-M013-008: Powers of Attorney Ordinance s.3A (3)
Facts: FACT-M013-Q01-004</t>
        </is>
      </c>
      <c r="E132" s="17" t="inlineStr">
        <is>
          <t>[verified, support combined]</t>
        </is>
      </c>
      <c r="F132" s="21" t="n"/>
      <c r="G132" s="21" t="n"/>
      <c r="H132" s="21" t="n"/>
      <c r="I132" s="21" t="n"/>
      <c r="J132" s="21" t="n"/>
      <c r="K132" s="17">
        <f>IF(OR(A132="",B132=""),"",IF(AND(F132&lt;&gt;"",H132&lt;&gt;"",J132&lt;&gt;""),"Complete","Pending"))</f>
        <v/>
      </c>
    </row>
    <row r="133">
      <c r="A133" s="19" t="inlineStr">
        <is>
          <t>M013-Q01</t>
        </is>
      </c>
      <c r="B133" s="19" t="inlineStr">
        <is>
          <t>CL-M013-Q01-015</t>
        </is>
      </c>
      <c r="C133" s="17" t="inlineStr">
        <is>
          <t>[application] The instrument must set out Kahatagahawatta by its four boundaries and its extent of eighteen decimal five perches and refer to Volume 214 Folio 85 of the Galle Land Registry, and be accompanied by Wimala's signed passport bio page and a certified copy of Sunil's identity document.</t>
        </is>
      </c>
      <c r="D133" s="17" t="inlineStr">
        <is>
          <t>PROV-M013-008: Powers of Attorney Ordinance s.3A (3)
PROV-M013-009: Powers of Attorney Ordinance s.3A (3)(d)-(e)
Facts: FACT-M013-Q01-002, FACT-M013-Q01-003</t>
        </is>
      </c>
      <c r="E133" s="17" t="inlineStr">
        <is>
          <t>[verified, support combined]</t>
        </is>
      </c>
      <c r="F133" s="21" t="n"/>
      <c r="G133" s="21" t="n"/>
      <c r="H133" s="21" t="n"/>
      <c r="I133" s="21" t="n"/>
      <c r="J133" s="21" t="n"/>
      <c r="K133" s="17">
        <f>IF(OR(A133="",B133=""),"",IF(AND(F133&lt;&gt;"",H133&lt;&gt;"",J133&lt;&gt;""),"Complete","Pending"))</f>
        <v/>
      </c>
    </row>
    <row r="134">
      <c r="A134" s="19" t="inlineStr">
        <is>
          <t>M013-Q01</t>
        </is>
      </c>
      <c r="B134" s="19" t="inlineStr">
        <is>
          <t>CL-M013-Q01-016</t>
        </is>
      </c>
      <c r="C134" s="17" t="inlineStr">
        <is>
          <t>[application] Executed on 12 November 2025, the instrument must be lodged with the Registrar-General by 12 February 2026, and in practice before the deed is executed in the first week of December 2025 so that the notary can examine the volumes and folios and certify that it is unrevoked; it remains within the five-year validity period at that date.</t>
        </is>
      </c>
      <c r="D134" s="17" t="inlineStr">
        <is>
          <t>PROV-M013-010: Powers of Attorney Ordinance s.3 (1)
PROV-M013-011: Powers of Attorney Ordinance s.3C
PROV-M013-012: Powers of Attorney Ordinance s.3B (1)
Facts: FACT-M013-Q01-004, FACT-M013-Q01-005</t>
        </is>
      </c>
      <c r="E134" s="17" t="inlineStr">
        <is>
          <t>[verified, support combined]</t>
        </is>
      </c>
      <c r="F134" s="21" t="n"/>
      <c r="G134" s="21" t="n"/>
      <c r="H134" s="21" t="n"/>
      <c r="I134" s="21" t="n"/>
      <c r="J134" s="21" t="n"/>
      <c r="K134" s="17">
        <f>IF(OR(A134="",B134=""),"",IF(AND(F134&lt;&gt;"",H134&lt;&gt;"",J134&lt;&gt;""),"Complete","Pending"))</f>
        <v/>
      </c>
    </row>
    <row r="135">
      <c r="A135" s="19" t="inlineStr">
        <is>
          <t>M013-Q01</t>
        </is>
      </c>
      <c r="B135" s="19" t="inlineStr">
        <is>
          <t>CL-M013-Q01-017</t>
        </is>
      </c>
      <c r="C135" s="17" t="inlineStr">
        <is>
          <t>[application] Wimala being a citizen of Sri Lanka, the prohibition on transfers of land to a foreigner does not apply to this purchase.</t>
        </is>
      </c>
      <c r="D135" s="17" t="inlineStr">
        <is>
          <t>PROV-M013-015: Land (Restrictions on Alienation) Act s.2 (1)
Facts: FACT-M013-Q01-001</t>
        </is>
      </c>
      <c r="E135" s="17" t="inlineStr">
        <is>
          <t>[verified, support direct]</t>
        </is>
      </c>
      <c r="F135" s="21" t="n"/>
      <c r="G135" s="21" t="n"/>
      <c r="H135" s="21" t="n"/>
      <c r="I135" s="21" t="n"/>
      <c r="J135" s="21" t="n"/>
      <c r="K135" s="17">
        <f>IF(OR(A135="",B135=""),"",IF(AND(F135&lt;&gt;"",H135&lt;&gt;"",J135&lt;&gt;""),"Complete","Pending"))</f>
        <v/>
      </c>
    </row>
    <row r="136">
      <c r="A136" s="19" t="inlineStr">
        <is>
          <t>M013-Q01</t>
        </is>
      </c>
      <c r="B136" s="19" t="inlineStr">
        <is>
          <t>CL-M013-Q01-018</t>
        </is>
      </c>
      <c r="C136" s="17" t="inlineStr">
        <is>
          <t>[conclusion] A deed of transfer signed by Sunil under a power of attorney executed and registered as described, with the affidavit given to the notary, is in force and avails in law under section 2 of the Prevention of Frauds Ordinance as amended by Act No. 4 of 2024.</t>
        </is>
      </c>
      <c r="D136" s="17" t="inlineStr">
        <is>
          <t>PROV-M013-001: Prevention of Frauds Ordinance s.2 (2)
PROV-M013-003: Prevention of Frauds Ordinance s.2 (1)(a)-(b)
PROV-M013-008: Powers of Attorney Ordinance s.3A (3)
PROV-M013-010: Powers of Attorney Ordinance s.3 (1)
PROV-M013-013: Notaries Ordinance s.31 rule (16)(c)
Facts: FACT-M013-Q01-003, FACT-M013-Q01-004</t>
        </is>
      </c>
      <c r="E136" s="17" t="inlineStr">
        <is>
          <t>[verified, support combined]</t>
        </is>
      </c>
      <c r="F136" s="21" t="n"/>
      <c r="G136" s="21" t="n"/>
      <c r="H136" s="21" t="n"/>
      <c r="I136" s="21" t="n"/>
      <c r="J136" s="21" t="n"/>
      <c r="K136" s="17">
        <f>IF(OR(A136="",B136=""),"",IF(AND(F136&lt;&gt;"",H136&lt;&gt;"",J136&lt;&gt;""),"Complete","Pending"))</f>
        <v/>
      </c>
    </row>
    <row r="137">
      <c r="A137" s="19" t="inlineStr">
        <is>
          <t>M013-Q01</t>
        </is>
      </c>
      <c r="B137" s="19" t="inlineStr">
        <is>
          <t>CL-M013-Q01-019</t>
        </is>
      </c>
      <c r="C137" s="17" t="inlineStr">
        <is>
          <t>[conclusion] If Wimala neither attends nor authorises anyone in writing and the vendor alone signs, the deed will not satisfy section 2(2)(a) and will not avail in law.</t>
        </is>
      </c>
      <c r="D137" s="17" t="inlineStr">
        <is>
          <t>PROV-M013-001: Prevention of Frauds Ordinance s.2 (2)
PROV-M013-002: Prevention of Frauds Ordinance s.2 (1)
Facts: BG-2</t>
        </is>
      </c>
      <c r="E137" s="17" t="inlineStr">
        <is>
          <t>[verified, support combined]</t>
        </is>
      </c>
      <c r="F137" s="21" t="n"/>
      <c r="G137" s="21" t="n"/>
      <c r="H137" s="21" t="n"/>
      <c r="I137" s="21" t="n"/>
      <c r="J137" s="21" t="n"/>
      <c r="K137" s="17">
        <f>IF(OR(A137="",B137=""),"",IF(AND(F137&lt;&gt;"",H137&lt;&gt;"",J137&lt;&gt;""),"Complete","Pending"))</f>
        <v/>
      </c>
    </row>
    <row r="138">
      <c r="A138" s="19" t="inlineStr">
        <is>
          <t>M015-Q01</t>
        </is>
      </c>
      <c r="B138" s="19" t="inlineStr">
        <is>
          <t>CL-M015-Q01-001</t>
        </is>
      </c>
      <c r="C138" s="17" t="inlineStr">
        <is>
          <t>[rule] Under section 32(1)(a) of the Registration of Documents Ordinance as substituted by section 2(1) of Act No. 32 of 2022, a person who has, or claims to have, a right, title or interest to a land, undivided land, land parcel or condominium parcel may present a caveat for registration in Form VIII of the Second Schedule.</t>
        </is>
      </c>
      <c r="D138" s="17" t="inlineStr">
        <is>
          <t>PROV-M015-002: Registration of Documents (Amendment) Act No. 32 of 2022 s.2 (1) inserting section 32(1)(a) of the principal enactment</t>
        </is>
      </c>
      <c r="E138" s="17" t="inlineStr">
        <is>
          <t>[verified, support direct]</t>
        </is>
      </c>
      <c r="F138" s="21" t="n"/>
      <c r="G138" s="21" t="n"/>
      <c r="H138" s="21" t="n"/>
      <c r="I138" s="21" t="n"/>
      <c r="J138" s="21" t="n"/>
      <c r="K138" s="17">
        <f>IF(OR(A138="",B138=""),"",IF(AND(F138&lt;&gt;"",H138&lt;&gt;"",J138&lt;&gt;""),"Complete","Pending"))</f>
        <v/>
      </c>
    </row>
    <row r="139">
      <c r="A139" s="19" t="inlineStr">
        <is>
          <t>M015-Q01</t>
        </is>
      </c>
      <c r="B139" s="19" t="inlineStr">
        <is>
          <t>CL-M015-Q01-002</t>
        </is>
      </c>
      <c r="C139" s="17" t="inlineStr">
        <is>
          <t>[rule] Before that substitution section 32(1) permitted any person to present a caveat, so the amendment narrowed standing to persons with, or claiming, a right, title or interest.</t>
        </is>
      </c>
      <c r="D139" s="17" t="inlineStr">
        <is>
          <t>PROV-M015-001: Registration of Documents Ordinance No. 23 of 1927 s.32 (1) (as originally enacted)
PROV-M015-002: Registration of Documents (Amendment) Act No. 32 of 2022 s.2 (1) inserting section 32(1)(a) of the principal enactment</t>
        </is>
      </c>
      <c r="E139" s="17" t="inlineStr">
        <is>
          <t>[verified, support combined]</t>
        </is>
      </c>
      <c r="F139" s="21" t="n"/>
      <c r="G139" s="21" t="n"/>
      <c r="H139" s="21" t="n"/>
      <c r="I139" s="21" t="n"/>
      <c r="J139" s="21" t="n"/>
      <c r="K139" s="17">
        <f>IF(OR(A139="",B139=""),"",IF(AND(F139&lt;&gt;"",H139&lt;&gt;"",J139&lt;&gt;""),"Complete","Pending"))</f>
        <v/>
      </c>
    </row>
    <row r="140">
      <c r="A140" s="19" t="inlineStr">
        <is>
          <t>M015-Q01</t>
        </is>
      </c>
      <c r="B140" s="19" t="inlineStr">
        <is>
          <t>CL-M015-Q01-003</t>
        </is>
      </c>
      <c r="C140" s="17" t="inlineStr">
        <is>
          <t>[rule] Section 32(1)(c)(i) extends the term caveator to a body of persons, a beneficiary under a trust affecting land, the lawful guardian or next friend of a minor or of a person of unsound mind or mentally deficient person, an attorney of a person, a judgement creditor, an executor or administrator of a deceased's estate, a legal heir, and an intended purchaser who has entered into an agreement with the owner or a developer.</t>
        </is>
      </c>
      <c r="D140" s="17" t="inlineStr">
        <is>
          <t>PROV-M015-003: Registration of Documents (Amendment) Act No. 32 of 2022 s.2 (1) inserting section 32(1)(c)(i) of the principal enactment</t>
        </is>
      </c>
      <c r="E140" s="17" t="inlineStr">
        <is>
          <t>[verified, support direct]</t>
        </is>
      </c>
      <c r="F140" s="21" t="n"/>
      <c r="G140" s="21" t="n"/>
      <c r="H140" s="21" t="n"/>
      <c r="I140" s="21" t="n"/>
      <c r="J140" s="21" t="n"/>
      <c r="K140" s="17">
        <f>IF(OR(A140="",B140=""),"",IF(AND(F140&lt;&gt;"",H140&lt;&gt;"",J140&lt;&gt;""),"Complete","Pending"))</f>
        <v/>
      </c>
    </row>
    <row r="141">
      <c r="A141" s="19" t="inlineStr">
        <is>
          <t>M015-Q01</t>
        </is>
      </c>
      <c r="B141" s="19" t="inlineStr">
        <is>
          <t>CL-M015-Q01-004</t>
        </is>
      </c>
      <c r="C141" s="17" t="inlineStr">
        <is>
          <t>[rule] Section 32(1)(c)(iii) extends the term interest to interests under an unregistered deed incapable of immediate registration, a trust, testate or intestate inheritance, mortgage or agreement-to-sell instruments, co-ownership, condominium ownership and the estate of a minor or person of unsound mind.</t>
        </is>
      </c>
      <c r="D141" s="17" t="inlineStr">
        <is>
          <t>PROV-M015-006: Registration of Documents (Amendment) Act No. 32 of 2022 s.2 (1) inserting section 32(1)(c)(iii) of the principal enactment</t>
        </is>
      </c>
      <c r="E141" s="17" t="inlineStr">
        <is>
          <t>[verified, support direct]</t>
        </is>
      </c>
      <c r="F141" s="21" t="n"/>
      <c r="G141" s="21" t="n"/>
      <c r="H141" s="21" t="n"/>
      <c r="I141" s="21" t="n"/>
      <c r="J141" s="21" t="n"/>
      <c r="K141" s="17">
        <f>IF(OR(A141="",B141=""),"",IF(AND(F141&lt;&gt;"",H141&lt;&gt;"",J141&lt;&gt;""),"Complete","Pending"))</f>
        <v/>
      </c>
    </row>
    <row r="142">
      <c r="A142" s="19" t="inlineStr">
        <is>
          <t>M015-Q01</t>
        </is>
      </c>
      <c r="B142" s="19" t="inlineStr">
        <is>
          <t>CL-M015-Q01-005</t>
        </is>
      </c>
      <c r="C142" s="17" t="inlineStr">
        <is>
          <t>[rule] A caveat must be lodged in duplicate with an affidavit of the caveator and a certificate of an Attorney-at-law substantiating the right, title or interest claimed.</t>
        </is>
      </c>
      <c r="D142" s="17" t="inlineStr">
        <is>
          <t>PROV-M015-004: Registration of Documents (Amendment) Act No. 32 of 2022 s.2 (1) inserting section 32(1)(b)(i) of the principal enactment</t>
        </is>
      </c>
      <c r="E142" s="17" t="inlineStr">
        <is>
          <t>[verified, support direct]</t>
        </is>
      </c>
      <c r="F142" s="21" t="n"/>
      <c r="G142" s="21" t="n"/>
      <c r="H142" s="21" t="n"/>
      <c r="I142" s="21" t="n"/>
      <c r="J142" s="21" t="n"/>
      <c r="K142" s="17">
        <f>IF(OR(A142="",B142=""),"",IF(AND(F142&lt;&gt;"",H142&lt;&gt;"",J142&lt;&gt;""),"Complete","Pending"))</f>
        <v/>
      </c>
    </row>
    <row r="143">
      <c r="A143" s="19" t="inlineStr">
        <is>
          <t>M015-Q01</t>
        </is>
      </c>
      <c r="B143" s="19" t="inlineStr">
        <is>
          <t>CL-M015-Q01-006</t>
        </is>
      </c>
      <c r="C143" s="17" t="inlineStr">
        <is>
          <t>[rule] The caveat must contain the caveator's name, signature, identity card, passport or driving licence number and an address of the caveator in Sri Lanka at which notices relating to the caveat are to be served, together with the interest claimed, the grounds and the description of the land.</t>
        </is>
      </c>
      <c r="D143" s="17" t="inlineStr">
        <is>
          <t>PROV-M015-005: Registration of Documents (Amendment) Act No. 32 of 2022 s.2 (1) inserting section 32(1)(b)(iv) of the principal enactment</t>
        </is>
      </c>
      <c r="E143" s="17" t="inlineStr">
        <is>
          <t>[verified, support direct]</t>
        </is>
      </c>
      <c r="F143" s="21" t="n"/>
      <c r="G143" s="21" t="n"/>
      <c r="H143" s="21" t="n"/>
      <c r="I143" s="21" t="n"/>
      <c r="J143" s="21" t="n"/>
      <c r="K143" s="17">
        <f>IF(OR(A143="",B143=""),"",IF(AND(F143&lt;&gt;"",H143&lt;&gt;"",J143&lt;&gt;""),"Complete","Pending"))</f>
        <v/>
      </c>
    </row>
    <row r="144">
      <c r="A144" s="19" t="inlineStr">
        <is>
          <t>M015-Q01</t>
        </is>
      </c>
      <c r="B144" s="19" t="inlineStr">
        <is>
          <t>CL-M015-Q01-007</t>
        </is>
      </c>
      <c r="C144" s="17" t="inlineStr">
        <is>
          <t>[rule] Where the caveator is the holder of a power of attorney, a certified copy of the power of attorney duly registered with the Registrar-General or the relevant Registrar must accompany the caveat, and every power of attorney must be registered with the Registrar-General.</t>
        </is>
      </c>
      <c r="D144" s="17" t="inlineStr">
        <is>
          <t>PROV-M015-007: Registration of Documents (Amendment) Act No. 32 of 2022 s.2 (1) inserting section 32(1)(b)(iii) of the principal enactment
PROV-M015-013: Powers of Attorney Ordinance No. 4 of 1902 s.3 (a)</t>
        </is>
      </c>
      <c r="E144" s="17" t="inlineStr">
        <is>
          <t>[verified, support combined]</t>
        </is>
      </c>
      <c r="F144" s="21" t="n"/>
      <c r="G144" s="21" t="n"/>
      <c r="H144" s="21" t="n"/>
      <c r="I144" s="21" t="n"/>
      <c r="J144" s="21" t="n"/>
      <c r="K144" s="17">
        <f>IF(OR(A144="",B144=""),"",IF(AND(F144&lt;&gt;"",H144&lt;&gt;"",J144&lt;&gt;""),"Complete","Pending"))</f>
        <v/>
      </c>
    </row>
    <row r="145">
      <c r="A145" s="19" t="inlineStr">
        <is>
          <t>M015-Q01</t>
        </is>
      </c>
      <c r="B145" s="19" t="inlineStr">
        <is>
          <t>CL-M015-Q01-008</t>
        </is>
      </c>
      <c r="C145" s="17" t="inlineStr">
        <is>
          <t>[rule] A caveat is in force for a maximum period of two years, the Registrar must register and retain a caveat received, and a caveator served with notice of a competing instrument must commence action in a competent court within sixty days of the posting of that notice.</t>
        </is>
      </c>
      <c r="D145" s="17" t="inlineStr">
        <is>
          <t>PROV-M015-008: Registration of Documents (Amendment) Act No. 32 of 2022 s.2 (3) substituting section 32(3) of the principal enactment
PROV-M015-009: Registration of Documents Ordinance No. 23 of 1927 s.32 (2)
PROV-M015-010: Registration of Documents (Amendment) Act No. 32 of 2022 s.2 (5) substituting words in section 32(5) of the principal enactment
PROV-M015-903: Registration of Documents Ordinance No. 23 of 1927 s.32 (5)</t>
        </is>
      </c>
      <c r="E145" s="17" t="inlineStr">
        <is>
          <t>[verified, support combined]</t>
        </is>
      </c>
      <c r="F145" s="21" t="n"/>
      <c r="G145" s="21" t="n"/>
      <c r="H145" s="21" t="n"/>
      <c r="I145" s="21" t="n"/>
      <c r="J145" s="21" t="n"/>
      <c r="K145" s="17">
        <f>IF(OR(A145="",B145=""),"",IF(AND(F145&lt;&gt;"",H145&lt;&gt;"",J145&lt;&gt;""),"Complete","Pending"))</f>
        <v/>
      </c>
    </row>
    <row r="146">
      <c r="A146" s="19" t="inlineStr">
        <is>
          <t>M015-Q01</t>
        </is>
      </c>
      <c r="B146" s="19" t="inlineStr">
        <is>
          <t>CL-M015-Q01-009</t>
        </is>
      </c>
      <c r="C146" s="17" t="inlineStr">
        <is>
          <t>[application] Romani holds title to the Battaramulla allotment under a registered deed of transfer, so she has a right, title and interest to land and meets the standing test in section 32(1)(a); the allotment and the house on it are land under section 3 of the Ordinance.</t>
        </is>
      </c>
      <c r="D146" s="17" t="inlineStr">
        <is>
          <t>PROV-M015-002: Registration of Documents (Amendment) Act No. 32 of 2022 s.2 (1) inserting section 32(1)(a) of the principal enactment
PROV-M015-011: Registration of Documents Ordinance No. 23 of 1927 s.3
Facts: FACT-M015-Q01-001, BG-1</t>
        </is>
      </c>
      <c r="E146" s="17" t="inlineStr">
        <is>
          <t>[verified, support combined]</t>
        </is>
      </c>
      <c r="F146" s="21" t="n"/>
      <c r="G146" s="21" t="n"/>
      <c r="H146" s="21" t="n"/>
      <c r="I146" s="21" t="n"/>
      <c r="J146" s="21" t="n"/>
      <c r="K146" s="17">
        <f>IF(OR(A146="",B146=""),"",IF(AND(F146&lt;&gt;"",H146&lt;&gt;"",J146&lt;&gt;""),"Complete","Pending"))</f>
        <v/>
      </c>
    </row>
    <row r="147">
      <c r="A147" s="19" t="inlineStr">
        <is>
          <t>M015-Q01</t>
        </is>
      </c>
      <c r="B147" s="19" t="inlineStr">
        <is>
          <t>CL-M015-Q01-010</t>
        </is>
      </c>
      <c r="C147" s="17" t="inlineStr">
        <is>
          <t>[application] Because she is ready to lodge in duplicate with her affidavit and her attorney-at-law's certificate of title, she can satisfy section 32(1)(b)(i).</t>
        </is>
      </c>
      <c r="D147" s="17" t="inlineStr">
        <is>
          <t>PROV-M015-004: Registration of Documents (Amendment) Act No. 32 of 2022 s.2 (1) inserting section 32(1)(b)(i) of the principal enactment
PROV-M015-902: Registration of Documents (Amendment) Act No. 32 of 2022 s.2 (2) inserting section 32(1A) of the principal enactment
Facts: FACT-M015-Q01-002</t>
        </is>
      </c>
      <c r="E147" s="17" t="inlineStr">
        <is>
          <t>[verified, support direct]</t>
        </is>
      </c>
      <c r="F147" s="21" t="n"/>
      <c r="G147" s="21" t="n"/>
      <c r="H147" s="21" t="n"/>
      <c r="I147" s="21" t="n"/>
      <c r="J147" s="21" t="n"/>
      <c r="K147" s="17">
        <f>IF(OR(A147="",B147=""),"",IF(AND(F147&lt;&gt;"",H147&lt;&gt;"",J147&lt;&gt;""),"Complete","Pending"))</f>
        <v/>
      </c>
    </row>
    <row r="148">
      <c r="A148" s="19" t="inlineStr">
        <is>
          <t>M015-Q01</t>
        </is>
      </c>
      <c r="B148" s="19" t="inlineStr">
        <is>
          <t>CL-M015-Q01-011</t>
        </is>
      </c>
      <c r="C148" s="17" t="inlineStr">
        <is>
          <t>[application] Her departure for New Zealand does not disqualify her, but she must give an address in Sri Lanka for service; her sister's Rajagiriya address satisfies section 32(1)(b)(iv).</t>
        </is>
      </c>
      <c r="D148" s="17" t="inlineStr">
        <is>
          <t>PROV-M015-005: Registration of Documents (Amendment) Act No. 32 of 2022 s.2 (1) inserting section 32(1)(b)(iv) of the principal enactment
Facts: FACT-M015-Q01-003, BG-2</t>
        </is>
      </c>
      <c r="E148" s="17" t="inlineStr">
        <is>
          <t>[verified, support direct]</t>
        </is>
      </c>
      <c r="F148" s="21" t="n"/>
      <c r="G148" s="21" t="n"/>
      <c r="H148" s="21" t="n"/>
      <c r="I148" s="21" t="n"/>
      <c r="J148" s="21" t="n"/>
      <c r="K148" s="17">
        <f>IF(OR(A148="",B148=""),"",IF(AND(F148&lt;&gt;"",H148&lt;&gt;"",J148&lt;&gt;""),"Complete","Pending"))</f>
        <v/>
      </c>
    </row>
    <row r="149">
      <c r="A149" s="19" t="inlineStr">
        <is>
          <t>M015-Q01</t>
        </is>
      </c>
      <c r="B149" s="19" t="inlineStr">
        <is>
          <t>CL-M015-Q01-012</t>
        </is>
      </c>
      <c r="C149" s="17" t="inlineStr">
        <is>
          <t>[application] As she is the owner, she need not rely on the extended classes of caveator or the extended meaning of interest, and the notices to other owners required where the caveator is not the owner do not arise.</t>
        </is>
      </c>
      <c r="D149" s="17" t="inlineStr">
        <is>
          <t>PROV-M015-003: Registration of Documents (Amendment) Act No. 32 of 2022 s.2 (1) inserting section 32(1)(c)(i) of the principal enactment
PROV-M015-005: Registration of Documents (Amendment) Act No. 32 of 2022 s.2 (1) inserting section 32(1)(b)(iv) of the principal enactment
PROV-M015-006: Registration of Documents (Amendment) Act No. 32 of 2022 s.2 (1) inserting section 32(1)(c)(iii) of the principal enactment
PROV-M015-904: Registration of Documents (Amendment) Act No. 32 of 2022 s.2 (1) inserting section 32(1)(b)(ii) of the principal enactment
Facts: FACT-M015-Q01-001</t>
        </is>
      </c>
      <c r="E149" s="17" t="inlineStr">
        <is>
          <t>[verified, support inferential]</t>
        </is>
      </c>
      <c r="F149" s="21" t="n"/>
      <c r="G149" s="21" t="n"/>
      <c r="H149" s="21" t="n"/>
      <c r="I149" s="21" t="n"/>
      <c r="J149" s="21" t="n"/>
      <c r="K149" s="17">
        <f>IF(OR(A149="",B149=""),"",IF(AND(F149&lt;&gt;"",H149&lt;&gt;"",J149&lt;&gt;""),"Complete","Pending"))</f>
        <v/>
      </c>
    </row>
    <row r="150">
      <c r="A150" s="19" t="inlineStr">
        <is>
          <t>M015-Q01</t>
        </is>
      </c>
      <c r="B150" s="19" t="inlineStr">
        <is>
          <t>CL-M015-Q01-013</t>
        </is>
      </c>
      <c r="C150" s="17" t="inlineStr">
        <is>
          <t>[application] The notary consulted by Romani may present the caveat papers for registration on her behalf, and her brother, once his power of attorney is registered, may act for her as an attorney in relation to the caveat.</t>
        </is>
      </c>
      <c r="D150" s="17" t="inlineStr">
        <is>
          <t>PROV-M015-012: Registration of Documents Ordinance No. 23 of 1927 s.26 (1)(d)
PROV-M015-003: Registration of Documents (Amendment) Act No. 32 of 2022 s.2 (1) inserting section 32(1)(c)(i) of the principal enactment
PROV-M015-013: Powers of Attorney Ordinance No. 4 of 1902 s.3 (a)
PROV-M015-014: Registration of Documents (Amendment) Act No. 32 of 2022 s.3 (2) inserting section 33(1)(a) of the principal enactment
PROV-M015-901: Registration of Documents (Amendment) Act No. 32 of 2022 s.5 (1) substituting Form VIII of the Second Schedule to the principal enactment
Facts: FACT-M015-Q01-004, BG-3</t>
        </is>
      </c>
      <c r="E150" s="17" t="inlineStr">
        <is>
          <t>[disputed, support inferential]</t>
        </is>
      </c>
      <c r="F150" s="21" t="n"/>
      <c r="G150" s="21" t="n"/>
      <c r="H150" s="21" t="n"/>
      <c r="I150" s="21" t="n"/>
      <c r="J150" s="21" t="n"/>
      <c r="K150" s="17">
        <f>IF(OR(A150="",B150=""),"",IF(AND(F150&lt;&gt;"",H150&lt;&gt;"",J150&lt;&gt;""),"Complete","Pending"))</f>
        <v/>
      </c>
    </row>
    <row r="151">
      <c r="A151" s="19" t="inlineStr">
        <is>
          <t>M015-Q01</t>
        </is>
      </c>
      <c r="B151" s="19" t="inlineStr">
        <is>
          <t>CL-M015-Q01-014</t>
        </is>
      </c>
      <c r="C151" s="17" t="inlineStr">
        <is>
          <t>[application] Since the caveat expires after two years and her absence is expected to last about three, it will have to be renewed during that period.</t>
        </is>
      </c>
      <c r="D151" s="17" t="inlineStr">
        <is>
          <t>PROV-M015-008: Registration of Documents (Amendment) Act No. 32 of 2022 s.2 (3) substituting section 32(3) of the principal enactment
Facts: FACT-M015-Q01-003</t>
        </is>
      </c>
      <c r="E151" s="17" t="inlineStr">
        <is>
          <t>[verified, support direct]</t>
        </is>
      </c>
      <c r="F151" s="21" t="n"/>
      <c r="G151" s="21" t="n"/>
      <c r="H151" s="21" t="n"/>
      <c r="I151" s="21" t="n"/>
      <c r="J151" s="21" t="n"/>
      <c r="K151" s="17">
        <f>IF(OR(A151="",B151=""),"",IF(AND(F151&lt;&gt;"",H151&lt;&gt;"",J151&lt;&gt;""),"Complete","Pending"))</f>
        <v/>
      </c>
    </row>
    <row r="152">
      <c r="A152" s="19" t="inlineStr">
        <is>
          <t>M015-Q01</t>
        </is>
      </c>
      <c r="B152" s="19" t="inlineStr">
        <is>
          <t>CL-M015-Q01-015</t>
        </is>
      </c>
      <c r="C152" s="17" t="inlineStr">
        <is>
          <t>[conclusion] Romani can file a caveat in respect of her Battaramulla property, provided the caveat is in the prescribed form with the affidavit, the attorney-at-law's certificate and an address in Sri Lanka for service.</t>
        </is>
      </c>
      <c r="D152" s="17" t="inlineStr">
        <is>
          <t>PROV-M015-002: Registration of Documents (Amendment) Act No. 32 of 2022 s.2 (1) inserting section 32(1)(a) of the principal enactment
PROV-M015-004: Registration of Documents (Amendment) Act No. 32 of 2022 s.2 (1) inserting section 32(1)(b)(i) of the principal enactment
PROV-M015-005: Registration of Documents (Amendment) Act No. 32 of 2022 s.2 (1) inserting section 32(1)(b)(iv) of the principal enactment
PROV-M015-901: Registration of Documents (Amendment) Act No. 32 of 2022 s.5 (1) substituting Form VIII of the Second Schedule to the principal enactment
Facts: FACT-M015-Q01-001, FACT-M015-Q01-002, FACT-M015-Q01-003</t>
        </is>
      </c>
      <c r="E152" s="17" t="inlineStr">
        <is>
          <t>[verified, support combined]</t>
        </is>
      </c>
      <c r="F152" s="21" t="n"/>
      <c r="G152" s="21" t="n"/>
      <c r="H152" s="21" t="n"/>
      <c r="I152" s="21" t="n"/>
      <c r="J152" s="21" t="n"/>
      <c r="K152" s="17">
        <f>IF(OR(A152="",B152=""),"",IF(AND(F152&lt;&gt;"",H152&lt;&gt;"",J152&lt;&gt;""),"Complete","Pending"))</f>
        <v/>
      </c>
    </row>
    <row r="153">
      <c r="A153" s="19" t="inlineStr">
        <is>
          <t>M015-Q01</t>
        </is>
      </c>
      <c r="B153" s="19" t="inlineStr">
        <is>
          <t>CL-M015-Q01-016</t>
        </is>
      </c>
      <c r="C153" s="17" t="inlineStr">
        <is>
          <t>[conclusion] Under the Ordinance as amended a caveat may be filed only by a person who has or claims to have a right, title or interest in the land, including the classes listed in the inclusive definition of caveator, and no longer by any person at large.</t>
        </is>
      </c>
      <c r="D153" s="17" t="inlineStr">
        <is>
          <t>PROV-M015-001: Registration of Documents Ordinance No. 23 of 1927 s.32 (1) (as originally enacted)
PROV-M015-002: Registration of Documents (Amendment) Act No. 32 of 2022 s.2 (1) inserting section 32(1)(a) of the principal enactment
PROV-M015-003: Registration of Documents (Amendment) Act No. 32 of 2022 s.2 (1) inserting section 32(1)(c)(i) of the principal enactment
PROV-M015-006: Registration of Documents (Amendment) Act No. 32 of 2022 s.2 (1) inserting section 32(1)(c)(iii) of the principal enactment</t>
        </is>
      </c>
      <c r="E153" s="17" t="inlineStr">
        <is>
          <t>[verified, support combined]</t>
        </is>
      </c>
      <c r="F153" s="21" t="n"/>
      <c r="G153" s="21" t="n"/>
      <c r="H153" s="21" t="n"/>
      <c r="I153" s="21" t="n"/>
      <c r="J153" s="21" t="n"/>
      <c r="K153" s="17">
        <f>IF(OR(A153="",B153=""),"",IF(AND(F153&lt;&gt;"",H153&lt;&gt;"",J153&lt;&gt;""),"Complete","Pending"))</f>
        <v/>
      </c>
    </row>
    <row r="154">
      <c r="A154" s="19" t="inlineStr">
        <is>
          <t>M016-Q01</t>
        </is>
      </c>
      <c r="B154" s="19" t="inlineStr">
        <is>
          <t>CL-M016-Q01-001</t>
        </is>
      </c>
      <c r="C154" s="17" t="inlineStr">
        <is>
          <t>[rule] Where an instrument affecting the land described in a caveat is presented for registration while the caveat is in force, the caveator's statutory remedy is an action commenced in a competent court within the period fixed by section 32(5) of the Registration of Documents Ordinance.</t>
        </is>
      </c>
      <c r="D154" s="17" t="inlineStr">
        <is>
          <t>PROV-M016-001: Registration of Documents Ordinance No. 23 of 1927 s.32 (5)</t>
        </is>
      </c>
      <c r="E154" s="17" t="inlineStr">
        <is>
          <t>[verified, support direct]</t>
        </is>
      </c>
      <c r="F154" s="21" t="n"/>
      <c r="G154" s="21" t="n"/>
      <c r="H154" s="21" t="n"/>
      <c r="I154" s="21" t="n"/>
      <c r="J154" s="21" t="n"/>
      <c r="K154" s="17">
        <f>IF(OR(A154="",B154=""),"",IF(AND(F154&lt;&gt;"",H154&lt;&gt;"",J154&lt;&gt;""),"Complete","Pending"))</f>
        <v/>
      </c>
    </row>
    <row r="155">
      <c r="A155" s="19" t="inlineStr">
        <is>
          <t>M016-Q01</t>
        </is>
      </c>
      <c r="B155" s="19" t="inlineStr">
        <is>
          <t>CL-M016-Q01-002</t>
        </is>
      </c>
      <c r="C155" s="17" t="inlineStr">
        <is>
          <t>[rule] That period runs from the posting of the notice required by section 32(4), which is sent to the caveator by registered letter at the address given in the caveat.</t>
        </is>
      </c>
      <c r="D155" s="17" t="inlineStr">
        <is>
          <t>PROV-M016-001: Registration of Documents Ordinance No. 23 of 1927 s.32 (5)
PROV-M016-003: Registration of Documents Ordinance No. 23 of 1927 s.32 (4)</t>
        </is>
      </c>
      <c r="E155" s="17" t="inlineStr">
        <is>
          <t>[verified, support combined]</t>
        </is>
      </c>
      <c r="F155" s="21" t="n"/>
      <c r="G155" s="21" t="n"/>
      <c r="H155" s="21" t="n"/>
      <c r="I155" s="21" t="n"/>
      <c r="J155" s="21" t="n"/>
      <c r="K155" s="17">
        <f>IF(OR(A155="",B155=""),"",IF(AND(F155&lt;&gt;"",H155&lt;&gt;"",J155&lt;&gt;""),"Complete","Pending"))</f>
        <v/>
      </c>
    </row>
    <row r="156">
      <c r="A156" s="19" t="inlineStr">
        <is>
          <t>M016-Q01</t>
        </is>
      </c>
      <c r="B156" s="19" t="inlineStr">
        <is>
          <t>CL-M016-Q01-003</t>
        </is>
      </c>
      <c r="C156" s="17" t="inlineStr">
        <is>
          <t>[rule] As originally enacted section 32(5) required the action to be commenced within thirty days, but the Registration of Documents (Amendment) Act No. 32 of 2022 s.2(5) substituted sixty days for thirty days, so the current period is sixty days.</t>
        </is>
      </c>
      <c r="D156" s="17" t="inlineStr">
        <is>
          <t>PROV-M016-001: Registration of Documents Ordinance No. 23 of 1927 s.32 (5)
PROV-M016-002: Registration of Documents (Amendment) Act No. 32 of 2022 s.2 (5)</t>
        </is>
      </c>
      <c r="E156" s="17" t="inlineStr">
        <is>
          <t>[verified, support combined]</t>
        </is>
      </c>
      <c r="F156" s="21" t="n"/>
      <c r="G156" s="21" t="n"/>
      <c r="H156" s="21" t="n"/>
      <c r="I156" s="21" t="n"/>
      <c r="J156" s="21" t="n"/>
      <c r="K156" s="17">
        <f>IF(OR(A156="",B156=""),"",IF(AND(F156&lt;&gt;"",H156&lt;&gt;"",J156&lt;&gt;""),"Complete","Pending"))</f>
        <v/>
      </c>
    </row>
    <row r="157">
      <c r="A157" s="19" t="inlineStr">
        <is>
          <t>M016-Q01</t>
        </is>
      </c>
      <c r="B157" s="19" t="inlineStr">
        <is>
          <t>CL-M016-Q01-004</t>
        </is>
      </c>
      <c r="C157" s="17" t="inlineStr">
        <is>
          <t>[rule] The notice under section 32(4) is the notice given to the caveator when an instrument affecting the same land described in the caveat is subsequently presented for registration, now in Form XI of the Second Schedule.</t>
        </is>
      </c>
      <c r="D157" s="17" t="inlineStr">
        <is>
          <t>PROV-M016-003: Registration of Documents Ordinance No. 23 of 1927 s.32 (4)
PROV-M016-004: Registration of Documents (Amendment) Act No. 32 of 2022 s.2 (4)</t>
        </is>
      </c>
      <c r="E157" s="17" t="inlineStr">
        <is>
          <t>[verified, support combined]</t>
        </is>
      </c>
      <c r="F157" s="21" t="n"/>
      <c r="G157" s="21" t="n"/>
      <c r="H157" s="21" t="n"/>
      <c r="I157" s="21" t="n"/>
      <c r="J157" s="21" t="n"/>
      <c r="K157" s="17">
        <f>IF(OR(A157="",B157=""),"",IF(AND(F157&lt;&gt;"",H157&lt;&gt;"",J157&lt;&gt;""),"Complete","Pending"))</f>
        <v/>
      </c>
    </row>
    <row r="158">
      <c r="A158" s="19" t="inlineStr">
        <is>
          <t>M016-Q01</t>
        </is>
      </c>
      <c r="B158" s="19" t="inlineStr">
        <is>
          <t>CL-M016-Q01-005</t>
        </is>
      </c>
      <c r="C158" s="17" t="inlineStr">
        <is>
          <t>[application] A caveat is in force for a maximum of two years, so Romani's caveat registered on 3 March 2025 was still in force when the deed of transfer was presented in June 2025.</t>
        </is>
      </c>
      <c r="D158" s="17" t="inlineStr">
        <is>
          <t>PROV-M016-005: Registration of Documents (Amendment) Act No. 32 of 2022 s.2 (3)
Facts: FACT-M016-Q01-002</t>
        </is>
      </c>
      <c r="E158" s="17" t="inlineStr">
        <is>
          <t>[disputed, support combined]</t>
        </is>
      </c>
      <c r="F158" s="21" t="n"/>
      <c r="G158" s="21" t="n"/>
      <c r="H158" s="21" t="n"/>
      <c r="I158" s="21" t="n"/>
      <c r="J158" s="21" t="n"/>
      <c r="K158" s="17">
        <f>IF(OR(A158="",B158=""),"",IF(AND(F158&lt;&gt;"",H158&lt;&gt;"",J158&lt;&gt;""),"Complete","Pending"))</f>
        <v/>
      </c>
    </row>
    <row r="159">
      <c r="A159" s="19" t="inlineStr">
        <is>
          <t>M016-Q01</t>
        </is>
      </c>
      <c r="B159" s="19" t="inlineStr">
        <is>
          <t>CL-M016-Q01-006</t>
        </is>
      </c>
      <c r="C159" s="17" t="inlineStr">
        <is>
          <t>[application] The deed of transfer of the same allotment of land executed by a stranger is an instrument affecting the land described in Romani's caveat, so section 32(5) is engaged.</t>
        </is>
      </c>
      <c r="D159" s="17" t="inlineStr">
        <is>
          <t>PROV-M016-001: Registration of Documents Ordinance No. 23 of 1927 s.32 (5)
Facts: FACT-M016-Q01-001, FACT-M016-Q01-003</t>
        </is>
      </c>
      <c r="E159" s="17" t="inlineStr">
        <is>
          <t>[verified, support combined]</t>
        </is>
      </c>
      <c r="F159" s="21" t="n"/>
      <c r="G159" s="21" t="n"/>
      <c r="H159" s="21" t="n"/>
      <c r="I159" s="21" t="n"/>
      <c r="J159" s="21" t="n"/>
      <c r="K159" s="17">
        <f>IF(OR(A159="",B159=""),"",IF(AND(F159&lt;&gt;"",H159&lt;&gt;"",J159&lt;&gt;""),"Complete","Pending"))</f>
        <v/>
      </c>
    </row>
    <row r="160">
      <c r="A160" s="19" t="inlineStr">
        <is>
          <t>M016-Q01</t>
        </is>
      </c>
      <c r="B160" s="19" t="inlineStr">
        <is>
          <t>CL-M016-Q01-007</t>
        </is>
      </c>
      <c r="C160" s="17" t="inlineStr">
        <is>
          <t>[application] Time began to run when the Registrar posted the notice by registered letter to the Colombo address in the caveat on 12 June 2025, not when Romani received it abroad.</t>
        </is>
      </c>
      <c r="D160" s="17" t="inlineStr">
        <is>
          <t>PROV-M016-001: Registration of Documents Ordinance No. 23 of 1927 s.32 (5)
PROV-M016-003: Registration of Documents Ordinance No. 23 of 1927 s.32 (4)
Facts: FACT-M016-Q01-004</t>
        </is>
      </c>
      <c r="E160" s="17" t="inlineStr">
        <is>
          <t>[verified, support combined]</t>
        </is>
      </c>
      <c r="F160" s="21" t="n"/>
      <c r="G160" s="21" t="n"/>
      <c r="H160" s="21" t="n"/>
      <c r="I160" s="21" t="n"/>
      <c r="J160" s="21" t="n"/>
      <c r="K160" s="17">
        <f>IF(OR(A160="",B160=""),"",IF(AND(F160&lt;&gt;"",H160&lt;&gt;"",J160&lt;&gt;""),"Complete","Pending"))</f>
        <v/>
      </c>
    </row>
    <row r="161">
      <c r="A161" s="19" t="inlineStr">
        <is>
          <t>M016-Q01</t>
        </is>
      </c>
      <c r="B161" s="19" t="inlineStr">
        <is>
          <t>CL-M016-Q01-008</t>
        </is>
      </c>
      <c r="C161" s="17" t="inlineStr">
        <is>
          <t>[application] Because the notice was posted in 2025, after the 2022 amendment, the sixty-day period applies rather than the original thirty days.</t>
        </is>
      </c>
      <c r="D161" s="17" t="inlineStr">
        <is>
          <t>PROV-M016-002: Registration of Documents (Amendment) Act No. 32 of 2022 s.2 (5)
Facts: FACT-M016-Q01-004</t>
        </is>
      </c>
      <c r="E161" s="17" t="inlineStr">
        <is>
          <t>[disputed, support combined]</t>
        </is>
      </c>
      <c r="F161" s="21" t="n"/>
      <c r="G161" s="21" t="n"/>
      <c r="H161" s="21" t="n"/>
      <c r="I161" s="21" t="n"/>
      <c r="J161" s="21" t="n"/>
      <c r="K161" s="17">
        <f>IF(OR(A161="",B161=""),"",IF(AND(F161&lt;&gt;"",H161&lt;&gt;"",J161&lt;&gt;""),"Complete","Pending"))</f>
        <v/>
      </c>
    </row>
    <row r="162">
      <c r="A162" s="19" t="inlineStr">
        <is>
          <t>M016-Q01</t>
        </is>
      </c>
      <c r="B162" s="19" t="inlineStr">
        <is>
          <t>CL-M016-Q01-009</t>
        </is>
      </c>
      <c r="C162" s="17" t="inlineStr">
        <is>
          <t>[conclusion] Romani must commence her action in a competent court within sixty days from the posting of the notice.</t>
        </is>
      </c>
      <c r="D162" s="17" t="inlineStr">
        <is>
          <t>PROV-M016-001: Registration of Documents Ordinance No. 23 of 1927 s.32 (5)
PROV-M016-002: Registration of Documents (Amendment) Act No. 32 of 2022 s.2 (5)
Facts: FACT-M016-Q01-004</t>
        </is>
      </c>
      <c r="E162" s="17" t="inlineStr">
        <is>
          <t>[verified, support combined]</t>
        </is>
      </c>
      <c r="F162" s="21" t="n"/>
      <c r="G162" s="21" t="n"/>
      <c r="H162" s="21" t="n"/>
      <c r="I162" s="21" t="n"/>
      <c r="J162" s="21" t="n"/>
      <c r="K162" s="17">
        <f>IF(OR(A162="",B162=""),"",IF(AND(F162&lt;&gt;"",H162&lt;&gt;"",J162&lt;&gt;""),"Complete","Pending"))</f>
        <v/>
      </c>
    </row>
    <row r="163">
      <c r="A163" s="19" t="inlineStr">
        <is>
          <t>M016-Q01</t>
        </is>
      </c>
      <c r="B163" s="19" t="inlineStr">
        <is>
          <t>CL-M016-Q01-010</t>
        </is>
      </c>
      <c r="C163" s="17" t="inlineStr">
        <is>
          <t>[conclusion] On a notice posted on 12 June 2025 that gives her until about 11 August 2025, counting sixty days from the day after posting.</t>
        </is>
      </c>
      <c r="D163" s="17" t="inlineStr">
        <is>
          <t>PROV-M016-001: Registration of Documents Ordinance No. 23 of 1927 s.32 (5)
PROV-M016-002: Registration of Documents (Amendment) Act No. 32 of 2022 s.2 (5)
Facts: FACT-M016-Q01-004</t>
        </is>
      </c>
      <c r="E163" s="17" t="inlineStr">
        <is>
          <t>[disputed, support inferential]</t>
        </is>
      </c>
      <c r="F163" s="21" t="n"/>
      <c r="G163" s="21" t="n"/>
      <c r="H163" s="21" t="n"/>
      <c r="I163" s="21" t="n"/>
      <c r="J163" s="21" t="n"/>
      <c r="K163" s="17">
        <f>IF(OR(A163="",B163=""),"",IF(AND(F163&lt;&gt;"",H163&lt;&gt;"",J163&lt;&gt;""),"Complete","Pending"))</f>
        <v/>
      </c>
    </row>
    <row r="164">
      <c r="A164" s="19" t="inlineStr">
        <is>
          <t>M021-Q01</t>
        </is>
      </c>
      <c r="B164" s="19" t="inlineStr">
        <is>
          <t>CL-M021-Q01-001</t>
        </is>
      </c>
      <c r="C164" s="17" t="inlineStr">
        <is>
          <t>[rule] The most recent amendment to the Wills Ordinance is the Wills Ordinance (Amendment) Act No. 29 of 2022, which repealed and substituted section 2 of the Ordinance.</t>
        </is>
      </c>
      <c r="D164" s="17" t="inlineStr">
        <is>
          <t>PROV-M021-002: Wills Ordinance (Amendment) Act s.2</t>
        </is>
      </c>
      <c r="E164" s="17" t="inlineStr">
        <is>
          <t>[verified, support direct]</t>
        </is>
      </c>
      <c r="F164" s="21" t="n"/>
      <c r="G164" s="21" t="n"/>
      <c r="H164" s="21" t="n"/>
      <c r="I164" s="21" t="n"/>
      <c r="J164" s="21" t="n"/>
      <c r="K164" s="17">
        <f>IF(OR(A164="",B164=""),"",IF(AND(F164&lt;&gt;"",H164&lt;&gt;"",J164&lt;&gt;""),"Complete","Pending"))</f>
        <v/>
      </c>
    </row>
    <row r="165">
      <c r="A165" s="19" t="inlineStr">
        <is>
          <t>M021-Q01</t>
        </is>
      </c>
      <c r="B165" s="19" t="inlineStr">
        <is>
          <t>CL-M021-Q01-002</t>
        </is>
      </c>
      <c r="C165" s="17" t="inlineStr">
        <is>
          <t>[rule] Under the substituted section 2(1) it is lawful for any person who has reached the age of eighteen years, residing within or outside Sri Lanka, to execute a will disposing of movable and immovable property, so the age limit is eighteen completed years.</t>
        </is>
      </c>
      <c r="D165" s="17" t="inlineStr">
        <is>
          <t>PROV-M021-001: Wills Ordinance s.2 (1)
PROV-M021-002: Wills Ordinance (Amendment) Act s.2</t>
        </is>
      </c>
      <c r="E165" s="17" t="inlineStr">
        <is>
          <t>[verified, support combined]</t>
        </is>
      </c>
      <c r="F165" s="21" t="n"/>
      <c r="G165" s="21" t="n"/>
      <c r="H165" s="21" t="n"/>
      <c r="I165" s="21" t="n"/>
      <c r="J165" s="21" t="n"/>
      <c r="K165" s="17">
        <f>IF(OR(A165="",B165=""),"",IF(AND(F165&lt;&gt;"",H165&lt;&gt;"",J165&lt;&gt;""),"Complete","Pending"))</f>
        <v/>
      </c>
    </row>
    <row r="166">
      <c r="A166" s="19" t="inlineStr">
        <is>
          <t>M021-Q01</t>
        </is>
      </c>
      <c r="B166" s="19" t="inlineStr">
        <is>
          <t>CL-M021-Q01-003</t>
        </is>
      </c>
      <c r="C166" s="17" t="inlineStr">
        <is>
          <t>[rule] Section 3 of the Wills Ordinance, which formerly invalidated wills made below the prescribed age and had been amended in 1993 to set a uniform age of eighteen years for males and females, was repealed by the 2022 amending Act, so the age question is now answered solely by section 2.</t>
        </is>
      </c>
      <c r="D166" s="17" t="inlineStr">
        <is>
          <t>PROV-M021-003: Wills Ordinance (Amendment) Act s.3
PROV-M021-004: Wills (Amendment) s.2</t>
        </is>
      </c>
      <c r="E166" s="17" t="inlineStr">
        <is>
          <t>[verified, support combined]</t>
        </is>
      </c>
      <c r="F166" s="21" t="n"/>
      <c r="G166" s="21" t="n"/>
      <c r="H166" s="21" t="n"/>
      <c r="I166" s="21" t="n"/>
      <c r="J166" s="21" t="n"/>
      <c r="K166" s="17">
        <f>IF(OR(A166="",B166=""),"",IF(AND(F166&lt;&gt;"",H166&lt;&gt;"",J166&lt;&gt;""),"Complete","Pending"))</f>
        <v/>
      </c>
    </row>
    <row r="167">
      <c r="A167" s="19" t="inlineStr">
        <is>
          <t>M021-Q01</t>
        </is>
      </c>
      <c r="B167" s="19" t="inlineStr">
        <is>
          <t>CL-M021-Q01-004</t>
        </is>
      </c>
      <c r="C167" s="17" t="inlineStr">
        <is>
          <t>[rule] The word will in the Wills Ordinance extends to a testament, a codicil and any other testamentary disposition.</t>
        </is>
      </c>
      <c r="D167" s="17" t="inlineStr">
        <is>
          <t>PROV-M021-014: Wills Ordinance s.9</t>
        </is>
      </c>
      <c r="E167" s="17" t="inlineStr">
        <is>
          <t>[verified, support direct]</t>
        </is>
      </c>
      <c r="F167" s="21" t="n"/>
      <c r="G167" s="21" t="n"/>
      <c r="H167" s="21" t="n"/>
      <c r="I167" s="21" t="n"/>
      <c r="J167" s="21" t="n"/>
      <c r="K167" s="17">
        <f>IF(OR(A167="",B167=""),"",IF(AND(F167&lt;&gt;"",H167&lt;&gt;"",J167&lt;&gt;""),"Complete","Pending"))</f>
        <v/>
      </c>
    </row>
    <row r="168">
      <c r="A168" s="19" t="inlineStr">
        <is>
          <t>M021-Q01</t>
        </is>
      </c>
      <c r="B168" s="19" t="inlineStr">
        <is>
          <t>CL-M021-Q01-005</t>
        </is>
      </c>
      <c r="C168" s="17" t="inlineStr">
        <is>
          <t>[rule] A will is not valid unless it is in writing and the testator signs and affixes his left or right thumb impression at the foot or end of the will before a notary public and two witnesses who are present at the same time, another finger impression or the toe impression being permitted where the thumb impression cannot be obtained.</t>
        </is>
      </c>
      <c r="D168" s="17" t="inlineStr">
        <is>
          <t>PROV-M021-005: Prevention of Frauds Ordinance s.4 (1) and (2)
PROV-M021-006: Prevention of Frauds (Amendment) Act s.3</t>
        </is>
      </c>
      <c r="E168" s="17" t="inlineStr">
        <is>
          <t>[verified, support direct]</t>
        </is>
      </c>
      <c r="F168" s="21" t="n"/>
      <c r="G168" s="21" t="n"/>
      <c r="H168" s="21" t="n"/>
      <c r="I168" s="21" t="n"/>
      <c r="J168" s="21" t="n"/>
      <c r="K168" s="17">
        <f>IF(OR(A168="",B168=""),"",IF(AND(F168&lt;&gt;"",H168&lt;&gt;"",J168&lt;&gt;""),"Complete","Pending"))</f>
        <v/>
      </c>
    </row>
    <row r="169">
      <c r="A169" s="19" t="inlineStr">
        <is>
          <t>M021-Q01</t>
        </is>
      </c>
      <c r="B169" s="19" t="inlineStr">
        <is>
          <t>CL-M021-Q01-006</t>
        </is>
      </c>
      <c r="C169" s="17" t="inlineStr">
        <is>
          <t>[rule] The notary may not attest unless at least two witnesses have subscribed their signatures in letters and unless the executant and the witnesses have signed in his presence and in the presence of one another, the notary signing in their presence.</t>
        </is>
      </c>
      <c r="D169" s="17" t="inlineStr">
        <is>
          <t>PROV-M021-008: Notaries Ordinance s.31 (12)
PROV-M021-009: Notaries Ordinance s.31 (8)</t>
        </is>
      </c>
      <c r="E169" s="17" t="inlineStr">
        <is>
          <t>[verified, support combined]</t>
        </is>
      </c>
      <c r="F169" s="21" t="n"/>
      <c r="G169" s="21" t="n"/>
      <c r="H169" s="21" t="n"/>
      <c r="I169" s="21" t="n"/>
      <c r="J169" s="21" t="n"/>
      <c r="K169" s="17">
        <f>IF(OR(A169="",B169=""),"",IF(AND(F169&lt;&gt;"",H169&lt;&gt;"",J169&lt;&gt;""),"Complete","Pending"))</f>
        <v/>
      </c>
    </row>
    <row r="170">
      <c r="A170" s="19" t="inlineStr">
        <is>
          <t>M021-Q01</t>
        </is>
      </c>
      <c r="B170" s="19" t="inlineStr">
        <is>
          <t>CL-M021-Q01-007</t>
        </is>
      </c>
      <c r="C170" s="17" t="inlineStr">
        <is>
          <t>[rule] In the case of a will the notary must state in the attestation that the testator was in good and sound mind to execute the will and must enter the number assigned to the will, its date and the testator's name in his deed register.</t>
        </is>
      </c>
      <c r="D170" s="17" t="inlineStr">
        <is>
          <t>PROV-M021-007: Notaries Ordinance s.31 (20)(h)</t>
        </is>
      </c>
      <c r="E170" s="17" t="inlineStr">
        <is>
          <t>[verified, support direct]</t>
        </is>
      </c>
      <c r="F170" s="21" t="n"/>
      <c r="G170" s="21" t="n"/>
      <c r="H170" s="21" t="n"/>
      <c r="I170" s="21" t="n"/>
      <c r="J170" s="21" t="n"/>
      <c r="K170" s="17">
        <f>IF(OR(A170="",B170=""),"",IF(AND(F170&lt;&gt;"",H170&lt;&gt;"",J170&lt;&gt;""),"Complete","Pending"))</f>
        <v/>
      </c>
    </row>
    <row r="171">
      <c r="A171" s="19" t="inlineStr">
        <is>
          <t>M021-Q01</t>
        </is>
      </c>
      <c r="B171" s="19" t="inlineStr">
        <is>
          <t>CL-M021-Q01-008</t>
        </is>
      </c>
      <c r="C171" s="17" t="inlineStr">
        <is>
          <t>[rule] For a will the notary must also affix to the protocol a sealed passport size photograph of the signatory and keep a copy of his national identity card, passport or driving licence attached to the protocol.</t>
        </is>
      </c>
      <c r="D171" s="17" t="inlineStr">
        <is>
          <t>PROV-M021-010: Notaries Ordinance s.31 (17)(b)(iii)</t>
        </is>
      </c>
      <c r="E171" s="17" t="inlineStr">
        <is>
          <t>[verified, support direct]</t>
        </is>
      </c>
      <c r="F171" s="21" t="n"/>
      <c r="G171" s="21" t="n"/>
      <c r="H171" s="21" t="n"/>
      <c r="I171" s="21" t="n"/>
      <c r="J171" s="21" t="n"/>
      <c r="K171" s="17">
        <f>IF(OR(A171="",B171=""),"",IF(AND(F171&lt;&gt;"",H171&lt;&gt;"",J171&lt;&gt;""),"Complete","Pending"))</f>
        <v/>
      </c>
    </row>
    <row r="172">
      <c r="A172" s="19" t="inlineStr">
        <is>
          <t>M021-Q01</t>
        </is>
      </c>
      <c r="B172" s="19" t="inlineStr">
        <is>
          <t>CL-M021-Q01-009</t>
        </is>
      </c>
      <c r="C172" s="17" t="inlineStr">
        <is>
          <t>[rule] A benefit given by the will to an attesting witness or to that witness's spouse is void so far as that witness is concerned, although the witness remains competent to prove the will.</t>
        </is>
      </c>
      <c r="D172" s="17" t="inlineStr">
        <is>
          <t>PROV-M021-011: Prevention of Frauds Ordinance s.11</t>
        </is>
      </c>
      <c r="E172" s="17" t="inlineStr">
        <is>
          <t>[verified, support direct]</t>
        </is>
      </c>
      <c r="F172" s="21" t="n"/>
      <c r="G172" s="21" t="n"/>
      <c r="H172" s="21" t="n"/>
      <c r="I172" s="21" t="n"/>
      <c r="J172" s="21" t="n"/>
      <c r="K172" s="17">
        <f>IF(OR(A172="",B172=""),"",IF(AND(F172&lt;&gt;"",H172&lt;&gt;"",J172&lt;&gt;""),"Complete","Pending"))</f>
        <v/>
      </c>
    </row>
    <row r="173">
      <c r="A173" s="19" t="inlineStr">
        <is>
          <t>M021-Q01</t>
        </is>
      </c>
      <c r="B173" s="19" t="inlineStr">
        <is>
          <t>CL-M021-Q01-010</t>
        </is>
      </c>
      <c r="C173" s="17" t="inlineStr">
        <is>
          <t>[rule] A will is excepted from the rule that notarially attested instruments be executed in triplicate, and once duly executed it needs no other publication, being proved in the District Court after the testator's death.</t>
        </is>
      </c>
      <c r="D173" s="17" t="inlineStr">
        <is>
          <t>PROV-M021-012: Prevention of Frauds Ordinance s.16
PROV-M021-013: Prevention of Frauds Ordinance s.9</t>
        </is>
      </c>
      <c r="E173" s="17" t="inlineStr">
        <is>
          <t>[verified, support combined]</t>
        </is>
      </c>
      <c r="F173" s="21" t="n"/>
      <c r="G173" s="21" t="n"/>
      <c r="H173" s="21" t="n"/>
      <c r="I173" s="21" t="n"/>
      <c r="J173" s="21" t="n"/>
      <c r="K173" s="17">
        <f>IF(OR(A173="",B173=""),"",IF(AND(F173&lt;&gt;"",H173&lt;&gt;"",J173&lt;&gt;""),"Complete","Pending"))</f>
        <v/>
      </c>
    </row>
    <row r="174">
      <c r="A174" s="19" t="inlineStr">
        <is>
          <t>M021-Q01</t>
        </is>
      </c>
      <c r="B174" s="19" t="inlineStr">
        <is>
          <t>CL-M021-Q01-011</t>
        </is>
      </c>
      <c r="C174" s="17" t="inlineStr">
        <is>
          <t>[application] Sunil, born on 14 March 2005 and aged 20 at the intended date of execution, has reached the age of eighteen years and is competent to execute a will.</t>
        </is>
      </c>
      <c r="D174" s="17" t="inlineStr">
        <is>
          <t>PROV-M021-001: Wills Ordinance s.2 (1)
Facts: FACT-M021-Q01-001, BG-1</t>
        </is>
      </c>
      <c r="E174" s="17" t="inlineStr">
        <is>
          <t>[verified, support direct]</t>
        </is>
      </c>
      <c r="F174" s="21" t="n"/>
      <c r="G174" s="21" t="n"/>
      <c r="H174" s="21" t="n"/>
      <c r="I174" s="21" t="n"/>
      <c r="J174" s="21" t="n"/>
      <c r="K174" s="17">
        <f>IF(OR(A174="",B174=""),"",IF(AND(F174&lt;&gt;"",H174&lt;&gt;"",J174&lt;&gt;""),"Complete","Pending"))</f>
        <v/>
      </c>
    </row>
    <row r="175">
      <c r="A175" s="19" t="inlineStr">
        <is>
          <t>M021-Q01</t>
        </is>
      </c>
      <c r="B175" s="19" t="inlineStr">
        <is>
          <t>CL-M021-Q01-012</t>
        </is>
      </c>
      <c r="C175" s="17" t="inlineStr">
        <is>
          <t>[application] The house held on the deed of gift and the fixed deposit are respectively immovable and movable property within what section 2(1) permits a testator to dispose of.</t>
        </is>
      </c>
      <c r="D175" s="17" t="inlineStr">
        <is>
          <t>PROV-M021-001: Wills Ordinance s.2 (1)
PROV-M021-014: Wills Ordinance s.9
Facts: FACT-M021-Q01-003</t>
        </is>
      </c>
      <c r="E175" s="17" t="inlineStr">
        <is>
          <t>[verified, support combined]</t>
        </is>
      </c>
      <c r="F175" s="21" t="n"/>
      <c r="G175" s="21" t="n"/>
      <c r="H175" s="21" t="n"/>
      <c r="I175" s="21" t="n"/>
      <c r="J175" s="21" t="n"/>
      <c r="K175" s="17">
        <f>IF(OR(A175="",B175=""),"",IF(AND(F175&lt;&gt;"",H175&lt;&gt;"",J175&lt;&gt;""),"Complete","Pending"))</f>
        <v/>
      </c>
    </row>
    <row r="176">
      <c r="A176" s="19" t="inlineStr">
        <is>
          <t>M021-Q01</t>
        </is>
      </c>
      <c r="B176" s="19" t="inlineStr">
        <is>
          <t>CL-M021-Q01-013</t>
        </is>
      </c>
      <c r="C176" s="17" t="inlineStr">
        <is>
          <t>[application] Sunil's chronic illness does not affect his competence under the Ordinance, and because he remains lucid and able to sign and place a thumb impression, the notary can properly certify his good and sound mind and the signature and thumb impression required at execution can be obtained.</t>
        </is>
      </c>
      <c r="D176" s="17" t="inlineStr">
        <is>
          <t>PROV-M021-005: Prevention of Frauds Ordinance s.4 (1) and (2)
PROV-M021-007: Notaries Ordinance s.31 (20)(h)
Facts: FACT-M021-Q01-002, BG-2</t>
        </is>
      </c>
      <c r="E176" s="17" t="inlineStr">
        <is>
          <t>[disputed, support combined]</t>
        </is>
      </c>
      <c r="F176" s="21" t="n"/>
      <c r="G176" s="21" t="n"/>
      <c r="H176" s="21" t="n"/>
      <c r="I176" s="21" t="n"/>
      <c r="J176" s="21" t="n"/>
      <c r="K176" s="17">
        <f>IF(OR(A176="",B176=""),"",IF(AND(F176&lt;&gt;"",H176&lt;&gt;"",J176&lt;&gt;""),"Complete","Pending"))</f>
        <v/>
      </c>
    </row>
    <row r="177">
      <c r="A177" s="19" t="inlineStr">
        <is>
          <t>M021-Q01</t>
        </is>
      </c>
      <c r="B177" s="19" t="inlineStr">
        <is>
          <t>CL-M021-Q01-014</t>
        </is>
      </c>
      <c r="C177" s="17" t="inlineStr">
        <is>
          <t>[application] The steps Sunil should follow are to have the will drawn in writing, to sign it and affix his thumb impression at its foot or end before the notary and his two witnesses all present at the same time, with the witnesses subscribing in letters in the presence of each other and of the notary, and to let the notary complete the attestation, the deed register entry and the protocol requirements.</t>
        </is>
      </c>
      <c r="D177" s="17" t="inlineStr">
        <is>
          <t>PROV-M021-005: Prevention of Frauds Ordinance s.4 (1) and (2)
PROV-M021-007: Notaries Ordinance s.31 (20)(h)
PROV-M021-008: Notaries Ordinance s.31 (12)
PROV-M021-009: Notaries Ordinance s.31 (8)
PROV-M021-010: Notaries Ordinance s.31 (17)(b)(iii)
Facts: FACT-M021-Q01-004, FACT-M021-Q01-005</t>
        </is>
      </c>
      <c r="E177" s="17" t="inlineStr">
        <is>
          <t>[verified, support combined]</t>
        </is>
      </c>
      <c r="F177" s="21" t="n"/>
      <c r="G177" s="21" t="n"/>
      <c r="H177" s="21" t="n"/>
      <c r="I177" s="21" t="n"/>
      <c r="J177" s="21" t="n"/>
      <c r="K177" s="17">
        <f>IF(OR(A177="",B177=""),"",IF(AND(F177&lt;&gt;"",H177&lt;&gt;"",J177&lt;&gt;""),"Complete","Pending"))</f>
        <v/>
      </c>
    </row>
    <row r="178">
      <c r="A178" s="19" t="inlineStr">
        <is>
          <t>M021-Q01</t>
        </is>
      </c>
      <c r="B178" s="19" t="inlineStr">
        <is>
          <t>CL-M021-Q01-015</t>
        </is>
      </c>
      <c r="C178" s="17" t="inlineStr">
        <is>
          <t>[application] Because the two proposed witnesses and their spouses take no benefit under the will, no gift in the will is cut down on account of the attestation.</t>
        </is>
      </c>
      <c r="D178" s="17" t="inlineStr">
        <is>
          <t>PROV-M021-011: Prevention of Frauds Ordinance s.11
Facts: FACT-M021-Q01-005</t>
        </is>
      </c>
      <c r="E178" s="17" t="inlineStr">
        <is>
          <t>[verified, support direct]</t>
        </is>
      </c>
      <c r="F178" s="21" t="n"/>
      <c r="G178" s="21" t="n"/>
      <c r="H178" s="21" t="n"/>
      <c r="I178" s="21" t="n"/>
      <c r="J178" s="21" t="n"/>
      <c r="K178" s="17">
        <f>IF(OR(A178="",B178=""),"",IF(AND(F178&lt;&gt;"",H178&lt;&gt;"",J178&lt;&gt;""),"Complete","Pending"))</f>
        <v/>
      </c>
    </row>
    <row r="179">
      <c r="A179" s="19" t="inlineStr">
        <is>
          <t>M021-Q01</t>
        </is>
      </c>
      <c r="B179" s="19" t="inlineStr">
        <is>
          <t>CL-M021-Q01-016</t>
        </is>
      </c>
      <c r="C179" s="17" t="inlineStr">
        <is>
          <t>[application] Only one instrument need be executed and no publication is required during Sunil's lifetime.</t>
        </is>
      </c>
      <c r="D179" s="17" t="inlineStr">
        <is>
          <t>PROV-M021-012: Prevention of Frauds Ordinance s.16
PROV-M021-013: Prevention of Frauds Ordinance s.9
Facts: FACT-M021-Q01-004</t>
        </is>
      </c>
      <c r="E179" s="17" t="inlineStr">
        <is>
          <t>[disputed, support combined]</t>
        </is>
      </c>
      <c r="F179" s="21" t="n"/>
      <c r="G179" s="21" t="n"/>
      <c r="H179" s="21" t="n"/>
      <c r="I179" s="21" t="n"/>
      <c r="J179" s="21" t="n"/>
      <c r="K179" s="17">
        <f>IF(OR(A179="",B179=""),"",IF(AND(F179&lt;&gt;"",H179&lt;&gt;"",J179&lt;&gt;""),"Complete","Pending"))</f>
        <v/>
      </c>
    </row>
    <row r="180">
      <c r="A180" s="19" t="inlineStr">
        <is>
          <t>M021-Q01</t>
        </is>
      </c>
      <c r="B180" s="19" t="inlineStr">
        <is>
          <t>CL-M021-Q01-017</t>
        </is>
      </c>
      <c r="C180" s="17" t="inlineStr">
        <is>
          <t>[conclusion] The age limit is eighteen years and Sunil, at 20, may lawfully execute a last will disposing of his house and his fixed deposit.</t>
        </is>
      </c>
      <c r="D180" s="17" t="inlineStr">
        <is>
          <t>PROV-M021-001: Wills Ordinance s.2 (1)
PROV-M021-002: Wills Ordinance (Amendment) Act s.2
Facts: FACT-M021-Q01-001, FACT-M021-Q01-003, BG-1</t>
        </is>
      </c>
      <c r="E180" s="17" t="inlineStr">
        <is>
          <t>[verified, support combined]</t>
        </is>
      </c>
      <c r="F180" s="21" t="n"/>
      <c r="G180" s="21" t="n"/>
      <c r="H180" s="21" t="n"/>
      <c r="I180" s="21" t="n"/>
      <c r="J180" s="21" t="n"/>
      <c r="K180" s="17">
        <f>IF(OR(A180="",B180=""),"",IF(AND(F180&lt;&gt;"",H180&lt;&gt;"",J180&lt;&gt;""),"Complete","Pending"))</f>
        <v/>
      </c>
    </row>
    <row r="181">
      <c r="A181" s="19" t="inlineStr">
        <is>
          <t>M021-Q01</t>
        </is>
      </c>
      <c r="B181" s="19" t="inlineStr">
        <is>
          <t>CL-M021-Q01-018</t>
        </is>
      </c>
      <c r="C181" s="17" t="inlineStr">
        <is>
          <t>[conclusion] To be valid the will must be in writing and signed by Sunil, with his thumb impression, at the foot or end before a notary public and two witnesses present at the same time, the notary attesting it, stating his good and sound mind, entering it in the deed register and attaching his photograph and a copy of his identity document to the protocol.</t>
        </is>
      </c>
      <c r="D181" s="17" t="inlineStr">
        <is>
          <t>PROV-M021-005: Prevention of Frauds Ordinance s.4 (1) and (2)
PROV-M021-007: Notaries Ordinance s.31 (20)(h)
PROV-M021-010: Notaries Ordinance s.31 (17)(b)(iii)
Facts: FACT-M021-Q01-004</t>
        </is>
      </c>
      <c r="E181" s="17" t="inlineStr">
        <is>
          <t>[verified, support combined]</t>
        </is>
      </c>
      <c r="F181" s="21" t="n"/>
      <c r="G181" s="21" t="n"/>
      <c r="H181" s="21" t="n"/>
      <c r="I181" s="21" t="n"/>
      <c r="J181" s="21" t="n"/>
      <c r="K181" s="17">
        <f>IF(OR(A181="",B181=""),"",IF(AND(F181&lt;&gt;"",H181&lt;&gt;"",J181&lt;&gt;""),"Complete","Pending"))</f>
        <v/>
      </c>
    </row>
    <row r="182">
      <c r="A182" s="19" t="inlineStr">
        <is>
          <t>M023-Q02</t>
        </is>
      </c>
      <c r="B182" s="19" t="inlineStr">
        <is>
          <t>CL-M023-Q02-001</t>
        </is>
      </c>
      <c r="C182" s="17" t="inlineStr">
        <is>
          <t>[rule] Intestate succession to the immovable property Lot 1 is governed by Part III of the Matrimonial Rights and Inheritance Ordinance, which applies to the estate of any person dying after its proclamation.</t>
        </is>
      </c>
      <c r="D182" s="17" t="inlineStr">
        <is>
          <t>PROV-M023-002: Matrimonial Rights and Inheritance Ordinance s.21 (1)
PROV-M023-001: Matrimonial Rights and Inheritance Ordinance s.20</t>
        </is>
      </c>
      <c r="E182" s="17" t="inlineStr">
        <is>
          <t>[disputed, support direct]</t>
        </is>
      </c>
      <c r="F182" s="21" t="n"/>
      <c r="G182" s="21" t="n"/>
      <c r="H182" s="21" t="n"/>
      <c r="I182" s="21" t="n"/>
      <c r="J182" s="21" t="n"/>
      <c r="K182" s="17">
        <f>IF(OR(A182="",B182=""),"",IF(AND(F182&lt;&gt;"",H182&lt;&gt;"",J182&lt;&gt;""),"Complete","Pending"))</f>
        <v/>
      </c>
    </row>
    <row r="183">
      <c r="A183" s="19" t="inlineStr">
        <is>
          <t>M023-Q02</t>
        </is>
      </c>
      <c r="B183" s="19" t="inlineStr">
        <is>
          <t>CL-M023-Q02-002</t>
        </is>
      </c>
      <c r="C183" s="17" t="inlineStr">
        <is>
          <t>[rule] A surviving spouse inherits one-half of the property of a person who dies intestate.</t>
        </is>
      </c>
      <c r="D183" s="17" t="inlineStr">
        <is>
          <t>PROV-M023-003: Matrimonial Rights and Inheritance Ordinance s.22</t>
        </is>
      </c>
      <c r="E183" s="17" t="inlineStr">
        <is>
          <t>[verified, support direct]</t>
        </is>
      </c>
      <c r="F183" s="21" t="n"/>
      <c r="G183" s="21" t="n"/>
      <c r="H183" s="21" t="n"/>
      <c r="I183" s="21" t="n"/>
      <c r="J183" s="21" t="n"/>
      <c r="K183" s="17">
        <f>IF(OR(A183="",B183=""),"",IF(AND(F183&lt;&gt;"",H183&lt;&gt;"",J183&lt;&gt;""),"Complete","Pending"))</f>
        <v/>
      </c>
    </row>
    <row r="184">
      <c r="A184" s="19" t="inlineStr">
        <is>
          <t>M023-Q02</t>
        </is>
      </c>
      <c r="B184" s="19" t="inlineStr">
        <is>
          <t>CL-M023-Q02-003</t>
        </is>
      </c>
      <c r="C184" s="17" t="inlineStr">
        <is>
          <t>[rule] Subject to the spouse's half, children are preferent to all others and take equally per capita, the issue of a deceased child taking by representation.</t>
        </is>
      </c>
      <c r="D184" s="17" t="inlineStr">
        <is>
          <t>PROV-M023-005: Matrimonial Rights and Inheritance Ordinance s.24
PROV-M023-004: Matrimonial Rights and Inheritance Ordinance s.23</t>
        </is>
      </c>
      <c r="E184" s="17" t="inlineStr">
        <is>
          <t>[verified, support direct]</t>
        </is>
      </c>
      <c r="F184" s="21" t="n"/>
      <c r="G184" s="21" t="n"/>
      <c r="H184" s="21" t="n"/>
      <c r="I184" s="21" t="n"/>
      <c r="J184" s="21" t="n"/>
      <c r="K184" s="17">
        <f>IF(OR(A184="",B184=""),"",IF(AND(F184&lt;&gt;"",H184&lt;&gt;"",J184&lt;&gt;""),"Complete","Pending"))</f>
        <v/>
      </c>
    </row>
    <row r="185">
      <c r="A185" s="19" t="inlineStr">
        <is>
          <t>M023-Q02</t>
        </is>
      </c>
      <c r="B185" s="19" t="inlineStr">
        <is>
          <t>CL-M023-Q02-004</t>
        </is>
      </c>
      <c r="C185" s="17" t="inlineStr">
        <is>
          <t>[rule] Where descendants fail and both parents have predeceased the intestate, the estate passes to the brothers and sisters, whether of the whole or half blood, and their issue by representation.</t>
        </is>
      </c>
      <c r="D185" s="17" t="inlineStr">
        <is>
          <t>PROV-M023-007: Matrimonial Rights and Inheritance Ordinance s.26</t>
        </is>
      </c>
      <c r="E185" s="17" t="inlineStr">
        <is>
          <t>[verified, support direct]</t>
        </is>
      </c>
      <c r="F185" s="21" t="n"/>
      <c r="G185" s="21" t="n"/>
      <c r="H185" s="21" t="n"/>
      <c r="I185" s="21" t="n"/>
      <c r="J185" s="21" t="n"/>
      <c r="K185" s="17">
        <f>IF(OR(A185="",B185=""),"",IF(AND(F185&lt;&gt;"",H185&lt;&gt;"",J185&lt;&gt;""),"Complete","Pending"))</f>
        <v/>
      </c>
    </row>
    <row r="186">
      <c r="A186" s="19" t="inlineStr">
        <is>
          <t>M023-Q02</t>
        </is>
      </c>
      <c r="B186" s="19" t="inlineStr">
        <is>
          <t>CL-M023-Q02-005</t>
        </is>
      </c>
      <c r="C186" s="17" t="inlineStr">
        <is>
          <t>[rule] Where all the surviving half-siblings are related to the intestate on one side only, they take the whole inheritance unless a grandparent or higher ascendant related on the other side survives.</t>
        </is>
      </c>
      <c r="D186" s="17" t="inlineStr">
        <is>
          <t>PROV-M023-008: Matrimonial Rights and Inheritance Ordinance s.29</t>
        </is>
      </c>
      <c r="E186" s="17" t="inlineStr">
        <is>
          <t>[verified, support direct]</t>
        </is>
      </c>
      <c r="F186" s="21" t="n"/>
      <c r="G186" s="21" t="n"/>
      <c r="H186" s="21" t="n"/>
      <c r="I186" s="21" t="n"/>
      <c r="J186" s="21" t="n"/>
      <c r="K186" s="17">
        <f>IF(OR(A186="",B186=""),"",IF(AND(F186&lt;&gt;"",H186&lt;&gt;"",J186&lt;&gt;""),"Complete","Pending"))</f>
        <v/>
      </c>
    </row>
    <row r="187">
      <c r="A187" s="19" t="inlineStr">
        <is>
          <t>M023-Q02</t>
        </is>
      </c>
      <c r="B187" s="19" t="inlineStr">
        <is>
          <t>CL-M023-Q02-006</t>
        </is>
      </c>
      <c r="C187" s="17" t="inlineStr">
        <is>
          <t>[rule] Where descendants fail and only one parent survives, the surviving parent takes half and the full brothers and sisters, together with half-siblings related through the deceased parent, take the other half.</t>
        </is>
      </c>
      <c r="D187" s="17" t="inlineStr">
        <is>
          <t>PROV-M023-006: Matrimonial Rights and Inheritance Ordinance s.25</t>
        </is>
      </c>
      <c r="E187" s="17" t="inlineStr">
        <is>
          <t>[verified, support direct]</t>
        </is>
      </c>
      <c r="F187" s="21" t="n"/>
      <c r="G187" s="21" t="n"/>
      <c r="H187" s="21" t="n"/>
      <c r="I187" s="21" t="n"/>
      <c r="J187" s="21" t="n"/>
      <c r="K187" s="17">
        <f>IF(OR(A187="",B187=""),"",IF(AND(F187&lt;&gt;"",H187&lt;&gt;"",J187&lt;&gt;""),"Complete","Pending"))</f>
        <v/>
      </c>
    </row>
    <row r="188">
      <c r="A188" s="19" t="inlineStr">
        <is>
          <t>M023-Q02</t>
        </is>
      </c>
      <c r="B188" s="19" t="inlineStr">
        <is>
          <t>CL-M023-Q02-007</t>
        </is>
      </c>
      <c r="C188" s="17" t="inlineStr">
        <is>
          <t>[rule] Heirs who are equally near in degree to the intestate take per capita and not per stirpes.</t>
        </is>
      </c>
      <c r="D188" s="17" t="inlineStr">
        <is>
          <t>PROV-M023-009: Matrimonial Rights and Inheritance Ordinance s.30</t>
        </is>
      </c>
      <c r="E188" s="17" t="inlineStr">
        <is>
          <t>[verified, support direct]</t>
        </is>
      </c>
      <c r="F188" s="21" t="n"/>
      <c r="G188" s="21" t="n"/>
      <c r="H188" s="21" t="n"/>
      <c r="I188" s="21" t="n"/>
      <c r="J188" s="21" t="n"/>
      <c r="K188" s="17">
        <f>IF(OR(A188="",B188=""),"",IF(AND(F188&lt;&gt;"",H188&lt;&gt;"",J188&lt;&gt;""),"Complete","Pending"))</f>
        <v/>
      </c>
    </row>
    <row r="189">
      <c r="A189" s="19" t="inlineStr">
        <is>
          <t>M023-Q02</t>
        </is>
      </c>
      <c r="B189" s="19" t="inlineStr">
        <is>
          <t>CL-M023-Q02-008</t>
        </is>
      </c>
      <c r="C189" s="17" t="inlineStr">
        <is>
          <t>[rule] A person who dies unmarried leaves no husband or wife living, so no spouse's half falls to be deducted from that estate.</t>
        </is>
      </c>
      <c r="D189" s="17" t="inlineStr">
        <is>
          <t>PROV-M023-012: Matrimonial Rights and Inheritance Ordinance s.3
PROV-M023-003: Matrimonial Rights and Inheritance Ordinance s.22</t>
        </is>
      </c>
      <c r="E189" s="17" t="inlineStr">
        <is>
          <t>[verified, support combined]</t>
        </is>
      </c>
      <c r="F189" s="21" t="n"/>
      <c r="G189" s="21" t="n"/>
      <c r="H189" s="21" t="n"/>
      <c r="I189" s="21" t="n"/>
      <c r="J189" s="21" t="n"/>
      <c r="K189" s="17">
        <f>IF(OR(A189="",B189=""),"",IF(AND(F189&lt;&gt;"",H189&lt;&gt;"",J189&lt;&gt;""),"Complete","Pending"))</f>
        <v/>
      </c>
    </row>
    <row r="190">
      <c r="A190" s="19" t="inlineStr">
        <is>
          <t>M023-Q02</t>
        </is>
      </c>
      <c r="B190" s="19" t="inlineStr">
        <is>
          <t>CL-M023-Q02-009</t>
        </is>
      </c>
      <c r="C190" s="17" t="inlineStr">
        <is>
          <t>[application] On Kapila's intestate death on 24 January 2011 his widow Champa took one-half of Lot 1 and his four surviving children Anusha, Prema, Rupa and Seetha took 1/8 each.</t>
        </is>
      </c>
      <c r="D190" s="17" t="inlineStr">
        <is>
          <t>PROV-M023-003: Matrimonial Rights and Inheritance Ordinance s.22
PROV-M023-005: Matrimonial Rights and Inheritance Ordinance s.24
Facts: BG-kapila-intestate-2011, BG-champa-widow, BG-four-children</t>
        </is>
      </c>
      <c r="E190" s="17" t="inlineStr">
        <is>
          <t>[verified, support combined]</t>
        </is>
      </c>
      <c r="F190" s="21" t="n"/>
      <c r="G190" s="21" t="n"/>
      <c r="H190" s="21" t="n"/>
      <c r="I190" s="21" t="n"/>
      <c r="J190" s="21" t="n"/>
      <c r="K190" s="17">
        <f>IF(OR(A190="",B190=""),"",IF(AND(F190&lt;&gt;"",H190&lt;&gt;"",J190&lt;&gt;""),"Complete","Pending"))</f>
        <v/>
      </c>
    </row>
    <row r="191">
      <c r="A191" s="19" t="inlineStr">
        <is>
          <t>M023-Q02</t>
        </is>
      </c>
      <c r="B191" s="19" t="inlineStr">
        <is>
          <t>CL-M023-Q02-010</t>
        </is>
      </c>
      <c r="C191" s="17" t="inlineStr">
        <is>
          <t>[application] Anusha's husband Hasitha Perera took one-half of her 1/8 share, that is 1/16.</t>
        </is>
      </c>
      <c r="D191" s="17" t="inlineStr">
        <is>
          <t>PROV-M023-003: Matrimonial Rights and Inheritance Ordinance s.22
Facts: BG-anusha-married-hasitha, BG-anusha-died-2012</t>
        </is>
      </c>
      <c r="E191" s="17" t="inlineStr">
        <is>
          <t>[verified, support direct]</t>
        </is>
      </c>
      <c r="F191" s="21" t="n"/>
      <c r="G191" s="21" t="n"/>
      <c r="H191" s="21" t="n"/>
      <c r="I191" s="21" t="n"/>
      <c r="J191" s="21" t="n"/>
      <c r="K191" s="17">
        <f>IF(OR(A191="",B191=""),"",IF(AND(F191&lt;&gt;"",H191&lt;&gt;"",J191&lt;&gt;""),"Complete","Pending"))</f>
        <v/>
      </c>
    </row>
    <row r="192">
      <c r="A192" s="19" t="inlineStr">
        <is>
          <t>M023-Q02</t>
        </is>
      </c>
      <c r="B192" s="19" t="inlineStr">
        <is>
          <t>CL-M023-Q02-011</t>
        </is>
      </c>
      <c r="C192" s="17" t="inlineStr">
        <is>
          <t>[application] The balance 1/16 of Anusha's share passed to her three half-sisters Prema, Rupa and Seetha, who took 1/48 each, both her parents having predeceased her and all her siblings being related to her on her father's side only.</t>
        </is>
      </c>
      <c r="D192" s="17" t="inlineStr">
        <is>
          <t>PROV-M023-007: Matrimonial Rights and Inheritance Ordinance s.26
PROV-M023-008: Matrimonial Rights and Inheritance Ordinance s.29
PROV-M023-009: Matrimonial Rights and Inheritance Ordinance s.30
PROV-M023-013: Matrimonial Rights and Inheritance Ordinance s.27
Facts: BG-anusha-issueless, BG-sandya-died, BG-kapila-intestate-2011, BG-half-sisters</t>
        </is>
      </c>
      <c r="E192" s="17" t="inlineStr">
        <is>
          <t>[verified, support combined]</t>
        </is>
      </c>
      <c r="F192" s="21" t="n"/>
      <c r="G192" s="21" t="n"/>
      <c r="H192" s="21" t="n"/>
      <c r="I192" s="21" t="n"/>
      <c r="J192" s="21" t="n"/>
      <c r="K192" s="17">
        <f>IF(OR(A192="",B192=""),"",IF(AND(F192&lt;&gt;"",H192&lt;&gt;"",J192&lt;&gt;""),"Complete","Pending"))</f>
        <v/>
      </c>
    </row>
    <row r="193">
      <c r="A193" s="19" t="inlineStr">
        <is>
          <t>M023-Q02</t>
        </is>
      </c>
      <c r="B193" s="19" t="inlineStr">
        <is>
          <t>CL-M023-Q02-012</t>
        </is>
      </c>
      <c r="C193" s="17" t="inlineStr">
        <is>
          <t>[application] After Anusha's death each of Prema, Rupa and Seetha held 7/48 of Lot 1.</t>
        </is>
      </c>
      <c r="D193" s="17" t="inlineStr">
        <is>
          <t>PROV-M023-005: Matrimonial Rights and Inheritance Ordinance s.24
PROV-M023-008: Matrimonial Rights and Inheritance Ordinance s.29
Facts: BG-four-children, BG-half-sisters</t>
        </is>
      </c>
      <c r="E193" s="17" t="inlineStr">
        <is>
          <t>[verified, support inferential]</t>
        </is>
      </c>
      <c r="F193" s="21" t="n"/>
      <c r="G193" s="21" t="n"/>
      <c r="H193" s="21" t="n"/>
      <c r="I193" s="21" t="n"/>
      <c r="J193" s="21" t="n"/>
      <c r="K193" s="17">
        <f>IF(OR(A193="",B193=""),"",IF(AND(F193&lt;&gt;"",H193&lt;&gt;"",J193&lt;&gt;""),"Complete","Pending"))</f>
        <v/>
      </c>
    </row>
    <row r="194">
      <c r="A194" s="19" t="inlineStr">
        <is>
          <t>M023-Q02</t>
        </is>
      </c>
      <c r="B194" s="19" t="inlineStr">
        <is>
          <t>CL-M023-Q02-013</t>
        </is>
      </c>
      <c r="C194" s="17" t="inlineStr">
        <is>
          <t>[application] On Prema's death unmarried and issueless on 4 September 2015 her surviving mother Champa took half of her 7/48, that is 7/96, and her full sisters Rupa and Seetha took 7/192 each.</t>
        </is>
      </c>
      <c r="D194" s="17" t="inlineStr">
        <is>
          <t>PROV-M023-006: Matrimonial Rights and Inheritance Ordinance s.25
PROV-M023-012: Matrimonial Rights and Inheritance Ordinance s.3
PROV-M023-009: Matrimonial Rights and Inheritance Ordinance s.30
Facts: BG-prema-died-2015, BG-champa-widow, BG-full-sisters</t>
        </is>
      </c>
      <c r="E194" s="17" t="inlineStr">
        <is>
          <t>[verified, support combined]</t>
        </is>
      </c>
      <c r="F194" s="21" t="n"/>
      <c r="G194" s="21" t="n"/>
      <c r="H194" s="21" t="n"/>
      <c r="I194" s="21" t="n"/>
      <c r="J194" s="21" t="n"/>
      <c r="K194" s="17">
        <f>IF(OR(A194="",B194=""),"",IF(AND(F194&lt;&gt;"",H194&lt;&gt;"",J194&lt;&gt;""),"Complete","Pending"))</f>
        <v/>
      </c>
    </row>
    <row r="195">
      <c r="A195" s="19" t="inlineStr">
        <is>
          <t>M023-Q02</t>
        </is>
      </c>
      <c r="B195" s="19" t="inlineStr">
        <is>
          <t>CL-M023-Q02-014</t>
        </is>
      </c>
      <c r="C195" s="17" t="inlineStr">
        <is>
          <t>[conclusion] The present shares are Champa 55/96, Rupa 35/192, Seetha 35/192 and Hasitha Perera 1/16.</t>
        </is>
      </c>
      <c r="D195" s="17" t="inlineStr">
        <is>
          <t>PROV-M023-003: Matrimonial Rights and Inheritance Ordinance s.22
PROV-M023-005: Matrimonial Rights and Inheritance Ordinance s.24
PROV-M023-006: Matrimonial Rights and Inheritance Ordinance s.25
PROV-M023-007: Matrimonial Rights and Inheritance Ordinance s.26
PROV-M023-008: Matrimonial Rights and Inheritance Ordinance s.29
PROV-M023-009: Matrimonial Rights and Inheritance Ordinance s.30
Facts: BG-kapila-intestate-2011, BG-anusha-died-2012, BG-prema-died-2015</t>
        </is>
      </c>
      <c r="E195" s="17" t="inlineStr">
        <is>
          <t>[verified, support combined]</t>
        </is>
      </c>
      <c r="F195" s="21" t="n"/>
      <c r="G195" s="21" t="n"/>
      <c r="H195" s="21" t="n"/>
      <c r="I195" s="21" t="n"/>
      <c r="J195" s="21" t="n"/>
      <c r="K195" s="17">
        <f>IF(OR(A195="",B195=""),"",IF(AND(F195&lt;&gt;"",H195&lt;&gt;"",J195&lt;&gt;""),"Complete","Pending"))</f>
        <v/>
      </c>
    </row>
    <row r="196">
      <c r="A196" s="19" t="inlineStr">
        <is>
          <t>M023-Q02</t>
        </is>
      </c>
      <c r="B196" s="19" t="inlineStr">
        <is>
          <t>CL-M023-Q02-015</t>
        </is>
      </c>
      <c r="C196" s="17" t="inlineStr">
        <is>
          <t>[conclusion] Malani and Mithila hold no share in Lot 1, because Mahesh had gifted the entirety to Kapila before his death.</t>
        </is>
      </c>
      <c r="D196" s="17" t="inlineStr">
        <is>
          <t>PROV-M023-005: Matrimonial Rights and Inheritance Ordinance s.24
Facts: BG-deed-of-gift-2006, BG-mahesh-died-2008</t>
        </is>
      </c>
      <c r="E196" s="17" t="inlineStr">
        <is>
          <t>[disputed, support inferential]</t>
        </is>
      </c>
      <c r="F196" s="21" t="n"/>
      <c r="G196" s="21" t="n"/>
      <c r="H196" s="21" t="n"/>
      <c r="I196" s="21" t="n"/>
      <c r="J196" s="21" t="n"/>
      <c r="K196" s="17">
        <f>IF(OR(A196="",B196=""),"",IF(AND(F196&lt;&gt;"",H196&lt;&gt;"",J196&lt;&gt;""),"Complete","Pending"))</f>
        <v/>
      </c>
    </row>
    <row r="197">
      <c r="A197" s="19" t="inlineStr">
        <is>
          <t>M025-Q01</t>
        </is>
      </c>
      <c r="B197" s="19" t="inlineStr">
        <is>
          <t>CL-M025-Q01-001</t>
        </is>
      </c>
      <c r="C197" s="17" t="inlineStr">
        <is>
          <t>[rule] Inheritance ab intestato to immovable property in Sri Lanka is governed by Part III of the Matrimonial Rights and Inheritance Ordinance, whatever the domicile of the deceased.</t>
        </is>
      </c>
      <c r="D197" s="17" t="inlineStr">
        <is>
          <t>PROV-M025-001: Matrimonial Rights and Inheritance Ordinance s.21 (1)</t>
        </is>
      </c>
      <c r="E197" s="17" t="inlineStr">
        <is>
          <t>[verified, support direct]</t>
        </is>
      </c>
      <c r="F197" s="21" t="n"/>
      <c r="G197" s="21" t="n"/>
      <c r="H197" s="21" t="n"/>
      <c r="I197" s="21" t="n"/>
      <c r="J197" s="21" t="n"/>
      <c r="K197" s="17">
        <f>IF(OR(A197="",B197=""),"",IF(AND(F197&lt;&gt;"",H197&lt;&gt;"",J197&lt;&gt;""),"Complete","Pending"))</f>
        <v/>
      </c>
    </row>
    <row r="198">
      <c r="A198" s="19" t="inlineStr">
        <is>
          <t>M025-Q01</t>
        </is>
      </c>
      <c r="B198" s="19" t="inlineStr">
        <is>
          <t>CL-M025-Q01-002</t>
        </is>
      </c>
      <c r="C198" s="17" t="inlineStr">
        <is>
          <t>[rule] Subject to the surviving spouse's one-half under s.22, the right of inheritance is divided in the order descendants, ascendants, collaterals.</t>
        </is>
      </c>
      <c r="D198" s="17" t="inlineStr">
        <is>
          <t>PROV-M025-004: Matrimonial Rights and Inheritance Ordinance s.23
PROV-M025-003: Matrimonial Rights and Inheritance Ordinance s.22</t>
        </is>
      </c>
      <c r="E198" s="17" t="inlineStr">
        <is>
          <t>[verified, support combined]</t>
        </is>
      </c>
      <c r="F198" s="21" t="n"/>
      <c r="G198" s="21" t="n"/>
      <c r="H198" s="21" t="n"/>
      <c r="I198" s="21" t="n"/>
      <c r="J198" s="21" t="n"/>
      <c r="K198" s="17">
        <f>IF(OR(A198="",B198=""),"",IF(AND(F198&lt;&gt;"",H198&lt;&gt;"",J198&lt;&gt;""),"Complete","Pending"))</f>
        <v/>
      </c>
    </row>
    <row r="199">
      <c r="A199" s="19" t="inlineStr">
        <is>
          <t>M025-Q01</t>
        </is>
      </c>
      <c r="B199" s="19" t="inlineStr">
        <is>
          <t>CL-M025-Q01-003</t>
        </is>
      </c>
      <c r="C199" s="17" t="inlineStr">
        <is>
          <t>[rule] Where a person dies intestate leaving no descendants and only one parent alive, that surviving parent takes one-half and the other half goes to the full-blood brothers and sisters and to the half-blood brothers and sisters related to the intestate by the side of the deceased parent.</t>
        </is>
      </c>
      <c r="D199" s="17" t="inlineStr">
        <is>
          <t>PROV-M025-006: Matrimonial Rights and Inheritance Ordinance s.25</t>
        </is>
      </c>
      <c r="E199" s="17" t="inlineStr">
        <is>
          <t>[verified, support direct]</t>
        </is>
      </c>
      <c r="F199" s="21" t="n"/>
      <c r="G199" s="21" t="n"/>
      <c r="H199" s="21" t="n"/>
      <c r="I199" s="21" t="n"/>
      <c r="J199" s="21" t="n"/>
      <c r="K199" s="17">
        <f>IF(OR(A199="",B199=""),"",IF(AND(F199&lt;&gt;"",H199&lt;&gt;"",J199&lt;&gt;""),"Complete","Pending"))</f>
        <v/>
      </c>
    </row>
    <row r="200">
      <c r="A200" s="19" t="inlineStr">
        <is>
          <t>M025-Q01</t>
        </is>
      </c>
      <c r="B200" s="19" t="inlineStr">
        <is>
          <t>CL-M025-Q01-004</t>
        </is>
      </c>
      <c r="C200" s="17" t="inlineStr">
        <is>
          <t>[rule] A person is unmarried for the purposes of the Ordinance when he has no husband or wife living, so an intestate who dies unmarried leaves no spouse to take a half share under s.22.</t>
        </is>
      </c>
      <c r="D200" s="17" t="inlineStr">
        <is>
          <t>PROV-M025-008: Matrimonial Rights and Inheritance Ordinance s.3
PROV-M025-003: Matrimonial Rights and Inheritance Ordinance s.22</t>
        </is>
      </c>
      <c r="E200" s="17" t="inlineStr">
        <is>
          <t>[verified, support combined]</t>
        </is>
      </c>
      <c r="F200" s="21" t="n"/>
      <c r="G200" s="21" t="n"/>
      <c r="H200" s="21" t="n"/>
      <c r="I200" s="21" t="n"/>
      <c r="J200" s="21" t="n"/>
      <c r="K200" s="17">
        <f>IF(OR(A200="",B200=""),"",IF(AND(F200&lt;&gt;"",H200&lt;&gt;"",J200&lt;&gt;""),"Complete","Pending"))</f>
        <v/>
      </c>
    </row>
    <row r="201">
      <c r="A201" s="19" t="inlineStr">
        <is>
          <t>M025-Q01</t>
        </is>
      </c>
      <c r="B201" s="19" t="inlineStr">
        <is>
          <t>CL-M025-Q01-005</t>
        </is>
      </c>
      <c r="C201" s="17" t="inlineStr">
        <is>
          <t>[rule] Children and remoter descendants are preferent to all others in the estate of a parent and take equally per capita, the issue of a deceased child taking by representation.</t>
        </is>
      </c>
      <c r="D201" s="17" t="inlineStr">
        <is>
          <t>PROV-M025-005: Matrimonial Rights and Inheritance Ordinance s.24</t>
        </is>
      </c>
      <c r="E201" s="17" t="inlineStr">
        <is>
          <t>[verified, support direct]</t>
        </is>
      </c>
      <c r="F201" s="21" t="n"/>
      <c r="G201" s="21" t="n"/>
      <c r="H201" s="21" t="n"/>
      <c r="I201" s="21" t="n"/>
      <c r="J201" s="21" t="n"/>
      <c r="K201" s="17">
        <f>IF(OR(A201="",B201=""),"",IF(AND(F201&lt;&gt;"",H201&lt;&gt;"",J201&lt;&gt;""),"Complete","Pending"))</f>
        <v/>
      </c>
    </row>
    <row r="202">
      <c r="A202" s="19" t="inlineStr">
        <is>
          <t>M025-Q01</t>
        </is>
      </c>
      <c r="B202" s="19" t="inlineStr">
        <is>
          <t>CL-M025-Q01-006</t>
        </is>
      </c>
      <c r="C202" s="17" t="inlineStr">
        <is>
          <t>[rule] Persons equally near in degree to the intestate take per capita and not per stirpes.</t>
        </is>
      </c>
      <c r="D202" s="17" t="inlineStr">
        <is>
          <t>PROV-M025-007: Matrimonial Rights and Inheritance Ordinance s.30</t>
        </is>
      </c>
      <c r="E202" s="17" t="inlineStr">
        <is>
          <t>[verified, support direct]</t>
        </is>
      </c>
      <c r="F202" s="21" t="n"/>
      <c r="G202" s="21" t="n"/>
      <c r="H202" s="21" t="n"/>
      <c r="I202" s="21" t="n"/>
      <c r="J202" s="21" t="n"/>
      <c r="K202" s="17">
        <f>IF(OR(A202="",B202=""),"",IF(AND(F202&lt;&gt;"",H202&lt;&gt;"",J202&lt;&gt;""),"Complete","Pending"))</f>
        <v/>
      </c>
    </row>
    <row r="203">
      <c r="A203" s="19" t="inlineStr">
        <is>
          <t>M025-Q01</t>
        </is>
      </c>
      <c r="B203" s="19" t="inlineStr">
        <is>
          <t>CL-M025-Q01-007</t>
        </is>
      </c>
      <c r="C203" s="17" t="inlineStr">
        <is>
          <t>[application] Having conveyed the entirety to Kasun by Deed of Gift No.5634 of 18 April 2011, Kamala Silva held no interest in this land at her death on 7 July 2011, so nothing in it passed to Namal Silva, Sarathi or Amal on her death.</t>
        </is>
      </c>
      <c r="D203" s="17" t="inlineStr">
        <is>
          <t>PROV-M025-010: Prevention of Frauds Ordinance s.2 (1)
Facts: BG-3, BG-4</t>
        </is>
      </c>
      <c r="E203" s="17" t="inlineStr">
        <is>
          <t>[disputed, support combined]</t>
        </is>
      </c>
      <c r="F203" s="21" t="n"/>
      <c r="G203" s="21" t="n"/>
      <c r="H203" s="21" t="n"/>
      <c r="I203" s="21" t="n"/>
      <c r="J203" s="21" t="n"/>
      <c r="K203" s="17">
        <f>IF(OR(A203="",B203=""),"",IF(AND(F203&lt;&gt;"",H203&lt;&gt;"",J203&lt;&gt;""),"Complete","Pending"))</f>
        <v/>
      </c>
    </row>
    <row r="204">
      <c r="A204" s="19" t="inlineStr">
        <is>
          <t>M025-Q01</t>
        </is>
      </c>
      <c r="B204" s="19" t="inlineStr">
        <is>
          <t>CL-M025-Q01-008</t>
        </is>
      </c>
      <c r="C204" s="17" t="inlineStr">
        <is>
          <t>[application] Kasun died intestate, unmarried and without issue on 3 May 2013, so no spousal half arose and the descendant class was empty; his mother Kamala had predeceased him and his father Thilak survived, so Thilak took one-half of the land.</t>
        </is>
      </c>
      <c r="D204" s="17" t="inlineStr">
        <is>
          <t>PROV-M025-006: Matrimonial Rights and Inheritance Ordinance s.25
PROV-M025-008: Matrimonial Rights and Inheritance Ordinance s.3
PROV-M025-003: Matrimonial Rights and Inheritance Ordinance s.22
Facts: BG-4, BG-5</t>
        </is>
      </c>
      <c r="E204" s="17" t="inlineStr">
        <is>
          <t>[verified, support combined]</t>
        </is>
      </c>
      <c r="F204" s="21" t="n"/>
      <c r="G204" s="21" t="n"/>
      <c r="H204" s="21" t="n"/>
      <c r="I204" s="21" t="n"/>
      <c r="J204" s="21" t="n"/>
      <c r="K204" s="17">
        <f>IF(OR(A204="",B204=""),"",IF(AND(F204&lt;&gt;"",H204&lt;&gt;"",J204&lt;&gt;""),"Complete","Pending"))</f>
        <v/>
      </c>
    </row>
    <row r="205">
      <c r="A205" s="19" t="inlineStr">
        <is>
          <t>M025-Q01</t>
        </is>
      </c>
      <c r="B205" s="19" t="inlineStr">
        <is>
          <t>CL-M025-Q01-009</t>
        </is>
      </c>
      <c r="C205" s="17" t="inlineStr">
        <is>
          <t>[application] The other half of Kasun's estate went to Sarathi and Amal as the half-blood brother and sister related to him by the side of his deceased mother, in equal shares, while Sunil and Lalith, related through his surviving father, took nothing.</t>
        </is>
      </c>
      <c r="D205" s="17" t="inlineStr">
        <is>
          <t>PROV-M025-006: Matrimonial Rights and Inheritance Ordinance s.25
PROV-M025-007: Matrimonial Rights and Inheritance Ordinance s.30
Facts: BG-3, BG-4, BG-8</t>
        </is>
      </c>
      <c r="E205" s="17" t="inlineStr">
        <is>
          <t>[verified, support combined]</t>
        </is>
      </c>
      <c r="F205" s="21" t="n"/>
      <c r="G205" s="21" t="n"/>
      <c r="H205" s="21" t="n"/>
      <c r="I205" s="21" t="n"/>
      <c r="J205" s="21" t="n"/>
      <c r="K205" s="17">
        <f>IF(OR(A205="",B205=""),"",IF(AND(F205&lt;&gt;"",H205&lt;&gt;"",J205&lt;&gt;""),"Complete","Pending"))</f>
        <v/>
      </c>
    </row>
    <row r="206">
      <c r="A206" s="19" t="inlineStr">
        <is>
          <t>M025-Q01</t>
        </is>
      </c>
      <c r="B206" s="19" t="inlineStr">
        <is>
          <t>CL-M025-Q01-010</t>
        </is>
      </c>
      <c r="C206" s="17" t="inlineStr">
        <is>
          <t>[application] That devolution was carried into effect in Testamentary Proceeding No.1589/2013/T and by the notarially attested Administrator's Conveyance No.6231 of 21 March 2014 executed by Thilak as administrator on the termination of the proceeding.</t>
        </is>
      </c>
      <c r="D206" s="17" t="inlineStr">
        <is>
          <t>PROV-M025-011: Civil Procedure Code s.531 (1)(b)
PROV-M025-012: Civil Procedure Code s.724B (1)
PROV-M025-010: Prevention of Frauds Ordinance s.2 (1)
Facts: BG-5, BG-6</t>
        </is>
      </c>
      <c r="E206" s="17" t="inlineStr">
        <is>
          <t>[disputed, support combined]</t>
        </is>
      </c>
      <c r="F206" s="21" t="n"/>
      <c r="G206" s="21" t="n"/>
      <c r="H206" s="21" t="n"/>
      <c r="I206" s="21" t="n"/>
      <c r="J206" s="21" t="n"/>
      <c r="K206" s="17">
        <f>IF(OR(A206="",B206=""),"",IF(AND(F206&lt;&gt;"",H206&lt;&gt;"",J206&lt;&gt;""),"Complete","Pending"))</f>
        <v/>
      </c>
    </row>
    <row r="207">
      <c r="A207" s="19" t="inlineStr">
        <is>
          <t>M025-Q01</t>
        </is>
      </c>
      <c r="B207" s="19" t="inlineStr">
        <is>
          <t>CL-M025-Q01-011</t>
        </is>
      </c>
      <c r="C207" s="17" t="inlineStr">
        <is>
          <t>[application] On Thilak's intestate death on 3 March 2017 with no surviving spouse disclosed, his surviving children Sunil and Lalith took his one-half in equal shares, Kasun having predeceased him without issue.</t>
        </is>
      </c>
      <c r="D207" s="17" t="inlineStr">
        <is>
          <t>PROV-M025-005: Matrimonial Rights and Inheritance Ordinance s.24
PROV-M025-003: Matrimonial Rights and Inheritance Ordinance s.22
Facts: BG-5, BG-7, BG-8</t>
        </is>
      </c>
      <c r="E207" s="17" t="inlineStr">
        <is>
          <t>[verified, support combined]</t>
        </is>
      </c>
      <c r="F207" s="21" t="n"/>
      <c r="G207" s="21" t="n"/>
      <c r="H207" s="21" t="n"/>
      <c r="I207" s="21" t="n"/>
      <c r="J207" s="21" t="n"/>
      <c r="K207" s="17">
        <f>IF(OR(A207="",B207=""),"",IF(AND(F207&lt;&gt;"",H207&lt;&gt;"",J207&lt;&gt;""),"Complete","Pending"))</f>
        <v/>
      </c>
    </row>
    <row r="208">
      <c r="A208" s="19" t="inlineStr">
        <is>
          <t>M025-Q01</t>
        </is>
      </c>
      <c r="B208" s="19" t="inlineStr">
        <is>
          <t>CL-M025-Q01-012</t>
        </is>
      </c>
      <c r="C208" s="17" t="inlineStr">
        <is>
          <t>[application] On Sarathi's intestate and issueless death on 8 August 2018 her husband Sena took one-half of her share, and the balance devolved under s.25 on her surviving parent and her brother Amal, her mother having predeceased her and her half-brother Kasun having predeceased her without issue.</t>
        </is>
      </c>
      <c r="D208" s="17" t="inlineStr">
        <is>
          <t>PROV-M025-003: Matrimonial Rights and Inheritance Ordinance s.22
PROV-M025-006: Matrimonial Rights and Inheritance Ordinance s.25
Facts: BG-4, BG-5, BG-9</t>
        </is>
      </c>
      <c r="E208" s="17" t="inlineStr">
        <is>
          <t>[disputed, support combined]</t>
        </is>
      </c>
      <c r="F208" s="21" t="n"/>
      <c r="G208" s="21" t="n"/>
      <c r="H208" s="21" t="n"/>
      <c r="I208" s="21" t="n"/>
      <c r="J208" s="21" t="n"/>
      <c r="K208" s="17">
        <f>IF(OR(A208="",B208=""),"",IF(AND(F208&lt;&gt;"",H208&lt;&gt;"",J208&lt;&gt;""),"Complete","Pending"))</f>
        <v/>
      </c>
    </row>
    <row r="209">
      <c r="A209" s="19" t="inlineStr">
        <is>
          <t>M025-Q01</t>
        </is>
      </c>
      <c r="B209" s="19" t="inlineStr">
        <is>
          <t>CL-M025-Q01-013</t>
        </is>
      </c>
      <c r="C209" s="17" t="inlineStr">
        <is>
          <t>[conclusion] The pedigree is Gamini Jayasinghe to Kamala Silva by Deed of Transfer No.2778, to Kasun by Deed of Gift No.5634, then on Kasun's intestacy to Thilak, Sarathi and Amal, then on Thilak's intestacy to Sunil and Lalith, and then on Sarathi's intestacy to Sena, Namal Silva and Amal, so that the present owners are Amal, Sunil, Lalith, Sena and Namal Silva.</t>
        </is>
      </c>
      <c r="D209" s="17" t="inlineStr">
        <is>
          <t>PROV-M025-001: Matrimonial Rights and Inheritance Ordinance s.21 (1)
PROV-M025-003: Matrimonial Rights and Inheritance Ordinance s.22
PROV-M025-005: Matrimonial Rights and Inheritance Ordinance s.24
PROV-M025-006: Matrimonial Rights and Inheritance Ordinance s.25
Facts: BG-1, BG-2, BG-3, BG-5, BG-7, BG-9</t>
        </is>
      </c>
      <c r="E209" s="17" t="inlineStr">
        <is>
          <t>[disputed, support combined]</t>
        </is>
      </c>
      <c r="F209" s="21" t="n"/>
      <c r="G209" s="21" t="n"/>
      <c r="H209" s="21" t="n"/>
      <c r="I209" s="21" t="n"/>
      <c r="J209" s="21" t="n"/>
      <c r="K209" s="17">
        <f>IF(OR(A209="",B209=""),"",IF(AND(F209&lt;&gt;"",H209&lt;&gt;"",J209&lt;&gt;""),"Complete","Pending"))</f>
        <v/>
      </c>
    </row>
    <row r="210">
      <c r="A210" s="19" t="inlineStr">
        <is>
          <t>M025-Q01</t>
        </is>
      </c>
      <c r="B210" s="19" t="inlineStr">
        <is>
          <t>CL-M025-Q01-014</t>
        </is>
      </c>
      <c r="C210" s="17" t="inlineStr">
        <is>
          <t>[conclusion] The pedigree rests on two facts that the background leaves open: the grantees named in Administrator's Conveyance No.6231, and whether Namal Silva is the father of Sarathi and Amal and survives Sarathi.</t>
        </is>
      </c>
      <c r="D210" s="17" t="inlineStr">
        <is>
          <t>Facts: BG-4, BG-6, BG-9</t>
        </is>
      </c>
      <c r="E210" s="17" t="inlineStr">
        <is>
          <t>[verified, support inferential]</t>
        </is>
      </c>
      <c r="F210" s="21" t="n"/>
      <c r="G210" s="21" t="n"/>
      <c r="H210" s="21" t="n"/>
      <c r="I210" s="21" t="n"/>
      <c r="J210" s="21" t="n"/>
      <c r="K210" s="17">
        <f>IF(OR(A210="",B210=""),"",IF(AND(F210&lt;&gt;"",H210&lt;&gt;"",J210&lt;&gt;""),"Complete","Pending"))</f>
        <v/>
      </c>
    </row>
    <row r="211">
      <c r="A211" s="19" t="inlineStr">
        <is>
          <t>M025-Q02</t>
        </is>
      </c>
      <c r="B211" s="19" t="inlineStr">
        <is>
          <t>CL-M025-Q02-001</t>
        </is>
      </c>
      <c r="C211" s="17" t="inlineStr">
        <is>
          <t>[rule] A surviving spouse inherits one-half of the property of a person who dies intestate.</t>
        </is>
      </c>
      <c r="D211" s="17" t="inlineStr">
        <is>
          <t>PROV-M025-003: Matrimonial Rights and Inheritance Ordinance s.22</t>
        </is>
      </c>
      <c r="E211" s="17" t="inlineStr">
        <is>
          <t>[verified, support direct]</t>
        </is>
      </c>
      <c r="F211" s="21" t="n"/>
      <c r="G211" s="21" t="n"/>
      <c r="H211" s="21" t="n"/>
      <c r="I211" s="21" t="n"/>
      <c r="J211" s="21" t="n"/>
      <c r="K211" s="17">
        <f>IF(OR(A211="",B211=""),"",IF(AND(F211&lt;&gt;"",H211&lt;&gt;"",J211&lt;&gt;""),"Complete","Pending"))</f>
        <v/>
      </c>
    </row>
    <row r="212">
      <c r="A212" s="19" t="inlineStr">
        <is>
          <t>M025-Q02</t>
        </is>
      </c>
      <c r="B212" s="19" t="inlineStr">
        <is>
          <t>CL-M025-Q02-002</t>
        </is>
      </c>
      <c r="C212" s="17" t="inlineStr">
        <is>
          <t>[rule] Subject to the spouse's half, inheritance passes in the order descendants, ascendants, collaterals, and children take equally per capita in preference to all others.</t>
        </is>
      </c>
      <c r="D212" s="17" t="inlineStr">
        <is>
          <t>PROV-M025-004: Matrimonial Rights and Inheritance Ordinance s.23
PROV-M025-005: Matrimonial Rights and Inheritance Ordinance s.24</t>
        </is>
      </c>
      <c r="E212" s="17" t="inlineStr">
        <is>
          <t>[verified, support combined]</t>
        </is>
      </c>
      <c r="F212" s="21" t="n"/>
      <c r="G212" s="21" t="n"/>
      <c r="H212" s="21" t="n"/>
      <c r="I212" s="21" t="n"/>
      <c r="J212" s="21" t="n"/>
      <c r="K212" s="17">
        <f>IF(OR(A212="",B212=""),"",IF(AND(F212&lt;&gt;"",H212&lt;&gt;"",J212&lt;&gt;""),"Complete","Pending"))</f>
        <v/>
      </c>
    </row>
    <row r="213">
      <c r="A213" s="19" t="inlineStr">
        <is>
          <t>M025-Q02</t>
        </is>
      </c>
      <c r="B213" s="19" t="inlineStr">
        <is>
          <t>CL-M025-Q02-003</t>
        </is>
      </c>
      <c r="C213" s="17" t="inlineStr">
        <is>
          <t>[rule] Where descendants fail and only one parent survives, the surviving parent takes one-half and the other half goes to the full-blood siblings and to the half-blood siblings related to the intestate by the side of the deceased parent, those equally near in degree taking per capita.</t>
        </is>
      </c>
      <c r="D213" s="17" t="inlineStr">
        <is>
          <t>PROV-M025-006: Matrimonial Rights and Inheritance Ordinance s.25
PROV-M025-007: Matrimonial Rights and Inheritance Ordinance s.30</t>
        </is>
      </c>
      <c r="E213" s="17" t="inlineStr">
        <is>
          <t>[verified, support combined]</t>
        </is>
      </c>
      <c r="F213" s="21" t="n"/>
      <c r="G213" s="21" t="n"/>
      <c r="H213" s="21" t="n"/>
      <c r="I213" s="21" t="n"/>
      <c r="J213" s="21" t="n"/>
      <c r="K213" s="17">
        <f>IF(OR(A213="",B213=""),"",IF(AND(F213&lt;&gt;"",H213&lt;&gt;"",J213&lt;&gt;""),"Complete","Pending"))</f>
        <v/>
      </c>
    </row>
    <row r="214">
      <c r="A214" s="19" t="inlineStr">
        <is>
          <t>M025-Q02</t>
        </is>
      </c>
      <c r="B214" s="19" t="inlineStr">
        <is>
          <t>CL-M025-Q02-004</t>
        </is>
      </c>
      <c r="C214" s="17" t="inlineStr">
        <is>
          <t>[rule] The Ordinance governs inheritance to immovable property in Sri Lanka, and a person who dies unmarried has no husband or wife living and so leaves no spouse to take a half share.</t>
        </is>
      </c>
      <c r="D214" s="17" t="inlineStr">
        <is>
          <t>PROV-M025-001: Matrimonial Rights and Inheritance Ordinance s.21 (1)
PROV-M025-008: Matrimonial Rights and Inheritance Ordinance s.3</t>
        </is>
      </c>
      <c r="E214" s="17" t="inlineStr">
        <is>
          <t>[verified, support combined]</t>
        </is>
      </c>
      <c r="F214" s="21" t="n"/>
      <c r="G214" s="21" t="n"/>
      <c r="H214" s="21" t="n"/>
      <c r="I214" s="21" t="n"/>
      <c r="J214" s="21" t="n"/>
      <c r="K214" s="17">
        <f>IF(OR(A214="",B214=""),"",IF(AND(F214&lt;&gt;"",H214&lt;&gt;"",J214&lt;&gt;""),"Complete","Pending"))</f>
        <v/>
      </c>
    </row>
    <row r="215">
      <c r="A215" s="19" t="inlineStr">
        <is>
          <t>M025-Q02</t>
        </is>
      </c>
      <c r="B215" s="19" t="inlineStr">
        <is>
          <t>CL-M025-Q02-005</t>
        </is>
      </c>
      <c r="C215" s="17" t="inlineStr">
        <is>
          <t>[application] On Kasun's intestate death Thilak took one-half of the land and Sarathi and Amal took one-quarter each.</t>
        </is>
      </c>
      <c r="D215" s="17" t="inlineStr">
        <is>
          <t>PROV-M025-006: Matrimonial Rights and Inheritance Ordinance s.25
PROV-M025-007: Matrimonial Rights and Inheritance Ordinance s.30
PROV-M025-008: Matrimonial Rights and Inheritance Ordinance s.3
Facts: BG-3, BG-4, BG-5, BG-6</t>
        </is>
      </c>
      <c r="E215" s="17" t="inlineStr">
        <is>
          <t>[verified, support combined]</t>
        </is>
      </c>
      <c r="F215" s="21" t="n"/>
      <c r="G215" s="21" t="n"/>
      <c r="H215" s="21" t="n"/>
      <c r="I215" s="21" t="n"/>
      <c r="J215" s="21" t="n"/>
      <c r="K215" s="17">
        <f>IF(OR(A215="",B215=""),"",IF(AND(F215&lt;&gt;"",H215&lt;&gt;"",J215&lt;&gt;""),"Complete","Pending"))</f>
        <v/>
      </c>
    </row>
    <row r="216">
      <c r="A216" s="19" t="inlineStr">
        <is>
          <t>M025-Q02</t>
        </is>
      </c>
      <c r="B216" s="19" t="inlineStr">
        <is>
          <t>CL-M025-Q02-006</t>
        </is>
      </c>
      <c r="C216" s="17" t="inlineStr">
        <is>
          <t>[application] On Thilak's intestate death his one-half passed equally to Sunil and Lalith, giving each one-quarter of the land.</t>
        </is>
      </c>
      <c r="D216" s="17" t="inlineStr">
        <is>
          <t>PROV-M025-005: Matrimonial Rights and Inheritance Ordinance s.24
Facts: BG-5, BG-7, BG-8</t>
        </is>
      </c>
      <c r="E216" s="17" t="inlineStr">
        <is>
          <t>[verified, support combined]</t>
        </is>
      </c>
      <c r="F216" s="21" t="n"/>
      <c r="G216" s="21" t="n"/>
      <c r="H216" s="21" t="n"/>
      <c r="I216" s="21" t="n"/>
      <c r="J216" s="21" t="n"/>
      <c r="K216" s="17">
        <f>IF(OR(A216="",B216=""),"",IF(AND(F216&lt;&gt;"",H216&lt;&gt;"",J216&lt;&gt;""),"Complete","Pending"))</f>
        <v/>
      </c>
    </row>
    <row r="217">
      <c r="A217" s="19" t="inlineStr">
        <is>
          <t>M025-Q02</t>
        </is>
      </c>
      <c r="B217" s="19" t="inlineStr">
        <is>
          <t>CL-M025-Q02-007</t>
        </is>
      </c>
      <c r="C217" s="17" t="inlineStr">
        <is>
          <t>[application] On Sarathi's intestate death her husband Sena took one-half of her one-quarter, that is one-eighth of the land.</t>
        </is>
      </c>
      <c r="D217" s="17" t="inlineStr">
        <is>
          <t>PROV-M025-003: Matrimonial Rights and Inheritance Ordinance s.22
Facts: BG-9</t>
        </is>
      </c>
      <c r="E217" s="17" t="inlineStr">
        <is>
          <t>[verified, support direct]</t>
        </is>
      </c>
      <c r="F217" s="21" t="n"/>
      <c r="G217" s="21" t="n"/>
      <c r="H217" s="21" t="n"/>
      <c r="I217" s="21" t="n"/>
      <c r="J217" s="21" t="n"/>
      <c r="K217" s="17">
        <f>IF(OR(A217="",B217=""),"",IF(AND(F217&lt;&gt;"",H217&lt;&gt;"",J217&lt;&gt;""),"Complete","Pending"))</f>
        <v/>
      </c>
    </row>
    <row r="218">
      <c r="A218" s="19" t="inlineStr">
        <is>
          <t>M025-Q02</t>
        </is>
      </c>
      <c r="B218" s="19" t="inlineStr">
        <is>
          <t>CL-M025-Q02-008</t>
        </is>
      </c>
      <c r="C218" s="17" t="inlineStr">
        <is>
          <t>[application] The remaining one-eighth of Sarathi's share went one-sixteenth to her surviving father Namal Silva and one-sixteenth to her brother Amal, her mother having predeceased her and her half-brother Kasun having predeceased her without issue.</t>
        </is>
      </c>
      <c r="D218" s="17" t="inlineStr">
        <is>
          <t>PROV-M025-006: Matrimonial Rights and Inheritance Ordinance s.25
Facts: BG-4, BG-5, BG-9</t>
        </is>
      </c>
      <c r="E218" s="17" t="inlineStr">
        <is>
          <t>[disputed, support combined]</t>
        </is>
      </c>
      <c r="F218" s="21" t="n"/>
      <c r="G218" s="21" t="n"/>
      <c r="H218" s="21" t="n"/>
      <c r="I218" s="21" t="n"/>
      <c r="J218" s="21" t="n"/>
      <c r="K218" s="17">
        <f>IF(OR(A218="",B218=""),"",IF(AND(F218&lt;&gt;"",H218&lt;&gt;"",J218&lt;&gt;""),"Complete","Pending"))</f>
        <v/>
      </c>
    </row>
    <row r="219">
      <c r="A219" s="19" t="inlineStr">
        <is>
          <t>M025-Q02</t>
        </is>
      </c>
      <c r="B219" s="19" t="inlineStr">
        <is>
          <t>CL-M025-Q02-009</t>
        </is>
      </c>
      <c r="C219" s="17" t="inlineStr">
        <is>
          <t>[conclusion] The present shares are Amal five-sixteenths, Sunil one-quarter, Lalith one-quarter, Sena one-eighth and Namal Silva one-sixteenth, together making up the entirety.</t>
        </is>
      </c>
      <c r="D219" s="17" t="inlineStr">
        <is>
          <t>PROV-M025-003: Matrimonial Rights and Inheritance Ordinance s.22
PROV-M025-005: Matrimonial Rights and Inheritance Ordinance s.24
PROV-M025-006: Matrimonial Rights and Inheritance Ordinance s.25
PROV-M025-007: Matrimonial Rights and Inheritance Ordinance s.30
Facts: BG-5, BG-7, BG-9</t>
        </is>
      </c>
      <c r="E219" s="17" t="inlineStr">
        <is>
          <t>[disputed, support combined]</t>
        </is>
      </c>
      <c r="F219" s="21" t="n"/>
      <c r="G219" s="21" t="n"/>
      <c r="H219" s="21" t="n"/>
      <c r="I219" s="21" t="n"/>
      <c r="J219" s="21" t="n"/>
      <c r="K219" s="17">
        <f>IF(OR(A219="",B219=""),"",IF(AND(F219&lt;&gt;"",H219&lt;&gt;"",J219&lt;&gt;""),"Complete","Pending"))</f>
        <v/>
      </c>
    </row>
    <row r="220">
      <c r="A220" s="19" t="inlineStr">
        <is>
          <t>M025-Q02</t>
        </is>
      </c>
      <c r="B220" s="19" t="inlineStr">
        <is>
          <t>CL-M025-Q02-010</t>
        </is>
      </c>
      <c r="C220" s="17" t="inlineStr">
        <is>
          <t>[conclusion] The one-sixteenth attributed to Namal Silva depends on him being the father of Sarathi and Amal and being alive at Sarathi's death, neither of which the background states in terms.</t>
        </is>
      </c>
      <c r="D220" s="17" t="inlineStr">
        <is>
          <t>PROV-M025-006: Matrimonial Rights and Inheritance Ordinance s.25
Facts: BG-4, BG-9</t>
        </is>
      </c>
      <c r="E220" s="17" t="inlineStr">
        <is>
          <t>[verified, support inferential]</t>
        </is>
      </c>
      <c r="F220" s="21" t="n"/>
      <c r="G220" s="21" t="n"/>
      <c r="H220" s="21" t="n"/>
      <c r="I220" s="21" t="n"/>
      <c r="J220" s="21" t="n"/>
      <c r="K220" s="17">
        <f>IF(OR(A220="",B220=""),"",IF(AND(F220&lt;&gt;"",H220&lt;&gt;"",J220&lt;&gt;""),"Complete","Pending"))</f>
        <v/>
      </c>
    </row>
    <row r="221">
      <c r="A221" s="19" t="inlineStr">
        <is>
          <t>M027-Q01</t>
        </is>
      </c>
      <c r="B221" s="19" t="inlineStr">
        <is>
          <t>CL-M027-Q01-001</t>
        </is>
      </c>
      <c r="C221" s="17" t="inlineStr">
        <is>
          <t>[rule] A lease of immovable property for a period exceeding one month is of no force in law unless it is in writing, signed by every executant or a person duly authorised by the executant and by the witnesses in the presence of a licenced notary, and attested by that notary.</t>
        </is>
      </c>
      <c r="D221" s="17" t="inlineStr">
        <is>
          <t>PROV-M027-001: Prevention of Frauds Ordinance s.2 (1)(a)
PROV-M027-902: Notaries Ordinance s.31 rule (8)
PROV-M027-903: Prevention of Frauds Ordinance s.2 (1)(b)</t>
        </is>
      </c>
      <c r="E221" s="17" t="inlineStr">
        <is>
          <t>[verified, support direct]</t>
        </is>
      </c>
      <c r="F221" s="21" t="n"/>
      <c r="G221" s="21" t="n"/>
      <c r="H221" s="21" t="n"/>
      <c r="I221" s="21" t="n"/>
      <c r="J221" s="21" t="n"/>
      <c r="K221" s="17">
        <f>IF(OR(A221="",B221=""),"",IF(AND(F221&lt;&gt;"",H221&lt;&gt;"",J221&lt;&gt;""),"Complete","Pending"))</f>
        <v/>
      </c>
    </row>
    <row r="222">
      <c r="A222" s="19" t="inlineStr">
        <is>
          <t>M027-Q01</t>
        </is>
      </c>
      <c r="B222" s="19" t="inlineStr">
        <is>
          <t>CL-M027-Q01-002</t>
        </is>
      </c>
      <c r="C222" s="17" t="inlineStr">
        <is>
          <t>[rule] A notary may not attest a deed unless the executant and the witnesses signed it in her presence and in the presence of one another.</t>
        </is>
      </c>
      <c r="D222" s="17" t="inlineStr">
        <is>
          <t>PROV-M027-002: Notaries Ordinance s.31 rule (12)</t>
        </is>
      </c>
      <c r="E222" s="17" t="inlineStr">
        <is>
          <t>[verified, support direct]</t>
        </is>
      </c>
      <c r="F222" s="21" t="n"/>
      <c r="G222" s="21" t="n"/>
      <c r="H222" s="21" t="n"/>
      <c r="I222" s="21" t="n"/>
      <c r="J222" s="21" t="n"/>
      <c r="K222" s="17">
        <f>IF(OR(A222="",B222=""),"",IF(AND(F222&lt;&gt;"",H222&lt;&gt;"",J222&lt;&gt;""),"Complete","Pending"))</f>
        <v/>
      </c>
    </row>
    <row r="223">
      <c r="A223" s="19" t="inlineStr">
        <is>
          <t>M027-Q01</t>
        </is>
      </c>
      <c r="B223" s="19" t="inlineStr">
        <is>
          <t>CL-M027-Q01-003</t>
        </is>
      </c>
      <c r="C223" s="17" t="inlineStr">
        <is>
          <t>[rule] A notary may not attest a deed in any area other than the area in which she is authorised to practise.</t>
        </is>
      </c>
      <c r="D223" s="17" t="inlineStr">
        <is>
          <t>PROV-M027-003: Notaries Ordinance s.31 rule (22)
PROV-M027-901: Notaries Ordinance s.2</t>
        </is>
      </c>
      <c r="E223" s="17" t="inlineStr">
        <is>
          <t>[verified, support direct]</t>
        </is>
      </c>
      <c r="F223" s="21" t="n"/>
      <c r="G223" s="21" t="n"/>
      <c r="H223" s="21" t="n"/>
      <c r="I223" s="21" t="n"/>
      <c r="J223" s="21" t="n"/>
      <c r="K223" s="17">
        <f>IF(OR(A223="",B223=""),"",IF(AND(F223&lt;&gt;"",H223&lt;&gt;"",J223&lt;&gt;""),"Complete","Pending"))</f>
        <v/>
      </c>
    </row>
    <row r="224">
      <c r="A224" s="19" t="inlineStr">
        <is>
          <t>M027-Q01</t>
        </is>
      </c>
      <c r="B224" s="19" t="inlineStr">
        <is>
          <t>CL-M027-Q01-004</t>
        </is>
      </c>
      <c r="C224" s="17" t="inlineStr">
        <is>
          <t>[rule] The Notaries Ordinance permits a deed to be executed or acknowledged before more than one notary and allocates the attestation duties between the first attesting notary and every other attesting notary, and it provides for parties who do not sign at the same time and place.</t>
        </is>
      </c>
      <c r="D224" s="17" t="inlineStr">
        <is>
          <t>PROV-M027-004: Notaries Ordinance s.31 rule (25)
PROV-M027-005: Notaries Ordinance s.32 (2)(i)</t>
        </is>
      </c>
      <c r="E224" s="17" t="inlineStr">
        <is>
          <t>[verified, support combined]</t>
        </is>
      </c>
      <c r="F224" s="21" t="n"/>
      <c r="G224" s="21" t="n"/>
      <c r="H224" s="21" t="n"/>
      <c r="I224" s="21" t="n"/>
      <c r="J224" s="21" t="n"/>
      <c r="K224" s="17">
        <f>IF(OR(A224="",B224=""),"",IF(AND(F224&lt;&gt;"",H224&lt;&gt;"",J224&lt;&gt;""),"Complete","Pending"))</f>
        <v/>
      </c>
    </row>
    <row r="225">
      <c r="A225" s="19" t="inlineStr">
        <is>
          <t>M027-Q01</t>
        </is>
      </c>
      <c r="B225" s="19" t="inlineStr">
        <is>
          <t>CL-M027-Q01-005</t>
        </is>
      </c>
      <c r="C225" s="17" t="inlineStr">
        <is>
          <t>[rule] An executant may instead sign through a duly authorised attorney under a power of attorney attested by a notary before two witnesses, which for a transaction within section 2 of the Prevention of Frauds Ordinance must comply with section 3A and be submitted for registration within one month, and the attesting notary must verify from the Registrar-General's records that the power is unrevoked, state that in her attestation, take the attorney's affidavit and keep and forward copies of the power.</t>
        </is>
      </c>
      <c r="D225" s="17" t="inlineStr">
        <is>
          <t>PROV-M027-008: Powers of Attorney Ordinance s.2 definition of "power of attorney"
PROV-M027-009: Powers of Attorney Ordinance s.3 (1)(b)
PROV-M027-010: Powers of Attorney Ordinance s.3A (1)
PROV-M027-011: Powers of Attorney Ordinance s.3B (1)(a)-(b)
PROV-M027-006: Notaries Ordinance s.31 rule (30)
PROV-M027-007: Notaries Ordinance s.31 rule (15A), paragraph (c) (inserted by Act No. 31 of 2022; rule number taken from the corpus provision ids for section 31, which label this block sub-15A)</t>
        </is>
      </c>
      <c r="E225" s="17" t="inlineStr">
        <is>
          <t>[verified, support combined]</t>
        </is>
      </c>
      <c r="F225" s="21" t="n"/>
      <c r="G225" s="21" t="n"/>
      <c r="H225" s="21" t="n"/>
      <c r="I225" s="21" t="n"/>
      <c r="J225" s="21" t="n"/>
      <c r="K225" s="17">
        <f>IF(OR(A225="",B225=""),"",IF(AND(F225&lt;&gt;"",H225&lt;&gt;"",J225&lt;&gt;""),"Complete","Pending"))</f>
        <v/>
      </c>
    </row>
    <row r="226">
      <c r="A226" s="19" t="inlineStr">
        <is>
          <t>M027-Q01</t>
        </is>
      </c>
      <c r="B226" s="19" t="inlineStr">
        <is>
          <t>CL-M027-Q01-006</t>
        </is>
      </c>
      <c r="C226" s="17" t="inlineStr">
        <is>
          <t>[rule] An instrument that creates an interest in land is deemed to affect land and is registrable, and an unregistered instrument is void against a subsequent duly registered instrument taken for value.</t>
        </is>
      </c>
      <c r="D226" s="17" t="inlineStr">
        <is>
          <t>PROV-M027-015: Registration of Documents Ordinance s.8 (b)
PROV-M027-016: Registration of Documents Ordinance s.7 (1)</t>
        </is>
      </c>
      <c r="E226" s="17" t="inlineStr">
        <is>
          <t>[verified, support combined]</t>
        </is>
      </c>
      <c r="F226" s="21" t="n"/>
      <c r="G226" s="21" t="n"/>
      <c r="H226" s="21" t="n"/>
      <c r="I226" s="21" t="n"/>
      <c r="J226" s="21" t="n"/>
      <c r="K226" s="17">
        <f>IF(OR(A226="",B226=""),"",IF(AND(F226&lt;&gt;"",H226&lt;&gt;"",J226&lt;&gt;""),"Complete","Pending"))</f>
        <v/>
      </c>
    </row>
    <row r="227">
      <c r="A227" s="19" t="inlineStr">
        <is>
          <t>M027-Q01</t>
        </is>
      </c>
      <c r="B227" s="19" t="inlineStr">
        <is>
          <t>CL-M027-Q01-007</t>
        </is>
      </c>
      <c r="C227" s="17" t="inlineStr">
        <is>
          <t>[rule] Registration must be effected in the book allotted to the division in which the land affected is situated, and the notary acting on behalf of a party may present the instrument.</t>
        </is>
      </c>
      <c r="D227" s="17" t="inlineStr">
        <is>
          <t>PROV-M027-017: Registration of Documents Ordinance s.14 (1)
PROV-M027-018: Registration of Documents Ordinance s.26 (1)(a)-(d)</t>
        </is>
      </c>
      <c r="E227" s="17" t="inlineStr">
        <is>
          <t>[verified, support combined]</t>
        </is>
      </c>
      <c r="F227" s="21" t="n"/>
      <c r="G227" s="21" t="n"/>
      <c r="H227" s="21" t="n"/>
      <c r="I227" s="21" t="n"/>
      <c r="J227" s="21" t="n"/>
      <c r="K227" s="17">
        <f>IF(OR(A227="",B227=""),"",IF(AND(F227&lt;&gt;"",H227&lt;&gt;"",J227&lt;&gt;""),"Complete","Pending"))</f>
        <v/>
      </c>
    </row>
    <row r="228">
      <c r="A228" s="19" t="inlineStr">
        <is>
          <t>M027-Q01</t>
        </is>
      </c>
      <c r="B228" s="19" t="inlineStr">
        <is>
          <t>CL-M027-Q01-008</t>
        </is>
      </c>
      <c r="C228" s="17" t="inlineStr">
        <is>
          <t>[rule] A notary must submit a deed she has attested for registration within thirty days of attestation, or within sixty days where it is to be registered outside the jurisdiction in which she practises, must transmit the duplicate and the Form F1 list to the Registrar of Lands of her own district by the fifteenth of the following month, must send a certified copy to the Registrar of Lands of the district in which the land is situated, and is liable to a fine if, having instructions and funds, she fails to use due diligence in registering.</t>
        </is>
      </c>
      <c r="D228" s="17" t="inlineStr">
        <is>
          <t>PROV-M027-012: Notaries Ordinance s.31 rule (30A)
PROV-M027-013: Notaries Ordinance s.31 rule (26)(a)(i)
PROV-M027-014: Notaries Ordinance s.31 rule (29)
PROV-M027-019: Notaries Ordinance s.37</t>
        </is>
      </c>
      <c r="E228" s="17" t="inlineStr">
        <is>
          <t>[verified, support combined]</t>
        </is>
      </c>
      <c r="F228" s="21" t="n"/>
      <c r="G228" s="21" t="n"/>
      <c r="H228" s="21" t="n"/>
      <c r="I228" s="21" t="n"/>
      <c r="J228" s="21" t="n"/>
      <c r="K228" s="17">
        <f>IF(OR(A228="",B228=""),"",IF(AND(F228&lt;&gt;"",H228&lt;&gt;"",J228&lt;&gt;""),"Complete","Pending"))</f>
        <v/>
      </c>
    </row>
    <row r="229">
      <c r="A229" s="19" t="inlineStr">
        <is>
          <t>M027-Q01</t>
        </is>
      </c>
      <c r="B229" s="19" t="inlineStr">
        <is>
          <t>CL-M027-Q01-009</t>
        </is>
      </c>
      <c r="C229" s="17" t="inlineStr">
        <is>
          <t>[application] Because the lease runs for three years it is outside the one-month exclusion, so notarial execution before Kanthi or another notary is compulsory and Shantha cannot sign it in Negombo and send it to Colombo.</t>
        </is>
      </c>
      <c r="D229" s="17" t="inlineStr">
        <is>
          <t>PROV-M027-001: Prevention of Frauds Ordinance s.2 (1)(a)
PROV-M027-002: Notaries Ordinance s.31 rule (12)
Facts: BG-1, BG-2</t>
        </is>
      </c>
      <c r="E229" s="17" t="inlineStr">
        <is>
          <t>[verified, support combined]</t>
        </is>
      </c>
      <c r="F229" s="21" t="n"/>
      <c r="G229" s="21" t="n"/>
      <c r="H229" s="21" t="n"/>
      <c r="I229" s="21" t="n"/>
      <c r="J229" s="21" t="n"/>
      <c r="K229" s="17">
        <f>IF(OR(A229="",B229=""),"",IF(AND(F229&lt;&gt;"",H229&lt;&gt;"",J229&lt;&gt;""),"Complete","Pending"))</f>
        <v/>
      </c>
    </row>
    <row r="230">
      <c r="A230" s="19" t="inlineStr">
        <is>
          <t>M027-Q01</t>
        </is>
      </c>
      <c r="B230" s="19" t="inlineStr">
        <is>
          <t>CL-M027-Q01-010</t>
        </is>
      </c>
      <c r="C230" s="17" t="inlineStr">
        <is>
          <t>[application] Since Kanthi is authorised to practise in Colombo and Shantha is in Negombo, she cannot attest his signature there, so the agreement must be executed either before two notaries or through an attorney who signs before her in Colombo.</t>
        </is>
      </c>
      <c r="D230" s="17" t="inlineStr">
        <is>
          <t>PROV-M027-003: Notaries Ordinance s.31 rule (22)
PROV-M027-004: Notaries Ordinance s.31 rule (25)
PROV-M027-005: Notaries Ordinance s.32 (2)(i)
PROV-M027-008: Powers of Attorney Ordinance s.2 definition of "power of attorney"
PROV-M027-901: Notaries Ordinance s.2
Facts: BG-1, BG-3</t>
        </is>
      </c>
      <c r="E230" s="17" t="inlineStr">
        <is>
          <t>[disputed, support inferential]</t>
        </is>
      </c>
      <c r="F230" s="21" t="n"/>
      <c r="G230" s="21" t="n"/>
      <c r="H230" s="21" t="n"/>
      <c r="I230" s="21" t="n"/>
      <c r="J230" s="21" t="n"/>
      <c r="K230" s="17">
        <f>IF(OR(A230="",B230=""),"",IF(AND(F230&lt;&gt;"",H230&lt;&gt;"",J230&lt;&gt;""),"Complete","Pending"))</f>
        <v/>
      </c>
    </row>
    <row r="231">
      <c r="A231" s="19" t="inlineStr">
        <is>
          <t>M027-Q01</t>
        </is>
      </c>
      <c r="B231" s="19" t="inlineStr">
        <is>
          <t>CL-M027-Q01-011</t>
        </is>
      </c>
      <c r="C231" s="17" t="inlineStr">
        <is>
          <t>[application] The fact that the lessor is Kanthi's brother-in-law does not disqualify her, because the rule bars only the attestation of a deed to which the notary herself is a party.</t>
        </is>
      </c>
      <c r="D231" s="17" t="inlineStr">
        <is>
          <t>PROV-M027-033: Notaries Ordinance s.31 rule (13)
Facts: BG-1</t>
        </is>
      </c>
      <c r="E231" s="17" t="inlineStr">
        <is>
          <t>[verified, support direct]</t>
        </is>
      </c>
      <c r="F231" s="21" t="n"/>
      <c r="G231" s="21" t="n"/>
      <c r="H231" s="21" t="n"/>
      <c r="I231" s="21" t="n"/>
      <c r="J231" s="21" t="n"/>
      <c r="K231" s="17">
        <f>IF(OR(A231="",B231=""),"",IF(AND(F231&lt;&gt;"",H231&lt;&gt;"",J231&lt;&gt;""),"Complete","Pending"))</f>
        <v/>
      </c>
    </row>
    <row r="232">
      <c r="A232" s="19" t="inlineStr">
        <is>
          <t>M027-Q01</t>
        </is>
      </c>
      <c r="B232" s="19" t="inlineStr">
        <is>
          <t>CL-M027-Q01-012</t>
        </is>
      </c>
      <c r="C232" s="17" t="inlineStr">
        <is>
          <t>[application] Because the apartment is in Negombo while Kanthi practises and resides in Colombo, the lease must be registered in the land registry division covering the apartment, the sixty-day limb of the registration deadline applies, and a certified copy must go to the Registrar of Lands of the district where the apartment lies.</t>
        </is>
      </c>
      <c r="D232" s="17" t="inlineStr">
        <is>
          <t>PROV-M027-015: Registration of Documents Ordinance s.8 (b)
PROV-M027-017: Registration of Documents Ordinance s.14 (1)
PROV-M027-012: Notaries Ordinance s.31 rule (30A)
PROV-M027-014: Notaries Ordinance s.31 rule (29)
Facts: BG-1, BG-2</t>
        </is>
      </c>
      <c r="E232" s="17" t="inlineStr">
        <is>
          <t>[disputed, support inferential]</t>
        </is>
      </c>
      <c r="F232" s="21" t="n"/>
      <c r="G232" s="21" t="n"/>
      <c r="H232" s="21" t="n"/>
      <c r="I232" s="21" t="n"/>
      <c r="J232" s="21" t="n"/>
      <c r="K232" s="17">
        <f>IF(OR(A232="",B232=""),"",IF(AND(F232&lt;&gt;"",H232&lt;&gt;"",J232&lt;&gt;""),"Complete","Pending"))</f>
        <v/>
      </c>
    </row>
    <row r="233">
      <c r="A233" s="19" t="inlineStr">
        <is>
          <t>M027-Q01</t>
        </is>
      </c>
      <c r="B233" s="19" t="inlineStr">
        <is>
          <t>CL-M027-Q01-013</t>
        </is>
      </c>
      <c r="C233" s="17" t="inlineStr">
        <is>
          <t>[application] Kanthi must not attest the agreement until she has an assurance that the required stamp duty is provided.</t>
        </is>
      </c>
      <c r="D233" s="17" t="inlineStr">
        <is>
          <t>PROV-M027-021: Notaries Ordinance s.31 rule (6)
Facts: BG-2</t>
        </is>
      </c>
      <c r="E233" s="17" t="inlineStr">
        <is>
          <t>[verified, support direct]</t>
        </is>
      </c>
      <c r="F233" s="21" t="n"/>
      <c r="G233" s="21" t="n"/>
      <c r="H233" s="21" t="n"/>
      <c r="I233" s="21" t="n"/>
      <c r="J233" s="21" t="n"/>
      <c r="K233" s="17">
        <f>IF(OR(A233="",B233=""),"",IF(AND(F233&lt;&gt;"",H233&lt;&gt;"",J233&lt;&gt;""),"Complete","Pending"))</f>
        <v/>
      </c>
    </row>
    <row r="234">
      <c r="A234" s="19" t="inlineStr">
        <is>
          <t>M027-Q01</t>
        </is>
      </c>
      <c r="B234" s="19" t="inlineStr">
        <is>
          <t>CL-M027-Q01-014</t>
        </is>
      </c>
      <c r="C234" s="17" t="inlineStr">
        <is>
          <t>[application] If the apartment forms part of a registered Condominium Property, Kanthi must also check whether the lessee's interest has to be registered under the Registration of Title Act rather than in the ordinary land register.</t>
        </is>
      </c>
      <c r="D234" s="17" t="inlineStr">
        <is>
          <t>PROV-M027-020: Apartment Ownership Law s.10 (1)
Facts: BG-2</t>
        </is>
      </c>
      <c r="E234" s="17" t="inlineStr">
        <is>
          <t>[verified, support inferential]</t>
        </is>
      </c>
      <c r="F234" s="21" t="n"/>
      <c r="G234" s="21" t="n"/>
      <c r="H234" s="21" t="n"/>
      <c r="I234" s="21" t="n"/>
      <c r="J234" s="21" t="n"/>
      <c r="K234" s="17">
        <f>IF(OR(A234="",B234=""),"",IF(AND(F234&lt;&gt;"",H234&lt;&gt;"",J234&lt;&gt;""),"Complete","Pending"))</f>
        <v/>
      </c>
    </row>
    <row r="235">
      <c r="A235" s="19" t="inlineStr">
        <is>
          <t>M027-Q01</t>
        </is>
      </c>
      <c r="B235" s="19" t="inlineStr">
        <is>
          <t>CL-M027-Q01-015</t>
        </is>
      </c>
      <c r="C235" s="17" t="inlineStr">
        <is>
          <t>[conclusion] The agreement can therefore be signed either before two notaries at different times and places or by an attorney holding a duly attested and registered power of attorney signing for Shantha before Kanthi in Colombo.</t>
        </is>
      </c>
      <c r="D235" s="17" t="inlineStr">
        <is>
          <t>PROV-M027-001: Prevention of Frauds Ordinance s.2 (1)(a)
PROV-M027-004: Notaries Ordinance s.31 rule (25)
PROV-M027-005: Notaries Ordinance s.32 (2)(i)
PROV-M027-008: Powers of Attorney Ordinance s.2 definition of "power of attorney"
Facts: BG-3</t>
        </is>
      </c>
      <c r="E235" s="17" t="inlineStr">
        <is>
          <t>[verified, support combined]</t>
        </is>
      </c>
      <c r="F235" s="21" t="n"/>
      <c r="G235" s="21" t="n"/>
      <c r="H235" s="21" t="n"/>
      <c r="I235" s="21" t="n"/>
      <c r="J235" s="21" t="n"/>
      <c r="K235" s="17">
        <f>IF(OR(A235="",B235=""),"",IF(AND(F235&lt;&gt;"",H235&lt;&gt;"",J235&lt;&gt;""),"Complete","Pending"))</f>
        <v/>
      </c>
    </row>
    <row r="236">
      <c r="A236" s="19" t="inlineStr">
        <is>
          <t>M027-Q01</t>
        </is>
      </c>
      <c r="B236" s="19" t="inlineStr">
        <is>
          <t>CL-M027-Q01-016</t>
        </is>
      </c>
      <c r="C236" s="17" t="inlineStr">
        <is>
          <t>[conclusion] Kanthi must then have the duty stamped, submit the instrument for registration in the land registry division covering the Negombo apartment within sixty days of attestation, transmit the duplicate with the Form F1 list to the Registrar of Lands of her own district by the fifteenth of the following month, and send a certified copy to the Registrar of Lands of the district where the apartment is situated.</t>
        </is>
      </c>
      <c r="D236" s="17" t="inlineStr">
        <is>
          <t>PROV-M027-012: Notaries Ordinance s.31 rule (30A)
PROV-M027-013: Notaries Ordinance s.31 rule (26)(a)(i)
PROV-M027-014: Notaries Ordinance s.31 rule (29)
PROV-M027-017: Registration of Documents Ordinance s.14 (1)
PROV-M027-021: Notaries Ordinance s.31 rule (6)
Facts: BG-2</t>
        </is>
      </c>
      <c r="E236" s="17" t="inlineStr">
        <is>
          <t>[verified, support combined]</t>
        </is>
      </c>
      <c r="F236" s="21" t="n"/>
      <c r="G236" s="21" t="n"/>
      <c r="H236" s="21" t="n"/>
      <c r="I236" s="21" t="n"/>
      <c r="J236" s="21" t="n"/>
      <c r="K236" s="17">
        <f>IF(OR(A236="",B236=""),"",IF(AND(F236&lt;&gt;"",H236&lt;&gt;"",J236&lt;&gt;""),"Complete","Pending"))</f>
        <v/>
      </c>
    </row>
    <row r="237">
      <c r="A237" s="19" t="inlineStr">
        <is>
          <t>M027-Q02</t>
        </is>
      </c>
      <c r="B237" s="19" t="inlineStr">
        <is>
          <t>CL-M027-Q02-001</t>
        </is>
      </c>
      <c r="C237" s="17" t="inlineStr">
        <is>
          <t>[rule] A notary's yearly certificate must be applied for and granted on or before 1 April in every year and is in force for one year and no longer.</t>
        </is>
      </c>
      <c r="D237" s="17" t="inlineStr">
        <is>
          <t>PROV-M027-023: Notaries Ordinance s.27 (2)</t>
        </is>
      </c>
      <c r="E237" s="17" t="inlineStr">
        <is>
          <t>[verified, support direct]</t>
        </is>
      </c>
      <c r="F237" s="21" t="n"/>
      <c r="G237" s="21" t="n"/>
      <c r="H237" s="21" t="n"/>
      <c r="I237" s="21" t="n"/>
      <c r="J237" s="21" t="n"/>
      <c r="K237" s="17">
        <f>IF(OR(A237="",B237=""),"",IF(AND(F237&lt;&gt;"",H237&lt;&gt;"",J237&lt;&gt;""),"Complete","Pending"))</f>
        <v/>
      </c>
    </row>
    <row r="238">
      <c r="A238" s="19" t="inlineStr">
        <is>
          <t>M027-Q02</t>
        </is>
      </c>
      <c r="B238" s="19" t="inlineStr">
        <is>
          <t>CL-M027-Q02-002</t>
        </is>
      </c>
      <c r="C238" s="17" t="inlineStr">
        <is>
          <t>[rule] A person who acts as a notary without having obtained the certificate is guilty of an offence in respect of every deed executed or acknowledged before him while he was without it, and is liable to a fine of not less than five thousand rupees and not exceeding twenty five thousand rupees.</t>
        </is>
      </c>
      <c r="D238" s="17" t="inlineStr">
        <is>
          <t>PROV-M027-025: Notaries Ordinance s.30</t>
        </is>
      </c>
      <c r="E238" s="17" t="inlineStr">
        <is>
          <t>[verified, support direct]</t>
        </is>
      </c>
      <c r="F238" s="21" t="n"/>
      <c r="G238" s="21" t="n"/>
      <c r="H238" s="21" t="n"/>
      <c r="I238" s="21" t="n"/>
      <c r="J238" s="21" t="n"/>
      <c r="K238" s="17">
        <f>IF(OR(A238="",B238=""),"",IF(AND(F238&lt;&gt;"",H238&lt;&gt;"",J238&lt;&gt;""),"Complete","Pending"))</f>
        <v/>
      </c>
    </row>
    <row r="239">
      <c r="A239" s="19" t="inlineStr">
        <is>
          <t>M027-Q02</t>
        </is>
      </c>
      <c r="B239" s="19" t="inlineStr">
        <is>
          <t>CL-M027-Q02-003</t>
        </is>
      </c>
      <c r="C239" s="17" t="inlineStr">
        <is>
          <t>[rule] The Registrar-General may accept a sum of money in composition of a section 30 offence instead of instituting criminal proceedings.</t>
        </is>
      </c>
      <c r="D239" s="17" t="inlineStr">
        <is>
          <t>PROV-M027-026: Notaries Ordinance s.35 (1)</t>
        </is>
      </c>
      <c r="E239" s="17" t="inlineStr">
        <is>
          <t>[verified, support direct]</t>
        </is>
      </c>
      <c r="F239" s="21" t="n"/>
      <c r="G239" s="21" t="n"/>
      <c r="H239" s="21" t="n"/>
      <c r="I239" s="21" t="n"/>
      <c r="J239" s="21" t="n"/>
      <c r="K239" s="17">
        <f>IF(OR(A239="",B239=""),"",IF(AND(F239&lt;&gt;"",H239&lt;&gt;"",J239&lt;&gt;""),"Complete","Pending"))</f>
        <v/>
      </c>
    </row>
    <row r="240">
      <c r="A240" s="19" t="inlineStr">
        <is>
          <t>M027-Q02</t>
        </is>
      </c>
      <c r="B240" s="19" t="inlineStr">
        <is>
          <t>CL-M027-Q02-004</t>
        </is>
      </c>
      <c r="C240" s="17" t="inlineStr">
        <is>
          <t>[rule] On a High Court Judge's report of an offence or misconduct the Minister may cancel the notary's warrant or suspend her from office for such period as appears just.</t>
        </is>
      </c>
      <c r="D240" s="17" t="inlineStr">
        <is>
          <t>PROV-M027-027: Notaries Ordinance s.21 (2)</t>
        </is>
      </c>
      <c r="E240" s="17" t="inlineStr">
        <is>
          <t>[verified, support direct]</t>
        </is>
      </c>
      <c r="F240" s="21" t="n"/>
      <c r="G240" s="21" t="n"/>
      <c r="H240" s="21" t="n"/>
      <c r="I240" s="21" t="n"/>
      <c r="J240" s="21" t="n"/>
      <c r="K240" s="17">
        <f>IF(OR(A240="",B240=""),"",IF(AND(F240&lt;&gt;"",H240&lt;&gt;"",J240&lt;&gt;""),"Complete","Pending"))</f>
        <v/>
      </c>
    </row>
    <row r="241">
      <c r="A241" s="19" t="inlineStr">
        <is>
          <t>M027-Q02</t>
        </is>
      </c>
      <c r="B241" s="19" t="inlineStr">
        <is>
          <t>CL-M027-Q02-005</t>
        </is>
      </c>
      <c r="C241" s="17" t="inlineStr">
        <is>
          <t>[rule] A late application for the certificate may still be allowed if the High Court Judge is satisfied that the delay was due to accident, misfortune or other unavoidable cause.</t>
        </is>
      </c>
      <c r="D241" s="17" t="inlineStr">
        <is>
          <t>PROV-M027-024: Notaries Ordinance s.27 (2), proviso</t>
        </is>
      </c>
      <c r="E241" s="17" t="inlineStr">
        <is>
          <t>[verified, support direct]</t>
        </is>
      </c>
      <c r="F241" s="21" t="n"/>
      <c r="G241" s="21" t="n"/>
      <c r="H241" s="21" t="n"/>
      <c r="I241" s="21" t="n"/>
      <c r="J241" s="21" t="n"/>
      <c r="K241" s="17">
        <f>IF(OR(A241="",B241=""),"",IF(AND(F241&lt;&gt;"",H241&lt;&gt;"",J241&lt;&gt;""),"Complete","Pending"))</f>
        <v/>
      </c>
    </row>
    <row r="242">
      <c r="A242" s="19" t="inlineStr">
        <is>
          <t>M027-Q02</t>
        </is>
      </c>
      <c r="B242" s="19" t="inlineStr">
        <is>
          <t>CL-M027-Q02-006</t>
        </is>
      </c>
      <c r="C242" s="17" t="inlineStr">
        <is>
          <t>[application] Kanthi attested the lease agreement without having obtained the yearly certificate for the current year, so she acted as a notary while uncertificated.</t>
        </is>
      </c>
      <c r="D242" s="17" t="inlineStr">
        <is>
          <t>PROV-M027-023: Notaries Ordinance s.27 (2)
PROV-M027-025: Notaries Ordinance s.30
Facts: BG-4</t>
        </is>
      </c>
      <c r="E242" s="17" t="inlineStr">
        <is>
          <t>[verified, support combined]</t>
        </is>
      </c>
      <c r="F242" s="21" t="n"/>
      <c r="G242" s="21" t="n"/>
      <c r="H242" s="21" t="n"/>
      <c r="I242" s="21" t="n"/>
      <c r="J242" s="21" t="n"/>
      <c r="K242" s="17">
        <f>IF(OR(A242="",B242=""),"",IF(AND(F242&lt;&gt;"",H242&lt;&gt;"",J242&lt;&gt;""),"Complete","Pending"))</f>
        <v/>
      </c>
    </row>
    <row r="243">
      <c r="A243" s="19" t="inlineStr">
        <is>
          <t>M027-Q02</t>
        </is>
      </c>
      <c r="B243" s="19" t="inlineStr">
        <is>
          <t>CL-M027-Q02-007</t>
        </is>
      </c>
      <c r="C243" s="17" t="inlineStr">
        <is>
          <t>[application] Because the offence is framed in respect of every deed executed or acknowledged before her while uncertificated, her fine exposure runs per deed and covers this lease agreement and any other deed she attested in the same period.</t>
        </is>
      </c>
      <c r="D243" s="17" t="inlineStr">
        <is>
          <t>PROV-M027-025: Notaries Ordinance s.30
Facts: BG-4</t>
        </is>
      </c>
      <c r="E243" s="17" t="inlineStr">
        <is>
          <t>[verified, support direct]</t>
        </is>
      </c>
      <c r="F243" s="21" t="n"/>
      <c r="G243" s="21" t="n"/>
      <c r="H243" s="21" t="n"/>
      <c r="I243" s="21" t="n"/>
      <c r="J243" s="21" t="n"/>
      <c r="K243" s="17">
        <f>IF(OR(A243="",B243=""),"",IF(AND(F243&lt;&gt;"",H243&lt;&gt;"",J243&lt;&gt;""),"Complete","Pending"))</f>
        <v/>
      </c>
    </row>
    <row r="244">
      <c r="A244" s="19" t="inlineStr">
        <is>
          <t>M027-Q02</t>
        </is>
      </c>
      <c r="B244" s="19" t="inlineStr">
        <is>
          <t>CL-M027-Q02-008</t>
        </is>
      </c>
      <c r="C244" s="17" t="inlineStr">
        <is>
          <t>[application] She should apply at once for the certificate and, the 1 April date having passed, ask the High Court Judge to direct its issue on the ground of accident, misfortune or other unavoidable cause, which does not undo the attestation already made.</t>
        </is>
      </c>
      <c r="D244" s="17" t="inlineStr">
        <is>
          <t>PROV-M027-024: Notaries Ordinance s.27 (2), proviso
PROV-M027-023: Notaries Ordinance s.27 (2)
Facts: BG-4</t>
        </is>
      </c>
      <c r="E244" s="17" t="inlineStr">
        <is>
          <t>[verified, support combined]</t>
        </is>
      </c>
      <c r="F244" s="21" t="n"/>
      <c r="G244" s="21" t="n"/>
      <c r="H244" s="21" t="n"/>
      <c r="I244" s="21" t="n"/>
      <c r="J244" s="21" t="n"/>
      <c r="K244" s="17">
        <f>IF(OR(A244="",B244=""),"",IF(AND(F244&lt;&gt;"",H244&lt;&gt;"",J244&lt;&gt;""),"Complete","Pending"))</f>
        <v/>
      </c>
    </row>
    <row r="245">
      <c r="A245" s="19" t="inlineStr">
        <is>
          <t>M027-Q02</t>
        </is>
      </c>
      <c r="B245" s="19" t="inlineStr">
        <is>
          <t>CL-M027-Q02-009</t>
        </is>
      </c>
      <c r="C245" s="17" t="inlineStr">
        <is>
          <t>[application] Whether the lease agreement itself is invalidated is not resolved by these provisions, because section 33 saves an instrument only from a failure in a matter of form under a section 31 rule and section 30 is not a section 31 rule.</t>
        </is>
      </c>
      <c r="D245" s="17" t="inlineStr">
        <is>
          <t>PROV-M027-028: Notaries Ordinance s.33
Facts: BG-4</t>
        </is>
      </c>
      <c r="E245" s="17" t="inlineStr">
        <is>
          <t>[verified, support inferential]</t>
        </is>
      </c>
      <c r="F245" s="21" t="n"/>
      <c r="G245" s="21" t="n"/>
      <c r="H245" s="21" t="n"/>
      <c r="I245" s="21" t="n"/>
      <c r="J245" s="21" t="n"/>
      <c r="K245" s="17">
        <f>IF(OR(A245="",B245=""),"",IF(AND(F245&lt;&gt;"",H245&lt;&gt;"",J245&lt;&gt;""),"Complete","Pending"))</f>
        <v/>
      </c>
    </row>
    <row r="246">
      <c r="A246" s="19" t="inlineStr">
        <is>
          <t>M027-Q02</t>
        </is>
      </c>
      <c r="B246" s="19" t="inlineStr">
        <is>
          <t>CL-M027-Q02-010</t>
        </is>
      </c>
      <c r="C246" s="17" t="inlineStr">
        <is>
          <t>[conclusion] Kanthi is liable under section 30 of the Notaries Ordinance to a fine of not less than Rs.5,000 and not more than Rs.25,000 in respect of every deed attested while uncertificated, including this lease agreement, subject to the Registrar-General's power to compound, and is additionally exposed to suspension or cancellation of her warrant.</t>
        </is>
      </c>
      <c r="D246" s="17" t="inlineStr">
        <is>
          <t>PROV-M027-025: Notaries Ordinance s.30
PROV-M027-026: Notaries Ordinance s.35 (1)
PROV-M027-027: Notaries Ordinance s.21 (2)
Facts: BG-4</t>
        </is>
      </c>
      <c r="E246" s="17" t="inlineStr">
        <is>
          <t>[verified, support combined]</t>
        </is>
      </c>
      <c r="F246" s="21" t="n"/>
      <c r="G246" s="21" t="n"/>
      <c r="H246" s="21" t="n"/>
      <c r="I246" s="21" t="n"/>
      <c r="J246" s="21" t="n"/>
      <c r="K246" s="17">
        <f>IF(OR(A246="",B246=""),"",IF(AND(F246&lt;&gt;"",H246&lt;&gt;"",J246&lt;&gt;""),"Complete","Pending"))</f>
        <v/>
      </c>
    </row>
    <row r="247">
      <c r="A247" s="19" t="inlineStr">
        <is>
          <t>M032-Q01</t>
        </is>
      </c>
      <c r="B247" s="19" t="inlineStr">
        <is>
          <t>CL-M032-Q01-001</t>
        </is>
      </c>
      <c r="C247" s="17" t="inlineStr">
        <is>
          <t>[rule] A sale of land has no force in law unless the deed is in writing, signed by every executant and the witnesses in the presence of a licensed notary who attests it, so the transaction has to be carried through by a notary.</t>
        </is>
      </c>
      <c r="D247" s="17" t="inlineStr">
        <is>
          <t>PROV-M032-013: Prevention of Frauds Ordinance s.2 (1)(a)</t>
        </is>
      </c>
      <c r="E247" s="17" t="inlineStr">
        <is>
          <t>[verified, support direct]</t>
        </is>
      </c>
      <c r="F247" s="21" t="n"/>
      <c r="G247" s="21" t="n"/>
      <c r="H247" s="21" t="n"/>
      <c r="I247" s="21" t="n"/>
      <c r="J247" s="21" t="n"/>
      <c r="K247" s="17">
        <f>IF(OR(A247="",B247=""),"",IF(AND(F247&lt;&gt;"",H247&lt;&gt;"",J247&lt;&gt;""),"Complete","Pending"))</f>
        <v/>
      </c>
    </row>
    <row r="248">
      <c r="A248" s="19" t="inlineStr">
        <is>
          <t>M032-Q01</t>
        </is>
      </c>
      <c r="B248" s="19" t="inlineStr">
        <is>
          <t>CL-M032-Q01-002</t>
        </is>
      </c>
      <c r="C248" s="17" t="inlineStr">
        <is>
          <t>[rule] A notary may only attest a deed in the area and language in which he is authorised to practise.</t>
        </is>
      </c>
      <c r="D248" s="17" t="inlineStr">
        <is>
          <t>PROV-M032-011: Notaries Ordinance s.31 rule (22)</t>
        </is>
      </c>
      <c r="E248" s="17" t="inlineStr">
        <is>
          <t>[verified, support direct]</t>
        </is>
      </c>
      <c r="F248" s="21" t="n"/>
      <c r="G248" s="21" t="n"/>
      <c r="H248" s="21" t="n"/>
      <c r="I248" s="21" t="n"/>
      <c r="J248" s="21" t="n"/>
      <c r="K248" s="17">
        <f>IF(OR(A248="",B248=""),"",IF(AND(F248&lt;&gt;"",H248&lt;&gt;"",J248&lt;&gt;""),"Complete","Pending"))</f>
        <v/>
      </c>
    </row>
    <row r="249">
      <c r="A249" s="19" t="inlineStr">
        <is>
          <t>M032-Q01</t>
        </is>
      </c>
      <c r="B249" s="19" t="inlineStr">
        <is>
          <t>CL-M032-Q01-003</t>
        </is>
      </c>
      <c r="C249" s="17" t="inlineStr">
        <is>
          <t>[rule] Before drawing any deed affecting an interest in land the notary must search, or cause to be searched, the registers in the land registry to ascertain the state of the title and whether any prior deed affecting the land has been registered.</t>
        </is>
      </c>
      <c r="D249" s="17" t="inlineStr">
        <is>
          <t>PROV-M032-001: Notaries Ordinance s.31 rule (17)(a)</t>
        </is>
      </c>
      <c r="E249" s="17" t="inlineStr">
        <is>
          <t>[verified, support direct]</t>
        </is>
      </c>
      <c r="F249" s="21" t="n"/>
      <c r="G249" s="21" t="n"/>
      <c r="H249" s="21" t="n"/>
      <c r="I249" s="21" t="n"/>
      <c r="J249" s="21" t="n"/>
      <c r="K249" s="17">
        <f>IF(OR(A249="",B249=""),"",IF(AND(F249&lt;&gt;"",H249&lt;&gt;"",J249&lt;&gt;""),"Complete","Pending"))</f>
        <v/>
      </c>
    </row>
    <row r="250">
      <c r="A250" s="19" t="inlineStr">
        <is>
          <t>M032-Q01</t>
        </is>
      </c>
      <c r="B250" s="19" t="inlineStr">
        <is>
          <t>CL-M032-Q01-004</t>
        </is>
      </c>
      <c r="C250" s="17" t="inlineStr">
        <is>
          <t>[rule] The notary must obtain from the Registrar of the relevant Land Registry a certified extract of the folio containing the last entry showing the ownership of and the registered encumbrances on the land.</t>
        </is>
      </c>
      <c r="D250" s="17" t="inlineStr">
        <is>
          <t>PROV-M032-002: Notaries Ordinance s.31 rule (17)(b)(i)</t>
        </is>
      </c>
      <c r="E250" s="17" t="inlineStr">
        <is>
          <t>[verified, support direct]</t>
        </is>
      </c>
      <c r="F250" s="21" t="n"/>
      <c r="G250" s="21" t="n"/>
      <c r="H250" s="21" t="n"/>
      <c r="I250" s="21" t="n"/>
      <c r="J250" s="21" t="n"/>
      <c r="K250" s="17">
        <f>IF(OR(A250="",B250=""),"",IF(AND(F250&lt;&gt;"",H250&lt;&gt;"",J250&lt;&gt;""),"Complete","Pending"))</f>
        <v/>
      </c>
    </row>
    <row r="251">
      <c r="A251" s="19" t="inlineStr">
        <is>
          <t>M032-Q01</t>
        </is>
      </c>
      <c r="B251" s="19" t="inlineStr">
        <is>
          <t>CL-M032-Q01-005</t>
        </is>
      </c>
      <c r="C251" s="17" t="inlineStr">
        <is>
          <t>[rule] The registry duplicates, books and indexes may be searched by a person interested or by his agent duly authorised in writing, and certified extracts obtained.</t>
        </is>
      </c>
      <c r="D251" s="17" t="inlineStr">
        <is>
          <t>PROV-M032-015: Registration of Documents Ordinance s.42</t>
        </is>
      </c>
      <c r="E251" s="17" t="inlineStr">
        <is>
          <t>[verified, support direct]</t>
        </is>
      </c>
      <c r="F251" s="21" t="n"/>
      <c r="G251" s="21" t="n"/>
      <c r="H251" s="21" t="n"/>
      <c r="I251" s="21" t="n"/>
      <c r="J251" s="21" t="n"/>
      <c r="K251" s="17">
        <f>IF(OR(A251="",B251=""),"",IF(AND(F251&lt;&gt;"",H251&lt;&gt;"",J251&lt;&gt;""),"Complete","Pending"))</f>
        <v/>
      </c>
    </row>
    <row r="252">
      <c r="A252" s="19" t="inlineStr">
        <is>
          <t>M032-Q01</t>
        </is>
      </c>
      <c r="B252" s="19" t="inlineStr">
        <is>
          <t>CL-M032-Q01-006</t>
        </is>
      </c>
      <c r="C252" s="17" t="inlineStr">
        <is>
          <t>[rule] An instrument that is not duly registered is void against a party claiming an adverse interest for valuable consideration under a later instrument that is duly registered, so priority depends on registration.</t>
        </is>
      </c>
      <c r="D252" s="17" t="inlineStr">
        <is>
          <t>PROV-M032-014: Registration of Documents Ordinance s.7 (1)</t>
        </is>
      </c>
      <c r="E252" s="17" t="inlineStr">
        <is>
          <t>[verified, support direct]</t>
        </is>
      </c>
      <c r="F252" s="21" t="n"/>
      <c r="G252" s="21" t="n"/>
      <c r="H252" s="21" t="n"/>
      <c r="I252" s="21" t="n"/>
      <c r="J252" s="21" t="n"/>
      <c r="K252" s="17">
        <f>IF(OR(A252="",B252=""),"",IF(AND(F252&lt;&gt;"",H252&lt;&gt;"",J252&lt;&gt;""),"Complete","Pending"))</f>
        <v/>
      </c>
    </row>
    <row r="253">
      <c r="A253" s="19" t="inlineStr">
        <is>
          <t>M032-Q01</t>
        </is>
      </c>
      <c r="B253" s="19" t="inlineStr">
        <is>
          <t>CL-M032-Q01-007</t>
        </is>
      </c>
      <c r="C253" s="17" t="inlineStr">
        <is>
          <t>[rule] A person acquiring an interest in land for valuable consideration may lodge a priority notice, which remains in force for six weeks and back-dates the registration of the instrument to the date of the notice.</t>
        </is>
      </c>
      <c r="D253" s="17" t="inlineStr">
        <is>
          <t>PROV-M032-016: Registration of Documents Ordinance s.30 (5)
PROV-M032-904: Registration of Documents Ordinance s.30 (2)</t>
        </is>
      </c>
      <c r="E253" s="17" t="inlineStr">
        <is>
          <t>[verified, support direct]</t>
        </is>
      </c>
      <c r="F253" s="21" t="n"/>
      <c r="G253" s="21" t="n"/>
      <c r="H253" s="21" t="n"/>
      <c r="I253" s="21" t="n"/>
      <c r="J253" s="21" t="n"/>
      <c r="K253" s="17">
        <f>IF(OR(A253="",B253=""),"",IF(AND(F253&lt;&gt;"",H253&lt;&gt;"",J253&lt;&gt;""),"Complete","Pending"))</f>
        <v/>
      </c>
    </row>
    <row r="254">
      <c r="A254" s="19" t="inlineStr">
        <is>
          <t>M032-Q01</t>
        </is>
      </c>
      <c r="B254" s="19" t="inlineStr">
        <is>
          <t>CL-M032-Q01-008</t>
        </is>
      </c>
      <c r="C254" s="17" t="inlineStr">
        <is>
          <t>[rule] The notary must use his best endeavours to obtain the vendor's title deed on a transfer and endorse on it the number and date of the new deed and the nature of the transaction.</t>
        </is>
      </c>
      <c r="D254" s="17" t="inlineStr">
        <is>
          <t>PROV-M032-004: Notaries Ordinance s.31 rule (33)</t>
        </is>
      </c>
      <c r="E254" s="17" t="inlineStr">
        <is>
          <t>[verified, support direct]</t>
        </is>
      </c>
      <c r="F254" s="21" t="n"/>
      <c r="G254" s="21" t="n"/>
      <c r="H254" s="21" t="n"/>
      <c r="I254" s="21" t="n"/>
      <c r="J254" s="21" t="n"/>
      <c r="K254" s="17">
        <f>IF(OR(A254="",B254=""),"",IF(AND(F254&lt;&gt;"",H254&lt;&gt;"",J254&lt;&gt;""),"Complete","Pending"))</f>
        <v/>
      </c>
    </row>
    <row r="255">
      <c r="A255" s="19" t="inlineStr">
        <is>
          <t>M032-Q01</t>
        </is>
      </c>
      <c r="B255" s="19" t="inlineStr">
        <is>
          <t>CL-M032-Q01-009</t>
        </is>
      </c>
      <c r="C255" s="17" t="inlineStr">
        <is>
          <t>[rule] The deed must embody, in itself or in an annexed schedule, an accurate and clear description of the land showing its boundaries, extent and situation, specifying the district, Divisional Secretary's Division, local authority division and Grama Niladhari Division.</t>
        </is>
      </c>
      <c r="D255" s="17" t="inlineStr">
        <is>
          <t>PROV-M032-003: Notaries Ordinance s.31 rule (16)(a)</t>
        </is>
      </c>
      <c r="E255" s="17" t="inlineStr">
        <is>
          <t>[verified, support direct]</t>
        </is>
      </c>
      <c r="F255" s="21" t="n"/>
      <c r="G255" s="21" t="n"/>
      <c r="H255" s="21" t="n"/>
      <c r="I255" s="21" t="n"/>
      <c r="J255" s="21" t="n"/>
      <c r="K255" s="17">
        <f>IF(OR(A255="",B255=""),"",IF(AND(F255&lt;&gt;"",H255&lt;&gt;"",J255&lt;&gt;""),"Complete","Pending"))</f>
        <v/>
      </c>
    </row>
    <row r="256">
      <c r="A256" s="19" t="inlineStr">
        <is>
          <t>M032-Q01</t>
        </is>
      </c>
      <c r="B256" s="19" t="inlineStr">
        <is>
          <t>CL-M032-Q01-010</t>
        </is>
      </c>
      <c r="C256" s="17" t="inlineStr">
        <is>
          <t>[rule] The notary must endeavour to ascertain the true and full consideration and set it out in the deed.</t>
        </is>
      </c>
      <c r="D256" s="17" t="inlineStr">
        <is>
          <t>PROV-M032-005: Notaries Ordinance s.38 (1)</t>
        </is>
      </c>
      <c r="E256" s="17" t="inlineStr">
        <is>
          <t>[verified, support direct]</t>
        </is>
      </c>
      <c r="F256" s="21" t="n"/>
      <c r="G256" s="21" t="n"/>
      <c r="H256" s="21" t="n"/>
      <c r="I256" s="21" t="n"/>
      <c r="J256" s="21" t="n"/>
      <c r="K256" s="17">
        <f>IF(OR(A256="",B256=""),"",IF(AND(F256&lt;&gt;"",H256&lt;&gt;"",J256&lt;&gt;""),"Complete","Pending"))</f>
        <v/>
      </c>
    </row>
    <row r="257">
      <c r="A257" s="19" t="inlineStr">
        <is>
          <t>M032-Q01</t>
        </is>
      </c>
      <c r="B257" s="19" t="inlineStr">
        <is>
          <t>CL-M032-Q01-011</t>
        </is>
      </c>
      <c r="C257" s="17" t="inlineStr">
        <is>
          <t>[rule] The notary may not attest unless he has an assurance that the required stamp duty is provided, and stamp duty on the instrument is payable by the notary, duty being charged on every specified instrument at the rate the Minister determines.</t>
        </is>
      </c>
      <c r="D257" s="17" t="inlineStr">
        <is>
          <t>PROV-M032-006: Notaries Ordinance s.31 rule (6)
PROV-M032-007: Notaries Ordinance s.31 rule (7A)(a)
PROV-M032-019: Stamp Duty (Special Provisions) Act s.3 (1)</t>
        </is>
      </c>
      <c r="E257" s="17" t="inlineStr">
        <is>
          <t>[verified, support combined]</t>
        </is>
      </c>
      <c r="F257" s="21" t="n"/>
      <c r="G257" s="21" t="n"/>
      <c r="H257" s="21" t="n"/>
      <c r="I257" s="21" t="n"/>
      <c r="J257" s="21" t="n"/>
      <c r="K257" s="17">
        <f>IF(OR(A257="",B257=""),"",IF(AND(F257&lt;&gt;"",H257&lt;&gt;"",J257&lt;&gt;""),"Complete","Pending"))</f>
        <v/>
      </c>
    </row>
    <row r="258">
      <c r="A258" s="19" t="inlineStr">
        <is>
          <t>M032-Q01</t>
        </is>
      </c>
      <c r="B258" s="19" t="inlineStr">
        <is>
          <t>CL-M032-Q01-012</t>
        </is>
      </c>
      <c r="C258" s="17" t="inlineStr">
        <is>
          <t>[rule] The notary must establish the identity of the executants, either by personal knowledge or by inspecting the national identity card, passport bio-page or driving licence.</t>
        </is>
      </c>
      <c r="D258" s="17" t="inlineStr">
        <is>
          <t>PROV-M032-008: Notaries Ordinance s.31 rule (9)</t>
        </is>
      </c>
      <c r="E258" s="17" t="inlineStr">
        <is>
          <t>[verified, support direct]</t>
        </is>
      </c>
      <c r="F258" s="21" t="n"/>
      <c r="G258" s="21" t="n"/>
      <c r="H258" s="21" t="n"/>
      <c r="I258" s="21" t="n"/>
      <c r="J258" s="21" t="n"/>
      <c r="K258" s="17">
        <f>IF(OR(A258="",B258=""),"",IF(AND(F258&lt;&gt;"",H258&lt;&gt;"",J258&lt;&gt;""),"Complete","Pending"))</f>
        <v/>
      </c>
    </row>
    <row r="259">
      <c r="A259" s="19" t="inlineStr">
        <is>
          <t>M032-Q01</t>
        </is>
      </c>
      <c r="B259" s="19" t="inlineStr">
        <is>
          <t>CL-M032-Q01-013</t>
        </is>
      </c>
      <c r="C259" s="17" t="inlineStr">
        <is>
          <t>[rule] The notary must without delay attest the deed and sign and seal an attestation recording, among other things, execution in his presence and in the presence of one another, how the executants were identified, the date and place, the reading over, the consideration actually paid in his presence and the stamps.</t>
        </is>
      </c>
      <c r="D259" s="17" t="inlineStr">
        <is>
          <t>PROV-M032-009: Notaries Ordinance s.31 rule (20)</t>
        </is>
      </c>
      <c r="E259" s="17" t="inlineStr">
        <is>
          <t>[verified, support direct]</t>
        </is>
      </c>
      <c r="F259" s="21" t="n"/>
      <c r="G259" s="21" t="n"/>
      <c r="H259" s="21" t="n"/>
      <c r="I259" s="21" t="n"/>
      <c r="J259" s="21" t="n"/>
      <c r="K259" s="17">
        <f>IF(OR(A259="",B259=""),"",IF(AND(F259&lt;&gt;"",H259&lt;&gt;"",J259&lt;&gt;""),"Complete","Pending"))</f>
        <v/>
      </c>
    </row>
    <row r="260">
      <c r="A260" s="19" t="inlineStr">
        <is>
          <t>M032-Q01</t>
        </is>
      </c>
      <c r="B260" s="19" t="inlineStr">
        <is>
          <t>CL-M032-Q01-014</t>
        </is>
      </c>
      <c r="C260" s="17" t="inlineStr">
        <is>
          <t>[rule] The attested deed must be submitted for registration within thirty days of attestation.</t>
        </is>
      </c>
      <c r="D260" s="17" t="inlineStr">
        <is>
          <t>PROV-M032-010: Notaries Ordinance s.31 rule (30A)</t>
        </is>
      </c>
      <c r="E260" s="17" t="inlineStr">
        <is>
          <t>[verified, support direct]</t>
        </is>
      </c>
      <c r="F260" s="21" t="n"/>
      <c r="G260" s="21" t="n"/>
      <c r="H260" s="21" t="n"/>
      <c r="I260" s="21" t="n"/>
      <c r="J260" s="21" t="n"/>
      <c r="K260" s="17">
        <f>IF(OR(A260="",B260=""),"",IF(AND(F260&lt;&gt;"",H260&lt;&gt;"",J260&lt;&gt;""),"Complete","Pending"))</f>
        <v/>
      </c>
    </row>
    <row r="261">
      <c r="A261" s="19" t="inlineStr">
        <is>
          <t>M032-Q01</t>
        </is>
      </c>
      <c r="B261" s="19" t="inlineStr">
        <is>
          <t>CL-M032-Q01-015</t>
        </is>
      </c>
      <c r="C261" s="17" t="inlineStr">
        <is>
          <t>[rule] A person may not own more than fifty acres of agricultural land where the land is not exclusively paddy, and land owned in excess of that ceiling vests in the Commission.</t>
        </is>
      </c>
      <c r="D261" s="17" t="inlineStr">
        <is>
          <t>PROV-M032-017: Land Reform Law s.3 (1)(b)
PROV-M032-906: Land Reform Law s.5 (1)</t>
        </is>
      </c>
      <c r="E261" s="17" t="inlineStr">
        <is>
          <t>[verified, support direct]</t>
        </is>
      </c>
      <c r="F261" s="21" t="n"/>
      <c r="G261" s="21" t="n"/>
      <c r="H261" s="21" t="n"/>
      <c r="I261" s="21" t="n"/>
      <c r="J261" s="21" t="n"/>
      <c r="K261" s="17">
        <f>IF(OR(A261="",B261=""),"",IF(AND(F261&lt;&gt;"",H261&lt;&gt;"",J261&lt;&gt;""),"Complete","Pending"))</f>
        <v/>
      </c>
    </row>
    <row r="262">
      <c r="A262" s="19" t="inlineStr">
        <is>
          <t>M032-Q01</t>
        </is>
      </c>
      <c r="B262" s="19" t="inlineStr">
        <is>
          <t>CL-M032-Q01-016</t>
        </is>
      </c>
      <c r="C262" s="17" t="inlineStr">
        <is>
          <t>[rule] Land alienated on a state grant may not be disposed of except with the prior approval of the Government Agent, and not in portions below the minimum specified in the grant.</t>
        </is>
      </c>
      <c r="D262" s="17" t="inlineStr">
        <is>
          <t>PROV-M032-018: Land Development Ordinance s.19 (6)</t>
        </is>
      </c>
      <c r="E262" s="17" t="inlineStr">
        <is>
          <t>[verified, support direct]</t>
        </is>
      </c>
      <c r="F262" s="21" t="n"/>
      <c r="G262" s="21" t="n"/>
      <c r="H262" s="21" t="n"/>
      <c r="I262" s="21" t="n"/>
      <c r="J262" s="21" t="n"/>
      <c r="K262" s="17">
        <f>IF(OR(A262="",B262=""),"",IF(AND(F262&lt;&gt;"",H262&lt;&gt;"",J262&lt;&gt;""),"Complete","Pending"))</f>
        <v/>
      </c>
    </row>
    <row r="263">
      <c r="A263" s="19" t="inlineStr">
        <is>
          <t>M032-Q01</t>
        </is>
      </c>
      <c r="B263" s="19" t="inlineStr">
        <is>
          <t>CL-M032-Q01-017</t>
        </is>
      </c>
      <c r="C263" s="17" t="inlineStr">
        <is>
          <t>[rule] Prior consent of the Board, evidenced by a certificate attached to the deed, is required only for the transfer of a tea or rubber estate.</t>
        </is>
      </c>
      <c r="D263" s="17" t="inlineStr">
        <is>
          <t>PROV-M032-021: Tea and Rubber Estates (Control of Fragmentation) Act s.3 (1)</t>
        </is>
      </c>
      <c r="E263" s="17" t="inlineStr">
        <is>
          <t>[verified, support direct]</t>
        </is>
      </c>
      <c r="F263" s="21" t="n"/>
      <c r="G263" s="21" t="n"/>
      <c r="H263" s="21" t="n"/>
      <c r="I263" s="21" t="n"/>
      <c r="J263" s="21" t="n"/>
      <c r="K263" s="17">
        <f>IF(OR(A263="",B263=""),"",IF(AND(F263&lt;&gt;"",H263&lt;&gt;"",J263&lt;&gt;""),"Complete","Pending"))</f>
        <v/>
      </c>
    </row>
    <row r="264">
      <c r="A264" s="19" t="inlineStr">
        <is>
          <t>M032-Q01</t>
        </is>
      </c>
      <c r="B264" s="19" t="inlineStr">
        <is>
          <t>CL-M032-Q01-018</t>
        </is>
      </c>
      <c r="C264" s="17" t="inlineStr">
        <is>
          <t>[rule] The notary should also satisfy himself that an out-and-out purchase is the transaction the parties actually intend and explain the deed to them before signature, although this express duty was introduced by an amendment of 2024 whose commencement relative to April 2024 is not established on the corpus.</t>
        </is>
      </c>
      <c r="D264" s="17" t="inlineStr">
        <is>
          <t>PROV-M032-020: Notaries Ordinance s.38A (1)</t>
        </is>
      </c>
      <c r="E264" s="17" t="inlineStr">
        <is>
          <t>[disputed, support inferential]</t>
        </is>
      </c>
      <c r="F264" s="21" t="n"/>
      <c r="G264" s="21" t="n"/>
      <c r="H264" s="21" t="n"/>
      <c r="I264" s="21" t="n"/>
      <c r="J264" s="21" t="n"/>
      <c r="K264" s="17">
        <f>IF(OR(A264="",B264=""),"",IF(AND(F264&lt;&gt;"",H264&lt;&gt;"",J264&lt;&gt;""),"Complete","Pending"))</f>
        <v/>
      </c>
    </row>
    <row r="265">
      <c r="A265" s="19" t="inlineStr">
        <is>
          <t>M032-Q01</t>
        </is>
      </c>
      <c r="B265" s="19" t="inlineStr">
        <is>
          <t>CL-M032-Q01-019</t>
        </is>
      </c>
      <c r="C265" s="17" t="inlineStr">
        <is>
          <t>[application] Because the estate lies at Wariyapola in the Kurunegala District and the notary is authorised to practise in Sinhala in that district, he may accept the retainer and attest the deed himself.</t>
        </is>
      </c>
      <c r="D265" s="17" t="inlineStr">
        <is>
          <t>PROV-M032-011: Notaries Ordinance s.31 rule (22)
Facts: FACT-M032-Q01-006</t>
        </is>
      </c>
      <c r="E265" s="17" t="inlineStr">
        <is>
          <t>[verified, support direct]</t>
        </is>
      </c>
      <c r="F265" s="21" t="n"/>
      <c r="G265" s="21" t="n"/>
      <c r="H265" s="21" t="n"/>
      <c r="I265" s="21" t="n"/>
      <c r="J265" s="21" t="n"/>
      <c r="K265" s="17">
        <f>IF(OR(A265="",B265=""),"",IF(AND(F265&lt;&gt;"",H265&lt;&gt;"",J265&lt;&gt;""),"Complete","Pending"))</f>
        <v/>
      </c>
    </row>
    <row r="266">
      <c r="A266" s="19" t="inlineStr">
        <is>
          <t>M032-Q01</t>
        </is>
      </c>
      <c r="B266" s="19" t="inlineStr">
        <is>
          <t>CL-M032-Q01-020</t>
        </is>
      </c>
      <c r="C266" s="17" t="inlineStr">
        <is>
          <t>[application] The vendor's assertion that he owns on Deed of Transfer No. 1032 of 1998, traced back to the 1979 partition decree, must be tested by searching the Kurunegala land registry folio in which that deed is registered and by obtaining the certified folio extract, and the notary should call for and examine the prior deeds themselves.</t>
        </is>
      </c>
      <c r="D266" s="17" t="inlineStr">
        <is>
          <t>PROV-M032-001: Notaries Ordinance s.31 rule (17)(a)
PROV-M032-002: Notaries Ordinance s.31 rule (17)(b)(i)
PROV-M032-004: Notaries Ordinance s.31 rule (33)
Facts: FACT-M032-Q01-003</t>
        </is>
      </c>
      <c r="E266" s="17" t="inlineStr">
        <is>
          <t>[verified, support combined]</t>
        </is>
      </c>
      <c r="F266" s="21" t="n"/>
      <c r="G266" s="21" t="n"/>
      <c r="H266" s="21" t="n"/>
      <c r="I266" s="21" t="n"/>
      <c r="J266" s="21" t="n"/>
      <c r="K266" s="17">
        <f>IF(OR(A266="",B266=""),"",IF(AND(F266&lt;&gt;"",H266&lt;&gt;"",J266&lt;&gt;""),"Complete","Pending"))</f>
        <v/>
      </c>
    </row>
    <row r="267">
      <c r="A267" s="19" t="inlineStr">
        <is>
          <t>M032-Q01</t>
        </is>
      </c>
      <c r="B267" s="19" t="inlineStr">
        <is>
          <t>CL-M032-Q01-021</t>
        </is>
      </c>
      <c r="C267" s="17" t="inlineStr">
        <is>
          <t>[application] The search and folio extract should disclose Bond No. 2210 of 2021 in favour of the bank, so the notary must arrange for a registered discharge or for the release to be executed and registered together with the conveyance, since otherwise the buyer takes subject to that earlier registered interest.</t>
        </is>
      </c>
      <c r="D267" s="17" t="inlineStr">
        <is>
          <t>PROV-M032-001: Notaries Ordinance s.31 rule (17)(a)
PROV-M032-002: Notaries Ordinance s.31 rule (17)(b)(i)
PROV-M032-014: Registration of Documents Ordinance s.7 (1)
Facts: FACT-M032-Q01-004</t>
        </is>
      </c>
      <c r="E267" s="17" t="inlineStr">
        <is>
          <t>[verified, support combined]</t>
        </is>
      </c>
      <c r="F267" s="21" t="n"/>
      <c r="G267" s="21" t="n"/>
      <c r="H267" s="21" t="n"/>
      <c r="I267" s="21" t="n"/>
      <c r="J267" s="21" t="n"/>
      <c r="K267" s="17">
        <f>IF(OR(A267="",B267=""),"",IF(AND(F267&lt;&gt;"",H267&lt;&gt;"",J267&lt;&gt;""),"Complete","Pending"))</f>
        <v/>
      </c>
    </row>
    <row r="268">
      <c r="A268" s="19" t="inlineStr">
        <is>
          <t>M032-Q01</t>
        </is>
      </c>
      <c r="B268" s="19" t="inlineStr">
        <is>
          <t>CL-M032-Q01-022</t>
        </is>
      </c>
      <c r="C268" s="17" t="inlineStr">
        <is>
          <t>[application] Because the bond is outstanding and execution is not to take place until 20 May 2024, the notary should consider lodging a priority notice so that an instrument executed by the vendor in the interval cannot gain priority over the client's conveyance.</t>
        </is>
      </c>
      <c r="D268" s="17" t="inlineStr">
        <is>
          <t>PROV-M032-016: Registration of Documents Ordinance s.30 (5)
PROV-M032-014: Registration of Documents Ordinance s.7 (1)
PROV-M032-904: Registration of Documents Ordinance s.30 (2)
Facts: FACT-M032-Q01-004, FACT-M032-Q01-006</t>
        </is>
      </c>
      <c r="E268" s="17" t="inlineStr">
        <is>
          <t>[verified, support combined]</t>
        </is>
      </c>
      <c r="F268" s="21" t="n"/>
      <c r="G268" s="21" t="n"/>
      <c r="H268" s="21" t="n"/>
      <c r="I268" s="21" t="n"/>
      <c r="J268" s="21" t="n"/>
      <c r="K268" s="17">
        <f>IF(OR(A268="",B268=""),"",IF(AND(F268&lt;&gt;"",H268&lt;&gt;"",J268&lt;&gt;""),"Complete","Pending"))</f>
        <v/>
      </c>
    </row>
    <row r="269">
      <c r="A269" s="19" t="inlineStr">
        <is>
          <t>M032-Q01</t>
        </is>
      </c>
      <c r="B269" s="19" t="inlineStr">
        <is>
          <t>CL-M032-Q01-023</t>
        </is>
      </c>
      <c r="C269" s="17" t="inlineStr">
        <is>
          <t>[application] The schedule to the deed must reproduce the thirty-acre extent and the boundaries of Lot 1 in Survey Plan No. 4127 with the village, Divisional Secretary's Division and district, and the notary should have the plan checked on the ground against the folio description before drawing the deed.</t>
        </is>
      </c>
      <c r="D269" s="17" t="inlineStr">
        <is>
          <t>PROV-M032-003: Notaries Ordinance s.31 rule (16)(a)
Facts: FACT-M032-Q01-002</t>
        </is>
      </c>
      <c r="E269" s="17" t="inlineStr">
        <is>
          <t>[verified, support combined]</t>
        </is>
      </c>
      <c r="F269" s="21" t="n"/>
      <c r="G269" s="21" t="n"/>
      <c r="H269" s="21" t="n"/>
      <c r="I269" s="21" t="n"/>
      <c r="J269" s="21" t="n"/>
      <c r="K269" s="17">
        <f>IF(OR(A269="",B269=""),"",IF(AND(F269&lt;&gt;"",H269&lt;&gt;"",J269&lt;&gt;""),"Complete","Pending"))</f>
        <v/>
      </c>
    </row>
    <row r="270">
      <c r="A270" s="19" t="inlineStr">
        <is>
          <t>M032-Q01</t>
        </is>
      </c>
      <c r="B270" s="19" t="inlineStr">
        <is>
          <t>CL-M032-Q01-024</t>
        </is>
      </c>
      <c r="C270" s="17" t="inlineStr">
        <is>
          <t>[application] Since the whole thirty acres is coconut land and the client owns no other agricultural land, the purchase leaves his holding well below the fifty-acre ceiling, but the notary should record that check.</t>
        </is>
      </c>
      <c r="D270" s="17" t="inlineStr">
        <is>
          <t>PROV-M032-017: Land Reform Law s.3 (1)(b)
PROV-M032-906: Land Reform Law s.5 (1)
Facts: FACT-M032-Q01-001, FACT-M032-Q01-007</t>
        </is>
      </c>
      <c r="E270" s="17" t="inlineStr">
        <is>
          <t>[verified, support combined]</t>
        </is>
      </c>
      <c r="F270" s="21" t="n"/>
      <c r="G270" s="21" t="n"/>
      <c r="H270" s="21" t="n"/>
      <c r="I270" s="21" t="n"/>
      <c r="J270" s="21" t="n"/>
      <c r="K270" s="17">
        <f>IF(OR(A270="",B270=""),"",IF(AND(F270&lt;&gt;"",H270&lt;&gt;"",J270&lt;&gt;""),"Complete","Pending"))</f>
        <v/>
      </c>
    </row>
    <row r="271">
      <c r="A271" s="19" t="inlineStr">
        <is>
          <t>M032-Q01</t>
        </is>
      </c>
      <c r="B271" s="19" t="inlineStr">
        <is>
          <t>CL-M032-Q01-025</t>
        </is>
      </c>
      <c r="C271" s="17" t="inlineStr">
        <is>
          <t>[application] Coconut is neither tea nor rubber, so no consent certificate of the Board needs to be obtained or attached to this deed.</t>
        </is>
      </c>
      <c r="D271" s="17" t="inlineStr">
        <is>
          <t>PROV-M032-021: Tea and Rubber Estates (Control of Fragmentation) Act s.3 (1)
Facts: FACT-M032-Q01-007</t>
        </is>
      </c>
      <c r="E271" s="17" t="inlineStr">
        <is>
          <t>[verified, support direct]</t>
        </is>
      </c>
      <c r="F271" s="21" t="n"/>
      <c r="G271" s="21" t="n"/>
      <c r="H271" s="21" t="n"/>
      <c r="I271" s="21" t="n"/>
      <c r="J271" s="21" t="n"/>
      <c r="K271" s="17">
        <f>IF(OR(A271="",B271=""),"",IF(AND(F271&lt;&gt;"",H271&lt;&gt;"",J271&lt;&gt;""),"Complete","Pending"))</f>
        <v/>
      </c>
    </row>
    <row r="272">
      <c r="A272" s="19" t="inlineStr">
        <is>
          <t>M032-Q01</t>
        </is>
      </c>
      <c r="B272" s="19" t="inlineStr">
        <is>
          <t>CL-M032-Q01-026</t>
        </is>
      </c>
      <c r="C272" s="17" t="inlineStr">
        <is>
          <t>[application] The chain shows private freehold and no state permit or grant, so no prior approval of the Government Agent has to be obtained before the vendor conveys.</t>
        </is>
      </c>
      <c r="D272" s="17" t="inlineStr">
        <is>
          <t>PROV-M032-018: Land Development Ordinance s.19 (6)
Facts: FACT-M032-Q01-007</t>
        </is>
      </c>
      <c r="E272" s="17" t="inlineStr">
        <is>
          <t>[verified, support direct]</t>
        </is>
      </c>
      <c r="F272" s="21" t="n"/>
      <c r="G272" s="21" t="n"/>
      <c r="H272" s="21" t="n"/>
      <c r="I272" s="21" t="n"/>
      <c r="J272" s="21" t="n"/>
      <c r="K272" s="17">
        <f>IF(OR(A272="",B272=""),"",IF(AND(F272&lt;&gt;"",H272&lt;&gt;"",J272&lt;&gt;""),"Complete","Pending"))</f>
        <v/>
      </c>
    </row>
    <row r="273">
      <c r="A273" s="19" t="inlineStr">
        <is>
          <t>M032-Q01</t>
        </is>
      </c>
      <c r="B273" s="19" t="inlineStr">
        <is>
          <t>CL-M032-Q01-027</t>
        </is>
      </c>
      <c r="C273" s="17" t="inlineStr">
        <is>
          <t>[application] The full price of Rs. 42,000,000, including the Rs. 4,200,000 advance already paid under the agreement of 10 January 2024, must be set out in the deed as the consideration, and the balance paid at execution must be recorded in the attestation with the details of any cheque or bank draft.</t>
        </is>
      </c>
      <c r="D273" s="17" t="inlineStr">
        <is>
          <t>PROV-M032-005: Notaries Ordinance s.38 (1)
PROV-M032-009: Notaries Ordinance s.31 rule (20)
Facts: FACT-M032-Q01-005</t>
        </is>
      </c>
      <c r="E273" s="17" t="inlineStr">
        <is>
          <t>[verified, support combined]</t>
        </is>
      </c>
      <c r="F273" s="21" t="n"/>
      <c r="G273" s="21" t="n"/>
      <c r="H273" s="21" t="n"/>
      <c r="I273" s="21" t="n"/>
      <c r="J273" s="21" t="n"/>
      <c r="K273" s="17">
        <f>IF(OR(A273="",B273=""),"",IF(AND(F273&lt;&gt;"",H273&lt;&gt;"",J273&lt;&gt;""),"Complete","Pending"))</f>
        <v/>
      </c>
    </row>
    <row r="274">
      <c r="A274" s="19" t="inlineStr">
        <is>
          <t>M032-Q01</t>
        </is>
      </c>
      <c r="B274" s="19" t="inlineStr">
        <is>
          <t>CL-M032-Q01-028</t>
        </is>
      </c>
      <c r="C274" s="17" t="inlineStr">
        <is>
          <t>[application] Stamp duty on that consideration must be worked out, provided for and paid by the notary before he attests, and the receipt or stamps dealt with as the rules require.</t>
        </is>
      </c>
      <c r="D274" s="17" t="inlineStr">
        <is>
          <t>PROV-M032-006: Notaries Ordinance s.31 rule (6)
PROV-M032-007: Notaries Ordinance s.31 rule (7A)(a)
PROV-M032-019: Stamp Duty (Special Provisions) Act s.3 (1)
Facts: FACT-M032-Q01-005</t>
        </is>
      </c>
      <c r="E274" s="17" t="inlineStr">
        <is>
          <t>[verified, support combined]</t>
        </is>
      </c>
      <c r="F274" s="21" t="n"/>
      <c r="G274" s="21" t="n"/>
      <c r="H274" s="21" t="n"/>
      <c r="I274" s="21" t="n"/>
      <c r="J274" s="21" t="n"/>
      <c r="K274" s="17">
        <f>IF(OR(A274="",B274=""),"",IF(AND(F274&lt;&gt;"",H274&lt;&gt;"",J274&lt;&gt;""),"Complete","Pending"))</f>
        <v/>
      </c>
    </row>
    <row r="275">
      <c r="A275" s="19" t="inlineStr">
        <is>
          <t>M032-Q01</t>
        </is>
      </c>
      <c r="B275" s="19" t="inlineStr">
        <is>
          <t>CL-M032-Q01-029</t>
        </is>
      </c>
      <c r="C275" s="17" t="inlineStr">
        <is>
          <t>[application] At execution the notary must identify Mr. Ranasinghe and the vendor from their national identity cards, have two witnesses of good repute sign, read over and explain the deed, and then attest, sign and seal it without delay.</t>
        </is>
      </c>
      <c r="D275" s="17" t="inlineStr">
        <is>
          <t>PROV-M032-008: Notaries Ordinance s.31 rule (9)
PROV-M032-009: Notaries Ordinance s.31 rule (20)
PROV-M032-013: Prevention of Frauds Ordinance s.2 (1)(a)
PROV-M032-902: Notaries Ordinance s.31 rule (8)
PROV-M032-903: Notaries Ordinance s.31 rule (11)
PROV-M032-905: Prevention of Frauds Ordinance s.2 (2)(a)
Facts: BG-1, FACT-M032-Q01-003</t>
        </is>
      </c>
      <c r="E275" s="17" t="inlineStr">
        <is>
          <t>[verified, support combined]</t>
        </is>
      </c>
      <c r="F275" s="21" t="n"/>
      <c r="G275" s="21" t="n"/>
      <c r="H275" s="21" t="n"/>
      <c r="I275" s="21" t="n"/>
      <c r="J275" s="21" t="n"/>
      <c r="K275" s="17">
        <f>IF(OR(A275="",B275=""),"",IF(AND(F275&lt;&gt;"",H275&lt;&gt;"",J275&lt;&gt;""),"Complete","Pending"))</f>
        <v/>
      </c>
    </row>
    <row r="276">
      <c r="A276" s="19" t="inlineStr">
        <is>
          <t>M032-Q01</t>
        </is>
      </c>
      <c r="B276" s="19" t="inlineStr">
        <is>
          <t>CL-M032-Q01-030</t>
        </is>
      </c>
      <c r="C276" s="17" t="inlineStr">
        <is>
          <t>[application] If the deed is executed on 20 May 2024 it must be lodged for registration in the Kurunegala land registry by 19 June 2024, and the notary should also endorse the particulars of the new deed on the vendor's title deed.</t>
        </is>
      </c>
      <c r="D276" s="17" t="inlineStr">
        <is>
          <t>PROV-M032-010: Notaries Ordinance s.31 rule (30A)
PROV-M032-004: Notaries Ordinance s.31 rule (33)
PROV-M032-014: Registration of Documents Ordinance s.7 (1)
Facts: FACT-M032-Q01-006</t>
        </is>
      </c>
      <c r="E276" s="17" t="inlineStr">
        <is>
          <t>[verified, support combined]</t>
        </is>
      </c>
      <c r="F276" s="21" t="n"/>
      <c r="G276" s="21" t="n"/>
      <c r="H276" s="21" t="n"/>
      <c r="I276" s="21" t="n"/>
      <c r="J276" s="21" t="n"/>
      <c r="K276" s="17">
        <f>IF(OR(A276="",B276=""),"",IF(AND(F276&lt;&gt;"",H276&lt;&gt;"",J276&lt;&gt;""),"Complete","Pending"))</f>
        <v/>
      </c>
    </row>
    <row r="277">
      <c r="A277" s="19" t="inlineStr">
        <is>
          <t>M032-Q01</t>
        </is>
      </c>
      <c r="B277" s="19" t="inlineStr">
        <is>
          <t>CL-M032-Q01-031</t>
        </is>
      </c>
      <c r="C277" s="17" t="inlineStr">
        <is>
          <t>[conclusion] The notary's steps therefore run in sequence: confirm his own competence for the area, call for and examine the vendor's title deeds, search the land registry and take a certified folio extract, deal with the disclosed mortgage and consider a priority notice, verify the extent and boundaries against the survey plan, check that no statutory ceiling or consent regime bites, draw the deed with an accurate schedule and the true consideration, provide for stamp duty, execute and attest it with identified parties and two witnesses, and lodge it for registration within thirty days.</t>
        </is>
      </c>
      <c r="D277" s="17" t="inlineStr">
        <is>
          <t>PROV-M032-001: Notaries Ordinance s.31 rule (17)(a)
PROV-M032-002: Notaries Ordinance s.31 rule (17)(b)(i)
PROV-M032-003: Notaries Ordinance s.31 rule (16)(a)
PROV-M032-004: Notaries Ordinance s.31 rule (33)
PROV-M032-005: Notaries Ordinance s.38 (1)
PROV-M032-006: Notaries Ordinance s.31 rule (6)
PROV-M032-008: Notaries Ordinance s.31 rule (9)
PROV-M032-009: Notaries Ordinance s.31 rule (20)
PROV-M032-010: Notaries Ordinance s.31 rule (30A)
PROV-M032-011: Notaries Ordinance s.31 rule (22)
PROV-M032-013: Prevention of Frauds Ordinance s.2 (1)(a)
PROV-M032-014: Registration of Documents Ordinance s.7 (1)
PROV-M032-016: Registration of Documents Ordinance s.30 (5)
PROV-M032-017: Land Reform Law s.3 (1)(b)
PROV-M032-018: Land Development Ordinance s.19 (6)
Facts: FACT-M032-Q01-002, FACT-M032-Q01-003, FACT-M032-Q01-004, FACT-M032-Q01-005, FACT-M032-Q01-006, FACT-M032-Q01-007</t>
        </is>
      </c>
      <c r="E277" s="17" t="inlineStr">
        <is>
          <t>[verified, support combined]</t>
        </is>
      </c>
      <c r="F277" s="21" t="n"/>
      <c r="G277" s="21" t="n"/>
      <c r="H277" s="21" t="n"/>
      <c r="I277" s="21" t="n"/>
      <c r="J277" s="21" t="n"/>
      <c r="K277" s="17">
        <f>IF(OR(A277="",B277=""),"",IF(AND(F277&lt;&gt;"",H277&lt;&gt;"",J277&lt;&gt;""),"Complete","Pending"))</f>
        <v/>
      </c>
    </row>
    <row r="278">
      <c r="A278" s="19" t="inlineStr">
        <is>
          <t>M032-Q01</t>
        </is>
      </c>
      <c r="B278" s="19" t="inlineStr">
        <is>
          <t>CL-M032-Q01-032</t>
        </is>
      </c>
      <c r="C278" s="17" t="inlineStr">
        <is>
          <t>[conclusion] On the enriched facts nothing in the frozen statutory material bars the purchase, provided the bank's bond is discharged and the deed is properly drawn, attested and registered in time.</t>
        </is>
      </c>
      <c r="D278" s="17" t="inlineStr">
        <is>
          <t>PROV-M032-013: Prevention of Frauds Ordinance s.2 (1)(a)
PROV-M032-014: Registration of Documents Ordinance s.7 (1)
PROV-M032-010: Notaries Ordinance s.31 rule (30A)
PROV-M032-017: Land Reform Law s.3 (1)(b)
PROV-M032-018: Land Development Ordinance s.19 (6)
Facts: FACT-M032-Q01-004, FACT-M032-Q01-007</t>
        </is>
      </c>
      <c r="E278" s="17" t="inlineStr">
        <is>
          <t>[verified, support combined]</t>
        </is>
      </c>
      <c r="F278" s="21" t="n"/>
      <c r="G278" s="21" t="n"/>
      <c r="H278" s="21" t="n"/>
      <c r="I278" s="21" t="n"/>
      <c r="J278" s="21" t="n"/>
      <c r="K278" s="17">
        <f>IF(OR(A278="",B278=""),"",IF(AND(F278&lt;&gt;"",H278&lt;&gt;"",J278&lt;&gt;""),"Complete","Pending"))</f>
        <v/>
      </c>
    </row>
    <row r="279">
      <c r="A279" s="19" t="inlineStr">
        <is>
          <t>M036-Q01</t>
        </is>
      </c>
      <c r="B279" s="19" t="inlineStr">
        <is>
          <t>CL-M036-Q01-001</t>
        </is>
      </c>
      <c r="C279" s="17" t="inlineStr">
        <is>
          <t>[rule] A transfer of ownership of a rubber estate is null and void unless the transferor has previously obtained a certificate of consent of the Board and the transfer complies with any conditions of that consent.</t>
        </is>
      </c>
      <c r="D279" s="17" t="inlineStr">
        <is>
          <t>PROV-M036-002: Tea and Rubber Estates (Control of Fragmentation) Act s.3 (1)</t>
        </is>
      </c>
      <c r="E279" s="17" t="inlineStr">
        <is>
          <t>[verified, support direct]</t>
        </is>
      </c>
      <c r="F279" s="21" t="n"/>
      <c r="G279" s="21" t="n"/>
      <c r="H279" s="21" t="n"/>
      <c r="I279" s="21" t="n"/>
      <c r="J279" s="21" t="n"/>
      <c r="K279" s="17">
        <f>IF(OR(A279="",B279=""),"",IF(AND(F279&lt;&gt;"",H279&lt;&gt;"",J279&lt;&gt;""),"Complete","Pending"))</f>
        <v/>
      </c>
    </row>
    <row r="280">
      <c r="A280" s="19" t="inlineStr">
        <is>
          <t>M036-Q01</t>
        </is>
      </c>
      <c r="B280" s="19" t="inlineStr">
        <is>
          <t>CL-M036-Q01-002</t>
        </is>
      </c>
      <c r="C280" s="17" t="inlineStr">
        <is>
          <t>[rule] That prohibition applies only where the land answers the statutory definition of a rubber estate, which requires both a minimum extent and registration as an estate under the rubber control legislation.</t>
        </is>
      </c>
      <c r="D280" s="17" t="inlineStr">
        <is>
          <t>PROV-M036-001: Tea and Rubber Estates (Control of Fragmentation) Act s.25 definition of 'rubber estate'</t>
        </is>
      </c>
      <c r="E280" s="17" t="inlineStr">
        <is>
          <t>[verified, support direct]</t>
        </is>
      </c>
      <c r="F280" s="21" t="n"/>
      <c r="G280" s="21" t="n"/>
      <c r="H280" s="21" t="n"/>
      <c r="I280" s="21" t="n"/>
      <c r="J280" s="21" t="n"/>
      <c r="K280" s="17">
        <f>IF(OR(A280="",B280=""),"",IF(AND(F280&lt;&gt;"",H280&lt;&gt;"",J280&lt;&gt;""),"Complete","Pending"))</f>
        <v/>
      </c>
    </row>
    <row r="281">
      <c r="A281" s="19" t="inlineStr">
        <is>
          <t>M036-Q01</t>
        </is>
      </c>
      <c r="B281" s="19" t="inlineStr">
        <is>
          <t>CL-M036-Q01-003</t>
        </is>
      </c>
      <c r="C281" s="17" t="inlineStr">
        <is>
          <t>[application] Because the estate is 16.6 hectares and has never been registered as an estate in the statutory register of rubber estates, it falls outside the definition, so no certificate of consent is required; the registration position should still be confirmed in writing.</t>
        </is>
      </c>
      <c r="D281" s="17" t="inlineStr">
        <is>
          <t>PROV-M036-001: Tea and Rubber Estates (Control of Fragmentation) Act s.25 definition of 'rubber estate'
PROV-M036-002: Tea and Rubber Estates (Control of Fragmentation) Act s.3 (1)
Facts: FACT-M036-Q01-004, BG-1</t>
        </is>
      </c>
      <c r="E281" s="17" t="inlineStr">
        <is>
          <t>[verified, support combined]</t>
        </is>
      </c>
      <c r="F281" s="21" t="n"/>
      <c r="G281" s="21" t="n"/>
      <c r="H281" s="21" t="n"/>
      <c r="I281" s="21" t="n"/>
      <c r="J281" s="21" t="n"/>
      <c r="K281" s="17">
        <f>IF(OR(A281="",B281=""),"",IF(AND(F281&lt;&gt;"",H281&lt;&gt;"",J281&lt;&gt;""),"Complete","Pending"))</f>
        <v/>
      </c>
    </row>
    <row r="282">
      <c r="A282" s="19" t="inlineStr">
        <is>
          <t>M036-Q01</t>
        </is>
      </c>
      <c r="B282" s="19" t="inlineStr">
        <is>
          <t>CL-M036-Q01-004</t>
        </is>
      </c>
      <c r="C282" s="17" t="inlineStr">
        <is>
          <t>[rule] Land planted with rubber is agricultural land, the ceiling on non-paddy agricultural land is fifty acres per person, and where agricultural land is owned by a private company its shareholders are deemed to own it for the purposes of the ceiling in proportion to their shareholdings.</t>
        </is>
      </c>
      <c r="D282" s="17" t="inlineStr">
        <is>
          <t>PROV-M036-006: Land Reform Law s.66 definition of 'agricultural land'
PROV-M036-003: Land Reform Law s.3 (1)(b)
PROV-M036-004: Land Reform Law s.8</t>
        </is>
      </c>
      <c r="E282" s="17" t="inlineStr">
        <is>
          <t>[verified, support combined]</t>
        </is>
      </c>
      <c r="F282" s="21" t="n"/>
      <c r="G282" s="21" t="n"/>
      <c r="H282" s="21" t="n"/>
      <c r="I282" s="21" t="n"/>
      <c r="J282" s="21" t="n"/>
      <c r="K282" s="17">
        <f>IF(OR(A282="",B282=""),"",IF(AND(F282&lt;&gt;"",H282&lt;&gt;"",J282&lt;&gt;""),"Complete","Pending"))</f>
        <v/>
      </c>
    </row>
    <row r="283">
      <c r="A283" s="19" t="inlineStr">
        <is>
          <t>M036-Q01</t>
        </is>
      </c>
      <c r="B283" s="19" t="inlineStr">
        <is>
          <t>CL-M036-Q01-005</t>
        </is>
      </c>
      <c r="C283" s="17" t="inlineStr">
        <is>
          <t>[rule] Where a person becomes the owner of agricultural land in excess of the ceiling after the commencement of the Law, the excess is deemed to vest in the Commission and to be held by that person on a statutory lease.</t>
        </is>
      </c>
      <c r="D283" s="17" t="inlineStr">
        <is>
          <t>PROV-M036-005: Land Reform Law s.5 (1)</t>
        </is>
      </c>
      <c r="E283" s="17" t="inlineStr">
        <is>
          <t>[verified, support direct]</t>
        </is>
      </c>
      <c r="F283" s="21" t="n"/>
      <c r="G283" s="21" t="n"/>
      <c r="H283" s="21" t="n"/>
      <c r="I283" s="21" t="n"/>
      <c r="J283" s="21" t="n"/>
      <c r="K283" s="17">
        <f>IF(OR(A283="",B283=""),"",IF(AND(F283&lt;&gt;"",H283&lt;&gt;"",J283&lt;&gt;""),"Complete","Pending"))</f>
        <v/>
      </c>
    </row>
    <row r="284">
      <c r="A284" s="19" t="inlineStr">
        <is>
          <t>M036-Q01</t>
        </is>
      </c>
      <c r="B284" s="19" t="inlineStr">
        <is>
          <t>CL-M036-Q01-006</t>
        </is>
      </c>
      <c r="C284" s="17" t="inlineStr">
        <is>
          <t>[application] Each of the five shareholders is deemed to acquire one fifth of the 41 acres, that is 8.2 acres, and since none owns other agricultural land no shareholder exceeds the fifty-acre ceiling, so no part of the estate would vest in the Commission on this purchase.</t>
        </is>
      </c>
      <c r="D284" s="17" t="inlineStr">
        <is>
          <t>PROV-M036-003: Land Reform Law s.3 (1)(b)
PROV-M036-004: Land Reform Law s.8
PROV-M036-005: Land Reform Law s.5 (1)
Facts: FACT-M036-Q01-001, FACT-M036-Q01-002, BG-1</t>
        </is>
      </c>
      <c r="E284" s="17" t="inlineStr">
        <is>
          <t>[verified, support combined]</t>
        </is>
      </c>
      <c r="F284" s="21" t="n"/>
      <c r="G284" s="21" t="n"/>
      <c r="H284" s="21" t="n"/>
      <c r="I284" s="21" t="n"/>
      <c r="J284" s="21" t="n"/>
      <c r="K284" s="17">
        <f>IF(OR(A284="",B284=""),"",IF(AND(F284&lt;&gt;"",H284&lt;&gt;"",J284&lt;&gt;""),"Complete","Pending"))</f>
        <v/>
      </c>
    </row>
    <row r="285">
      <c r="A285" s="19" t="inlineStr">
        <is>
          <t>M036-Q01</t>
        </is>
      </c>
      <c r="B285" s="19" t="inlineStr">
        <is>
          <t>CL-M036-Q01-007</t>
        </is>
      </c>
      <c r="C285" s="17" t="inlineStr">
        <is>
          <t>[rule] A transfer of title of land to a company incorporated in Sri Lanka is prohibited where foreign shareholding in that company, direct or indirect, is fifty per cent or above, and an alienation in contravention of the Act is void.</t>
        </is>
      </c>
      <c r="D285" s="17" t="inlineStr">
        <is>
          <t>PROV-M036-007: Land (Restrictions on Alienation) Act s.2 (1)
PROV-M036-009: Land (Restrictions on Alienation) Act s.18</t>
        </is>
      </c>
      <c r="E285" s="17" t="inlineStr">
        <is>
          <t>[verified, support combined]</t>
        </is>
      </c>
      <c r="F285" s="21" t="n"/>
      <c r="G285" s="21" t="n"/>
      <c r="H285" s="21" t="n"/>
      <c r="I285" s="21" t="n"/>
      <c r="J285" s="21" t="n"/>
      <c r="K285" s="17">
        <f>IF(OR(A285="",B285=""),"",IF(AND(F285&lt;&gt;"",H285&lt;&gt;"",J285&lt;&gt;""),"Complete","Pending"))</f>
        <v/>
      </c>
    </row>
    <row r="286">
      <c r="A286" s="19" t="inlineStr">
        <is>
          <t>M036-Q01</t>
        </is>
      </c>
      <c r="B286" s="19" t="inlineStr">
        <is>
          <t>CL-M036-Q01-008</t>
        </is>
      </c>
      <c r="C286" s="17" t="inlineStr">
        <is>
          <t>[application] Since all five shareholders are citizens of Sri Lanka and no share is held directly or indirectly by any person or body outside Sri Lanka, the transfer is not prohibited, but the company secretary must be ready to give the Registrar of Lands documentary proof that foreign shareholding is below fifty per cent.</t>
        </is>
      </c>
      <c r="D286" s="17" t="inlineStr">
        <is>
          <t>PROV-M036-007: Land (Restrictions on Alienation) Act s.2 (1)
PROV-M036-008: Land (Restrictions on Alienation) Act s.4 (3)
Facts: FACT-M036-Q01-001</t>
        </is>
      </c>
      <c r="E286" s="17" t="inlineStr">
        <is>
          <t>[verified, support combined]</t>
        </is>
      </c>
      <c r="F286" s="21" t="n"/>
      <c r="G286" s="21" t="n"/>
      <c r="H286" s="21" t="n"/>
      <c r="I286" s="21" t="n"/>
      <c r="J286" s="21" t="n"/>
      <c r="K286" s="17">
        <f>IF(OR(A286="",B286=""),"",IF(AND(F286&lt;&gt;"",H286&lt;&gt;"",J286&lt;&gt;""),"Complete","Pending"))</f>
        <v/>
      </c>
    </row>
    <row r="287">
      <c r="A287" s="19" t="inlineStr">
        <is>
          <t>M036-Q01</t>
        </is>
      </c>
      <c r="B287" s="19" t="inlineStr">
        <is>
          <t>CL-M036-Q01-009</t>
        </is>
      </c>
      <c r="C287" s="17" t="inlineStr">
        <is>
          <t>[rule] A company may not enter into a major transaction, which includes the acquisition of assets worth more than half the value of the company's assets before the acquisition, unless it is approved by special resolution, made contingent on one, consented to in writing by all shareholders, or expressly authorised by a provision in the articles included at incorporation.</t>
        </is>
      </c>
      <c r="D287" s="17" t="inlineStr">
        <is>
          <t>PROV-M036-010: Companies Act s.185 (1)
PROV-M036-011: Companies Act s.185 (2)</t>
        </is>
      </c>
      <c r="E287" s="17" t="inlineStr">
        <is>
          <t>[verified, support combined]</t>
        </is>
      </c>
      <c r="F287" s="21" t="n"/>
      <c r="G287" s="21" t="n"/>
      <c r="H287" s="21" t="n"/>
      <c r="I287" s="21" t="n"/>
      <c r="J287" s="21" t="n"/>
      <c r="K287" s="17">
        <f>IF(OR(A287="",B287=""),"",IF(AND(F287&lt;&gt;"",H287&lt;&gt;"",J287&lt;&gt;""),"Complete","Pending"))</f>
        <v/>
      </c>
    </row>
    <row r="288">
      <c r="A288" s="19" t="inlineStr">
        <is>
          <t>M036-Q01</t>
        </is>
      </c>
      <c r="B288" s="19" t="inlineStr">
        <is>
          <t>CL-M036-Q01-010</t>
        </is>
      </c>
      <c r="C288" s="17" t="inlineStr">
        <is>
          <t>[application] An acquisition of Rs. 41,000,000 against an asset base of Rs. 60,000,000 is greater than half the value of the company's assets before the acquisition, so it is a major transaction and, the original articles containing no express authority, a special resolution or the written consent of all five shareholders must be obtained before the company commits itself.</t>
        </is>
      </c>
      <c r="D288" s="17" t="inlineStr">
        <is>
          <t>PROV-M036-010: Companies Act s.185 (1)
PROV-M036-011: Companies Act s.185 (2)
Facts: FACT-M036-Q01-003</t>
        </is>
      </c>
      <c r="E288" s="17" t="inlineStr">
        <is>
          <t>[verified, support combined]</t>
        </is>
      </c>
      <c r="F288" s="21" t="n"/>
      <c r="G288" s="21" t="n"/>
      <c r="H288" s="21" t="n"/>
      <c r="I288" s="21" t="n"/>
      <c r="J288" s="21" t="n"/>
      <c r="K288" s="17">
        <f>IF(OR(A288="",B288=""),"",IF(AND(F288&lt;&gt;"",H288&lt;&gt;"",J288&lt;&gt;""),"Complete","Pending"))</f>
        <v/>
      </c>
    </row>
    <row r="289">
      <c r="A289" s="19" t="inlineStr">
        <is>
          <t>M036-Q01</t>
        </is>
      </c>
      <c r="B289" s="19" t="inlineStr">
        <is>
          <t>CL-M036-Q01-011</t>
        </is>
      </c>
      <c r="C289" s="17" t="inlineStr">
        <is>
          <t>[rule] No sale, purchase or transfer of immovable property, and no agreement for such a purpose, avails in law unless the deed is in writing, signed by every executant and attested by a notary before two witnesses present at the same time, with the prescribed thumb impressions; and an obligation of that kind is entered into on behalf of a company in writing signed under the company's name by two directors.</t>
        </is>
      </c>
      <c r="D289" s="17" t="inlineStr">
        <is>
          <t>PROV-M036-013: Prevention of Frauds Ordinance s.2 (1) opening words
PROV-M036-014: Prevention of Frauds (Amendment) Act s.2
PROV-M036-012: Companies Act s.19 (1)(a)</t>
        </is>
      </c>
      <c r="E289" s="17" t="inlineStr">
        <is>
          <t>[disputed, support combined]</t>
        </is>
      </c>
      <c r="F289" s="21" t="n"/>
      <c r="G289" s="21" t="n"/>
      <c r="H289" s="21" t="n"/>
      <c r="I289" s="21" t="n"/>
      <c r="J289" s="21" t="n"/>
      <c r="K289" s="17">
        <f>IF(OR(A289="",B289=""),"",IF(AND(F289&lt;&gt;"",H289&lt;&gt;"",J289&lt;&gt;""),"Complete","Pending"))</f>
        <v/>
      </c>
    </row>
    <row r="290">
      <c r="A290" s="19" t="inlineStr">
        <is>
          <t>M036-Q01</t>
        </is>
      </c>
      <c r="B290" s="19" t="inlineStr">
        <is>
          <t>CL-M036-Q01-012</t>
        </is>
      </c>
      <c r="C290" s="17" t="inlineStr">
        <is>
          <t>[rule] Before the deed is drawn the notary must search the land registry to ascertain the state of the title and whether any prior deed has been registered, and must obtain the certified extract of the folio showing ownership and registered encumbrances; an intending purchaser's attorney-at-law may himself search the registry books and take certified extracts.</t>
        </is>
      </c>
      <c r="D290" s="17" t="inlineStr">
        <is>
          <t>PROV-M036-015: Notaries Ordinance s.31 rule (17)(a)
PROV-M036-016: Notaries Ordinance s.31 rule (17)(b)(i)
PROV-M036-023: Registration of Documents Ordinance s.42</t>
        </is>
      </c>
      <c r="E290" s="17" t="inlineStr">
        <is>
          <t>[verified, support combined]</t>
        </is>
      </c>
      <c r="F290" s="21" t="n"/>
      <c r="G290" s="21" t="n"/>
      <c r="H290" s="21" t="n"/>
      <c r="I290" s="21" t="n"/>
      <c r="J290" s="21" t="n"/>
      <c r="K290" s="17">
        <f>IF(OR(A290="",B290=""),"",IF(AND(F290&lt;&gt;"",H290&lt;&gt;"",J290&lt;&gt;""),"Complete","Pending"))</f>
        <v/>
      </c>
    </row>
    <row r="291">
      <c r="A291" s="19" t="inlineStr">
        <is>
          <t>M036-Q01</t>
        </is>
      </c>
      <c r="B291" s="19" t="inlineStr">
        <is>
          <t>CL-M036-Q01-013</t>
        </is>
      </c>
      <c r="C291" s="17" t="inlineStr">
        <is>
          <t>[application] You must therefore search folio E 214/86 of the Galle Land Registry, take the certified extract, and call for the original of Deed No. 1420 of 1998 and the earlier deeds in the chain rather than accept the photocopy the vendor has produced.</t>
        </is>
      </c>
      <c r="D291" s="17" t="inlineStr">
        <is>
          <t>PROV-M036-015: Notaries Ordinance s.31 rule (17)(a)
PROV-M036-016: Notaries Ordinance s.31 rule (17)(b)(i)
PROV-M036-013: Prevention of Frauds Ordinance s.2 (1) opening words
Facts: FACT-M036-Q01-005</t>
        </is>
      </c>
      <c r="E291" s="17" t="inlineStr">
        <is>
          <t>[verified, support combined]</t>
        </is>
      </c>
      <c r="F291" s="21" t="n"/>
      <c r="G291" s="21" t="n"/>
      <c r="H291" s="21" t="n"/>
      <c r="I291" s="21" t="n"/>
      <c r="J291" s="21" t="n"/>
      <c r="K291" s="17">
        <f>IF(OR(A291="",B291=""),"",IF(AND(F291&lt;&gt;"",H291&lt;&gt;"",J291&lt;&gt;""),"Complete","Pending"))</f>
        <v/>
      </c>
    </row>
    <row r="292">
      <c r="A292" s="19" t="inlineStr">
        <is>
          <t>M036-Q01</t>
        </is>
      </c>
      <c r="B292" s="19" t="inlineStr">
        <is>
          <t>CL-M036-Q01-014</t>
        </is>
      </c>
      <c r="C292" s="17" t="inlineStr">
        <is>
          <t>[application] Because the 2019 mortgage bond is registered in the folio, the priority rule protecting a subsequent registered instrument taken for valuable consideration cannot be used to defeat it, so a registered discharge must be obtained, or the redemption amount paid out of the purchase money at completion against delivery of the discharge.</t>
        </is>
      </c>
      <c r="D292" s="17" t="inlineStr">
        <is>
          <t>PROV-M036-022: Registration of Documents Ordinance s.7 (1)
Facts: FACT-M036-Q01-005</t>
        </is>
      </c>
      <c r="E292" s="17" t="inlineStr">
        <is>
          <t>[verified, support inferential]</t>
        </is>
      </c>
      <c r="F292" s="21" t="n"/>
      <c r="G292" s="21" t="n"/>
      <c r="H292" s="21" t="n"/>
      <c r="I292" s="21" t="n"/>
      <c r="J292" s="21" t="n"/>
      <c r="K292" s="17">
        <f>IF(OR(A292="",B292=""),"",IF(AND(F292&lt;&gt;"",H292&lt;&gt;"",J292&lt;&gt;""),"Complete","Pending"))</f>
        <v/>
      </c>
    </row>
    <row r="293">
      <c r="A293" s="19" t="inlineStr">
        <is>
          <t>M036-Q01</t>
        </is>
      </c>
      <c r="B293" s="19" t="inlineStr">
        <is>
          <t>CL-M036-Q01-015</t>
        </is>
      </c>
      <c r="C293" s="17" t="inlineStr">
        <is>
          <t>[rule] The notary must be furnished with a certified copy of the company's certificate of incorporation and the details of its board, and with the seal and board resolution if the company is itself to execute; the deed must carry an accurate description showing boundaries, extent and situation; funds must be provided so that the notary has an assurance that stamp duty is met.</t>
        </is>
      </c>
      <c r="D293" s="17" t="inlineStr">
        <is>
          <t>PROV-M036-017: Notaries Ordinance s.31 rule (17)(d)
PROV-M036-018: Notaries Ordinance s.31 rule (14)
PROV-M036-019: Notaries Ordinance s.31 rule (16)(a)
PROV-M036-020: Notaries Ordinance s.31 rule (6)</t>
        </is>
      </c>
      <c r="E293" s="17" t="inlineStr">
        <is>
          <t>[verified, support combined]</t>
        </is>
      </c>
      <c r="F293" s="21" t="n"/>
      <c r="G293" s="21" t="n"/>
      <c r="H293" s="21" t="n"/>
      <c r="I293" s="21" t="n"/>
      <c r="J293" s="21" t="n"/>
      <c r="K293" s="17">
        <f>IF(OR(A293="",B293=""),"",IF(AND(F293&lt;&gt;"",H293&lt;&gt;"",J293&lt;&gt;""),"Complete","Pending"))</f>
        <v/>
      </c>
    </row>
    <row r="294">
      <c r="A294" s="19" t="inlineStr">
        <is>
          <t>M036-Q01</t>
        </is>
      </c>
      <c r="B294" s="19" t="inlineStr">
        <is>
          <t>CL-M036-Q01-016</t>
        </is>
      </c>
      <c r="C294" s="17" t="inlineStr">
        <is>
          <t>[rule] The executed transfer must be submitted for registration within thirty days of attestation, and prompt registration is what protects the company against a competing instrument registered earlier.</t>
        </is>
      </c>
      <c r="D294" s="17" t="inlineStr">
        <is>
          <t>PROV-M036-021: Notaries Ordinance s.31 rule (30A)
PROV-M036-022: Registration of Documents Ordinance s.7 (1)</t>
        </is>
      </c>
      <c r="E294" s="17" t="inlineStr">
        <is>
          <t>[verified, support combined]</t>
        </is>
      </c>
      <c r="F294" s="21" t="n"/>
      <c r="G294" s="21" t="n"/>
      <c r="H294" s="21" t="n"/>
      <c r="I294" s="21" t="n"/>
      <c r="J294" s="21" t="n"/>
      <c r="K294" s="17">
        <f>IF(OR(A294="",B294=""),"",IF(AND(F294&lt;&gt;"",H294&lt;&gt;"",J294&lt;&gt;""),"Complete","Pending"))</f>
        <v/>
      </c>
    </row>
    <row r="295">
      <c r="A295" s="19" t="inlineStr">
        <is>
          <t>M036-Q01</t>
        </is>
      </c>
      <c r="B295" s="19" t="inlineStr">
        <is>
          <t>CL-M036-Q01-017</t>
        </is>
      </c>
      <c r="C295" s="17" t="inlineStr">
        <is>
          <t>[conclusion] The purchase may proceed once the registration position of the estate, the shareholders' agricultural holdings and the absence of foreign shareholding have been verified, a special resolution or unanimous written consent obtained, the title investigated and the registered mortgage cleared, the deed notarially executed by the vendor and lodged for registration within thirty days.</t>
        </is>
      </c>
      <c r="D295" s="17" t="inlineStr">
        <is>
          <t>PROV-M036-001: Tea and Rubber Estates (Control of Fragmentation) Act s.25 definition of 'rubber estate'
PROV-M036-003: Land Reform Law s.3 (1)(b)
PROV-M036-004: Land Reform Law s.8
PROV-M036-007: Land (Restrictions on Alienation) Act s.2 (1)
PROV-M036-010: Companies Act s.185 (1)
PROV-M036-014: Prevention of Frauds (Amendment) Act s.2
PROV-M036-015: Notaries Ordinance s.31 rule (17)(a)
PROV-M036-021: Notaries Ordinance s.31 rule (30A)
PROV-M036-022: Registration of Documents Ordinance s.7 (1)
Facts: FACT-M036-Q01-001, FACT-M036-Q01-002, FACT-M036-Q01-003, FACT-M036-Q01-004, FACT-M036-Q01-005, FACT-M036-Q01-006</t>
        </is>
      </c>
      <c r="E295" s="17" t="inlineStr">
        <is>
          <t>[verified, support combined]</t>
        </is>
      </c>
      <c r="F295" s="21" t="n"/>
      <c r="G295" s="21" t="n"/>
      <c r="H295" s="21" t="n"/>
      <c r="I295" s="21" t="n"/>
      <c r="J295" s="21" t="n"/>
      <c r="K295" s="17">
        <f>IF(OR(A295="",B295=""),"",IF(AND(F295&lt;&gt;"",H295&lt;&gt;"",J295&lt;&gt;""),"Complete","Pending"))</f>
        <v/>
      </c>
    </row>
    <row r="296">
      <c r="A296" s="19" t="inlineStr">
        <is>
          <t>M036-Q02</t>
        </is>
      </c>
      <c r="B296" s="19" t="inlineStr">
        <is>
          <t>CL-M036-Q02-001</t>
        </is>
      </c>
      <c r="C296" s="17" t="inlineStr">
        <is>
          <t>[rule] No sale, purchase or transfer of immovable property avails in law unless the deed is in writing, signed by every executant and attested by a notary before two witnesses present at the same time, so only notarially executed instruments can pass title in the chain.</t>
        </is>
      </c>
      <c r="D296" s="17" t="inlineStr">
        <is>
          <t>PROV-M036-013: Prevention of Frauds Ordinance s.2 (1) opening words
PROV-M036-014: Prevention of Frauds (Amendment) Act s.2</t>
        </is>
      </c>
      <c r="E296" s="17" t="inlineStr">
        <is>
          <t>[verified, support combined]</t>
        </is>
      </c>
      <c r="F296" s="21" t="n"/>
      <c r="G296" s="21" t="n"/>
      <c r="H296" s="21" t="n"/>
      <c r="I296" s="21" t="n"/>
      <c r="J296" s="21" t="n"/>
      <c r="K296" s="17">
        <f>IF(OR(A296="",B296=""),"",IF(AND(F296&lt;&gt;"",H296&lt;&gt;"",J296&lt;&gt;""),"Complete","Pending"))</f>
        <v/>
      </c>
    </row>
    <row r="297">
      <c r="A297" s="19" t="inlineStr">
        <is>
          <t>M036-Q02</t>
        </is>
      </c>
      <c r="B297" s="19" t="inlineStr">
        <is>
          <t>CL-M036-Q02-002</t>
        </is>
      </c>
      <c r="C297" s="17" t="inlineStr">
        <is>
          <t>[rule] Before a deed affecting an interest in land is drawn, the registers in the land registry must be searched to ascertain the state of the title and whether any prior deed has been registered, and the certified extract of the folio showing ownership and registered encumbrances must be obtained from the Registrar.</t>
        </is>
      </c>
      <c r="D297" s="17" t="inlineStr">
        <is>
          <t>PROV-M036-015: Notaries Ordinance s.31 rule (17)(a)
PROV-M036-016: Notaries Ordinance s.31 rule (17)(b)(i)</t>
        </is>
      </c>
      <c r="E297" s="17" t="inlineStr">
        <is>
          <t>[verified, support combined]</t>
        </is>
      </c>
      <c r="F297" s="21" t="n"/>
      <c r="G297" s="21" t="n"/>
      <c r="H297" s="21" t="n"/>
      <c r="I297" s="21" t="n"/>
      <c r="J297" s="21" t="n"/>
      <c r="K297" s="17">
        <f>IF(OR(A297="",B297=""),"",IF(AND(F297&lt;&gt;"",H297&lt;&gt;"",J297&lt;&gt;""),"Complete","Pending"))</f>
        <v/>
      </c>
    </row>
    <row r="298">
      <c r="A298" s="19" t="inlineStr">
        <is>
          <t>M036-Q02</t>
        </is>
      </c>
      <c r="B298" s="19" t="inlineStr">
        <is>
          <t>CL-M036-Q02-003</t>
        </is>
      </c>
      <c r="C298" s="17" t="inlineStr">
        <is>
          <t>[rule] An intending purchaser's attorney-at-law may search the registry duplicates, books and indexes and obtain certified copies or extracts.</t>
        </is>
      </c>
      <c r="D298" s="17" t="inlineStr">
        <is>
          <t>PROV-M036-023: Registration of Documents Ordinance s.42</t>
        </is>
      </c>
      <c r="E298" s="17" t="inlineStr">
        <is>
          <t>[verified, support direct]</t>
        </is>
      </c>
      <c r="F298" s="21" t="n"/>
      <c r="G298" s="21" t="n"/>
      <c r="H298" s="21" t="n"/>
      <c r="I298" s="21" t="n"/>
      <c r="J298" s="21" t="n"/>
      <c r="K298" s="17">
        <f>IF(OR(A298="",B298=""),"",IF(AND(F298&lt;&gt;"",H298&lt;&gt;"",J298&lt;&gt;""),"Complete","Pending"))</f>
        <v/>
      </c>
    </row>
    <row r="299">
      <c r="A299" s="19" t="inlineStr">
        <is>
          <t>M036-Q02</t>
        </is>
      </c>
      <c r="B299" s="19" t="inlineStr">
        <is>
          <t>CL-M036-Q02-004</t>
        </is>
      </c>
      <c r="C299" s="17" t="inlineStr">
        <is>
          <t>[rule] An unregistered instrument is void against a party claiming an adverse interest for valuable consideration under a subsequent duly registered instrument, which is why the folio has to be examined before the purchase.</t>
        </is>
      </c>
      <c r="D299" s="17" t="inlineStr">
        <is>
          <t>PROV-M036-022: Registration of Documents Ordinance s.7 (1)</t>
        </is>
      </c>
      <c r="E299" s="17" t="inlineStr">
        <is>
          <t>[verified, support direct]</t>
        </is>
      </c>
      <c r="F299" s="21" t="n"/>
      <c r="G299" s="21" t="n"/>
      <c r="H299" s="21" t="n"/>
      <c r="I299" s="21" t="n"/>
      <c r="J299" s="21" t="n"/>
      <c r="K299" s="17">
        <f>IF(OR(A299="",B299=""),"",IF(AND(F299&lt;&gt;"",H299&lt;&gt;"",J299&lt;&gt;""),"Complete","Pending"))</f>
        <v/>
      </c>
    </row>
    <row r="300">
      <c r="A300" s="19" t="inlineStr">
        <is>
          <t>M036-Q02</t>
        </is>
      </c>
      <c r="B300" s="19" t="inlineStr">
        <is>
          <t>CL-M036-Q02-005</t>
        </is>
      </c>
      <c r="C300" s="17" t="inlineStr">
        <is>
          <t>[rule] A registered lis pendens binds a purchaser, and a registered caveat requires notice to be given to the caveator of any instrument presented for registration, so the folio must be read for both.</t>
        </is>
      </c>
      <c r="D300" s="17" t="inlineStr">
        <is>
          <t>PROV-M036-024: Registration of Documents Ordinance s.11 (1)
PROV-M036-025: Registration of Documents Ordinance s.32 (1)</t>
        </is>
      </c>
      <c r="E300" s="17" t="inlineStr">
        <is>
          <t>[verified, support combined]</t>
        </is>
      </c>
      <c r="F300" s="21" t="n"/>
      <c r="G300" s="21" t="n"/>
      <c r="H300" s="21" t="n"/>
      <c r="I300" s="21" t="n"/>
      <c r="J300" s="21" t="n"/>
      <c r="K300" s="17">
        <f>IF(OR(A300="",B300=""),"",IF(AND(F300&lt;&gt;"",H300&lt;&gt;"",J300&lt;&gt;""),"Complete","Pending"))</f>
        <v/>
      </c>
    </row>
    <row r="301">
      <c r="A301" s="19" t="inlineStr">
        <is>
          <t>M036-Q02</t>
        </is>
      </c>
      <c r="B301" s="19" t="inlineStr">
        <is>
          <t>CL-M036-Q02-006</t>
        </is>
      </c>
      <c r="C301" s="17" t="inlineStr">
        <is>
          <t>[rule] Undisturbed and uninterrupted possession by a title adverse to or independent of the owner's, unaccompanied by rent or service, for ten years founds a prescriptive claim, so an examination of title cannot stop at the deeds.</t>
        </is>
      </c>
      <c r="D301" s="17" t="inlineStr">
        <is>
          <t>PROV-M036-026: Prescription Ordinance s.3</t>
        </is>
      </c>
      <c r="E301" s="17" t="inlineStr">
        <is>
          <t>[verified, support direct]</t>
        </is>
      </c>
      <c r="F301" s="21" t="n"/>
      <c r="G301" s="21" t="n"/>
      <c r="H301" s="21" t="n"/>
      <c r="I301" s="21" t="n"/>
      <c r="J301" s="21" t="n"/>
      <c r="K301" s="17">
        <f>IF(OR(A301="",B301=""),"",IF(AND(F301&lt;&gt;"",H301&lt;&gt;"",J301&lt;&gt;""),"Complete","Pending"))</f>
        <v/>
      </c>
    </row>
    <row r="302">
      <c r="A302" s="19" t="inlineStr">
        <is>
          <t>M036-Q02</t>
        </is>
      </c>
      <c r="B302" s="19" t="inlineStr">
        <is>
          <t>CL-M036-Q02-007</t>
        </is>
      </c>
      <c r="C302" s="17" t="inlineStr">
        <is>
          <t>[rule] A deed cannot be drawn unless it embodies an accurate and clear description of the land showing boundaries, extent and situation, and where a party is a corporate body the notary must retain a certified copy of its certificate of incorporation and the details of its board.</t>
        </is>
      </c>
      <c r="D302" s="17" t="inlineStr">
        <is>
          <t>PROV-M036-019: Notaries Ordinance s.31 rule (16)(a)
PROV-M036-017: Notaries Ordinance s.31 rule (17)(d)</t>
        </is>
      </c>
      <c r="E302" s="17" t="inlineStr">
        <is>
          <t>[verified, support combined]</t>
        </is>
      </c>
      <c r="F302" s="21" t="n"/>
      <c r="G302" s="21" t="n"/>
      <c r="H302" s="21" t="n"/>
      <c r="I302" s="21" t="n"/>
      <c r="J302" s="21" t="n"/>
      <c r="K302" s="17">
        <f>IF(OR(A302="",B302=""),"",IF(AND(F302&lt;&gt;"",H302&lt;&gt;"",J302&lt;&gt;""),"Complete","Pending"))</f>
        <v/>
      </c>
    </row>
    <row r="303">
      <c r="A303" s="19" t="inlineStr">
        <is>
          <t>M036-Q02</t>
        </is>
      </c>
      <c r="B303" s="19" t="inlineStr">
        <is>
          <t>CL-M036-Q02-008</t>
        </is>
      </c>
      <c r="C303" s="17" t="inlineStr">
        <is>
          <t>[application] Because the parcel is not within any declared title registration area, no Certificate of Title is available and title must be proved by the chain of deeds and the deeds register.</t>
        </is>
      </c>
      <c r="D303" s="17" t="inlineStr">
        <is>
          <t>PROV-M036-027: Registration of Title Act s.37
PROV-M036-022: Registration of Documents Ordinance s.7 (1)
Facts: FACT-M036-Q02-002</t>
        </is>
      </c>
      <c r="E303" s="17" t="inlineStr">
        <is>
          <t>[verified, support combined]</t>
        </is>
      </c>
      <c r="F303" s="21" t="n"/>
      <c r="G303" s="21" t="n"/>
      <c r="H303" s="21" t="n"/>
      <c r="I303" s="21" t="n"/>
      <c r="J303" s="21" t="n"/>
      <c r="K303" s="17">
        <f>IF(OR(A303="",B303=""),"",IF(AND(F303&lt;&gt;"",H303&lt;&gt;"",J303&lt;&gt;""),"Complete","Pending"))</f>
        <v/>
      </c>
    </row>
    <row r="304">
      <c r="A304" s="19" t="inlineStr">
        <is>
          <t>M036-Q02</t>
        </is>
      </c>
      <c r="B304" s="19" t="inlineStr">
        <is>
          <t>CL-M036-Q02-009</t>
        </is>
      </c>
      <c r="C304" s="17" t="inlineStr">
        <is>
          <t>[application] You must call for the original of Deed of Transfer No. 3120 of 2004 and the originals or certified copies of the 1985 and 1972 deeds and every other link in the chain, because the photocopy produced proves nothing and each link must be shown to have been notarially executed.</t>
        </is>
      </c>
      <c r="D304" s="17" t="inlineStr">
        <is>
          <t>PROV-M036-013: Prevention of Frauds Ordinance s.2 (1) opening words
PROV-M036-014: Prevention of Frauds (Amendment) Act s.2
PROV-M036-015: Notaries Ordinance s.31 rule (17)(a)
Facts: FACT-M036-Q02-003</t>
        </is>
      </c>
      <c r="E304" s="17" t="inlineStr">
        <is>
          <t>[verified, support combined]</t>
        </is>
      </c>
      <c r="F304" s="21" t="n"/>
      <c r="G304" s="21" t="n"/>
      <c r="H304" s="21" t="n"/>
      <c r="I304" s="21" t="n"/>
      <c r="J304" s="21" t="n"/>
      <c r="K304" s="17">
        <f>IF(OR(A304="",B304=""),"",IF(AND(F304&lt;&gt;"",H304&lt;&gt;"",J304&lt;&gt;""),"Complete","Pending"))</f>
        <v/>
      </c>
    </row>
    <row r="305">
      <c r="A305" s="19" t="inlineStr">
        <is>
          <t>M036-Q02</t>
        </is>
      </c>
      <c r="B305" s="19" t="inlineStr">
        <is>
          <t>CL-M036-Q02-010</t>
        </is>
      </c>
      <c r="C305" s="17" t="inlineStr">
        <is>
          <t>[application] You must call for the certified extract of the relevant Galle Land Registry folio, since it is the only way to establish the registered ownership and the registered encumbrances and to find any earlier registered instrument that would prevail over the company's deed.</t>
        </is>
      </c>
      <c r="D305" s="17" t="inlineStr">
        <is>
          <t>PROV-M036-016: Notaries Ordinance s.31 rule (17)(b)(i)
PROV-M036-022: Registration of Documents Ordinance s.7 (1)
PROV-M036-023: Registration of Documents Ordinance s.42
Facts: FACT-M036-Q02-003, FACT-M036-Q02-004</t>
        </is>
      </c>
      <c r="E305" s="17" t="inlineStr">
        <is>
          <t>[verified, support combined]</t>
        </is>
      </c>
      <c r="F305" s="21" t="n"/>
      <c r="G305" s="21" t="n"/>
      <c r="H305" s="21" t="n"/>
      <c r="I305" s="21" t="n"/>
      <c r="J305" s="21" t="n"/>
      <c r="K305" s="17">
        <f>IF(OR(A305="",B305=""),"",IF(AND(F305&lt;&gt;"",H305&lt;&gt;"",J305&lt;&gt;""),"Complete","Pending"))</f>
        <v/>
      </c>
    </row>
    <row r="306">
      <c r="A306" s="19" t="inlineStr">
        <is>
          <t>M036-Q02</t>
        </is>
      </c>
      <c r="B306" s="19" t="inlineStr">
        <is>
          <t>CL-M036-Q02-011</t>
        </is>
      </c>
      <c r="C306" s="17" t="inlineStr">
        <is>
          <t>[application] You must call for the instrument securing the 2016 loan and a registrable discharge of it, and for the document lodged by the relative in 2022 together with the record of any action it evidences, because a registered security binds a later purchaser and a registered pending action or caveat affects any dealing.</t>
        </is>
      </c>
      <c r="D306" s="17" t="inlineStr">
        <is>
          <t>PROV-M036-022: Registration of Documents Ordinance s.7 (1)
PROV-M036-024: Registration of Documents Ordinance s.11 (1)
PROV-M036-025: Registration of Documents Ordinance s.32 (1)
Facts: FACT-M036-Q02-004</t>
        </is>
      </c>
      <c r="E306" s="17" t="inlineStr">
        <is>
          <t>[verified, support combined]</t>
        </is>
      </c>
      <c r="F306" s="21" t="n"/>
      <c r="G306" s="21" t="n"/>
      <c r="H306" s="21" t="n"/>
      <c r="I306" s="21" t="n"/>
      <c r="J306" s="21" t="n"/>
      <c r="K306" s="17">
        <f>IF(OR(A306="",B306=""),"",IF(AND(F306&lt;&gt;"",H306&lt;&gt;"",J306&lt;&gt;""),"Complete","Pending"))</f>
        <v/>
      </c>
    </row>
    <row r="307">
      <c r="A307" s="19" t="inlineStr">
        <is>
          <t>M036-Q02</t>
        </is>
      </c>
      <c r="B307" s="19" t="inlineStr">
        <is>
          <t>CL-M036-Q02-012</t>
        </is>
      </c>
      <c r="C307" s="17" t="inlineStr">
        <is>
          <t>[application] You must call for Plan No. 2456 of 1996 and a current figure of survey, because the deed must carry an accurate description showing boundaries, extent and situation and because the occupied strip has to be located on the ground.</t>
        </is>
      </c>
      <c r="D307" s="17" t="inlineStr">
        <is>
          <t>PROV-M036-019: Notaries Ordinance s.31 rule (16)(a)
Facts: FACT-M036-Q02-001, FACT-M036-Q02-005</t>
        </is>
      </c>
      <c r="E307" s="17" t="inlineStr">
        <is>
          <t>[verified, support combined]</t>
        </is>
      </c>
      <c r="F307" s="21" t="n"/>
      <c r="G307" s="21" t="n"/>
      <c r="H307" s="21" t="n"/>
      <c r="I307" s="21" t="n"/>
      <c r="J307" s="21" t="n"/>
      <c r="K307" s="17">
        <f>IF(OR(A307="",B307=""),"",IF(AND(F307&lt;&gt;"",H307&lt;&gt;"",J307&lt;&gt;""),"Complete","Pending"))</f>
        <v/>
      </c>
    </row>
    <row r="308">
      <c r="A308" s="19" t="inlineStr">
        <is>
          <t>M036-Q02</t>
        </is>
      </c>
      <c r="B308" s="19" t="inlineStr">
        <is>
          <t>CL-M036-Q02-013</t>
        </is>
      </c>
      <c r="C308" s="17" t="inlineStr">
        <is>
          <t>[application] You must call for whatever documents rebut a prescriptive claim to the strip occupied since about 2010, such as a written permission, a tenancy or licence, receipts for rent or an acknowledgment of the vendor's title, together with evidence of the vendor's own possession.</t>
        </is>
      </c>
      <c r="D308" s="17" t="inlineStr">
        <is>
          <t>PROV-M036-026: Prescription Ordinance s.3
Facts: FACT-M036-Q02-005</t>
        </is>
      </c>
      <c r="E308" s="17" t="inlineStr">
        <is>
          <t>[verified, support combined]</t>
        </is>
      </c>
      <c r="F308" s="21" t="n"/>
      <c r="G308" s="21" t="n"/>
      <c r="H308" s="21" t="n"/>
      <c r="I308" s="21" t="n"/>
      <c r="J308" s="21" t="n"/>
      <c r="K308" s="17">
        <f>IF(OR(A308="",B308=""),"",IF(AND(F308&lt;&gt;"",H308&lt;&gt;"",J308&lt;&gt;""),"Complete","Pending"))</f>
        <v/>
      </c>
    </row>
    <row r="309">
      <c r="A309" s="19" t="inlineStr">
        <is>
          <t>M036-Q02</t>
        </is>
      </c>
      <c r="B309" s="19" t="inlineStr">
        <is>
          <t>CL-M036-Q02-014</t>
        </is>
      </c>
      <c r="C309" s="17" t="inlineStr">
        <is>
          <t>[application] You must call for the purchasing company's certified certificate of incorporation, the details of its board and the resolution authorising the purchase, because the notary must retain those documents where a party to the deed is a corporate body and because a corporate executant signs through its board or an authorised person.</t>
        </is>
      </c>
      <c r="D309" s="17" t="inlineStr">
        <is>
          <t>PROV-M036-017: Notaries Ordinance s.31 rule (17)(d)
PROV-M036-018: Notaries Ordinance s.31 rule (14)
Facts: FACT-M036-Q02-006</t>
        </is>
      </c>
      <c r="E309" s="17" t="inlineStr">
        <is>
          <t>[verified, support combined]</t>
        </is>
      </c>
      <c r="F309" s="21" t="n"/>
      <c r="G309" s="21" t="n"/>
      <c r="H309" s="21" t="n"/>
      <c r="I309" s="21" t="n"/>
      <c r="J309" s="21" t="n"/>
      <c r="K309" s="17">
        <f>IF(OR(A309="",B309=""),"",IF(AND(F309&lt;&gt;"",H309&lt;&gt;"",J309&lt;&gt;""),"Complete","Pending"))</f>
        <v/>
      </c>
    </row>
    <row r="310">
      <c r="A310" s="19" t="inlineStr">
        <is>
          <t>M036-Q02</t>
        </is>
      </c>
      <c r="B310" s="19" t="inlineStr">
        <is>
          <t>CL-M036-Q02-015</t>
        </is>
      </c>
      <c r="C310" s="17" t="inlineStr">
        <is>
          <t>[conclusion] The documents to be called for are therefore the whole chain of notarially executed deeds, the certified folio extract and a registry search, the security instrument and its discharge, the document lodged in 2022 and any related record, the survey plan and a current figure of survey, evidence of possession and of any permission given to the occupier, and the company's corporate documents.</t>
        </is>
      </c>
      <c r="D310" s="17" t="inlineStr">
        <is>
          <t>PROV-M036-013: Prevention of Frauds Ordinance s.2 (1) opening words
PROV-M036-015: Notaries Ordinance s.31 rule (17)(a)
PROV-M036-016: Notaries Ordinance s.31 rule (17)(b)(i)
PROV-M036-019: Notaries Ordinance s.31 rule (16)(a)
PROV-M036-022: Registration of Documents Ordinance s.7 (1)
PROV-M036-024: Registration of Documents Ordinance s.11 (1)
PROV-M036-025: Registration of Documents Ordinance s.32 (1)
PROV-M036-026: Prescription Ordinance s.3
PROV-M036-017: Notaries Ordinance s.31 rule (17)(d)
Facts: FACT-M036-Q02-001, FACT-M036-Q02-002, FACT-M036-Q02-003, FACT-M036-Q02-004, FACT-M036-Q02-005, FACT-M036-Q02-006</t>
        </is>
      </c>
      <c r="E310" s="17" t="inlineStr">
        <is>
          <t>[verified, support combined]</t>
        </is>
      </c>
      <c r="F310" s="21" t="n"/>
      <c r="G310" s="21" t="n"/>
      <c r="H310" s="21" t="n"/>
      <c r="I310" s="21" t="n"/>
      <c r="J310" s="21" t="n"/>
      <c r="K310" s="17">
        <f>IF(OR(A310="",B310=""),"",IF(AND(F310&lt;&gt;"",H310&lt;&gt;"",J310&lt;&gt;""),"Complete","Pending"))</f>
        <v/>
      </c>
    </row>
    <row r="311">
      <c r="A311" s="19" t="inlineStr">
        <is>
          <t>M039-Q01</t>
        </is>
      </c>
      <c r="B311" s="19" t="inlineStr">
        <is>
          <t>CL-M039-Q01-001</t>
        </is>
      </c>
      <c r="C311" s="17" t="inlineStr">
        <is>
          <t>[rule] A recital that a deed of gift is absolute and irrevocable does not prevent its revocation; an irrevocable deed of gift may be revoked on the ground of gross ingratitude.</t>
        </is>
      </c>
      <c r="D311" s="17" t="inlineStr">
        <is>
          <t>PROV-M039-001: Revocation of Irrevocable Deeds of Gift on the Ground of Gross Ingratitude Act s.2
Facts: BG-1</t>
        </is>
      </c>
      <c r="E311" s="17" t="inlineStr">
        <is>
          <t>[verified, support direct]</t>
        </is>
      </c>
      <c r="F311" s="21" t="n"/>
      <c r="G311" s="21" t="n"/>
      <c r="H311" s="21" t="n"/>
      <c r="I311" s="21" t="n"/>
      <c r="J311" s="21" t="n"/>
      <c r="K311" s="17">
        <f>IF(OR(A311="",B311=""),"",IF(AND(F311&lt;&gt;"",H311&lt;&gt;"",J311&lt;&gt;""),"Complete","Pending"))</f>
        <v/>
      </c>
    </row>
    <row r="312">
      <c r="A312" s="19" t="inlineStr">
        <is>
          <t>M039-Q01</t>
        </is>
      </c>
      <c r="B312" s="19" t="inlineStr">
        <is>
          <t>CL-M039-Q01-002</t>
        </is>
      </c>
      <c r="C312" s="17" t="inlineStr">
        <is>
          <t>[rule] Revocation may be effected only on an order made by a competent court, in an action filed by the donor against the donee, so the donor cannot revoke the gift by his own act or deed.</t>
        </is>
      </c>
      <c r="D312" s="17" t="inlineStr">
        <is>
          <t>PROV-M039-001: Revocation of Irrevocable Deeds of Gift on the Ground of Gross Ingratitude Act s.2</t>
        </is>
      </c>
      <c r="E312" s="17" t="inlineStr">
        <is>
          <t>[verified, support direct]</t>
        </is>
      </c>
      <c r="F312" s="21" t="n"/>
      <c r="G312" s="21" t="n"/>
      <c r="H312" s="21" t="n"/>
      <c r="I312" s="21" t="n"/>
      <c r="J312" s="21" t="n"/>
      <c r="K312" s="17">
        <f>IF(OR(A312="",B312=""),"",IF(AND(F312&lt;&gt;"",H312&lt;&gt;"",J312&lt;&gt;""),"Complete","Pending"))</f>
        <v/>
      </c>
    </row>
    <row r="313">
      <c r="A313" s="19" t="inlineStr">
        <is>
          <t>M039-Q01</t>
        </is>
      </c>
      <c r="B313" s="19" t="inlineStr">
        <is>
          <t>CL-M039-Q01-003</t>
        </is>
      </c>
      <c r="C313" s="17" t="inlineStr">
        <is>
          <t>[rule] Gross ingratitude is the only ground on which such an action may be founded, and the Act does not define the term, so whether given conduct amounts to gross ingratitude is for the court to decide.</t>
        </is>
      </c>
      <c r="D313" s="17" t="inlineStr">
        <is>
          <t>PROV-M039-001: Revocation of Irrevocable Deeds of Gift on the Ground of Gross Ingratitude Act s.2</t>
        </is>
      </c>
      <c r="E313" s="17" t="inlineStr">
        <is>
          <t>[verified, support inferential]</t>
        </is>
      </c>
      <c r="F313" s="21" t="n"/>
      <c r="G313" s="21" t="n"/>
      <c r="H313" s="21" t="n"/>
      <c r="I313" s="21" t="n"/>
      <c r="J313" s="21" t="n"/>
      <c r="K313" s="17">
        <f>IF(OR(A313="",B313=""),"",IF(AND(F313&lt;&gt;"",H313&lt;&gt;"",J313&lt;&gt;""),"Complete","Pending"))</f>
        <v/>
      </c>
    </row>
    <row r="314">
      <c r="A314" s="19" t="inlineStr">
        <is>
          <t>M039-Q01</t>
        </is>
      </c>
      <c r="B314" s="19" t="inlineStr">
        <is>
          <t>CL-M039-Q01-004</t>
        </is>
      </c>
      <c r="C314" s="17" t="inlineStr">
        <is>
          <t>[rule] The court shall not entertain the action unless it is filed within ten years from the date of execution of the deed of gift and within two years from the date on which the cause of action arose.</t>
        </is>
      </c>
      <c r="D314" s="17" t="inlineStr">
        <is>
          <t>PROV-M039-002: Revocation of Irrevocable Deeds of Gift on the Ground of Gross Ingratitude Act s.3</t>
        </is>
      </c>
      <c r="E314" s="17" t="inlineStr">
        <is>
          <t>[verified, support direct]</t>
        </is>
      </c>
      <c r="F314" s="21" t="n"/>
      <c r="G314" s="21" t="n"/>
      <c r="H314" s="21" t="n"/>
      <c r="I314" s="21" t="n"/>
      <c r="J314" s="21" t="n"/>
      <c r="K314" s="17">
        <f>IF(OR(A314="",B314=""),"",IF(AND(F314&lt;&gt;"",H314&lt;&gt;"",J314&lt;&gt;""),"Complete","Pending"))</f>
        <v/>
      </c>
    </row>
    <row r="315">
      <c r="A315" s="19" t="inlineStr">
        <is>
          <t>M039-Q01</t>
        </is>
      </c>
      <c r="B315" s="19" t="inlineStr">
        <is>
          <t>CL-M039-Q01-005</t>
        </is>
      </c>
      <c r="C315" s="17" t="inlineStr">
        <is>
          <t>[rule] The plaintiff must file with the plaint an application for registration of the action as a lis pendens, addressed to the Registrar of Lands of the district in which the deed is registered.</t>
        </is>
      </c>
      <c r="D315" s="17" t="inlineStr">
        <is>
          <t>PROV-M039-003: Revocation of Irrevocable Deeds of Gift on the Ground of Gross Ingratitude Act s.4 (1)</t>
        </is>
      </c>
      <c r="E315" s="17" t="inlineStr">
        <is>
          <t>[verified, support direct]</t>
        </is>
      </c>
      <c r="F315" s="21" t="n"/>
      <c r="G315" s="21" t="n"/>
      <c r="H315" s="21" t="n"/>
      <c r="I315" s="21" t="n"/>
      <c r="J315" s="21" t="n"/>
      <c r="K315" s="17">
        <f>IF(OR(A315="",B315=""),"",IF(AND(F315&lt;&gt;"",H315&lt;&gt;"",J315&lt;&gt;""),"Complete","Pending"))</f>
        <v/>
      </c>
    </row>
    <row r="316">
      <c r="A316" s="19" t="inlineStr">
        <is>
          <t>M039-Q01</t>
        </is>
      </c>
      <c r="B316" s="19" t="inlineStr">
        <is>
          <t>CL-M039-Q01-006</t>
        </is>
      </c>
      <c r="C316" s="17" t="inlineStr">
        <is>
          <t>[rule] The revocation action is proceeded with and regulated by the procedure of the Civil Procedure Code.</t>
        </is>
      </c>
      <c r="D316" s="17" t="inlineStr">
        <is>
          <t>PROV-M039-004: Revocation of Irrevocable Deeds of Gift on the Ground of Gross Ingratitude Act s.5</t>
        </is>
      </c>
      <c r="E316" s="17" t="inlineStr">
        <is>
          <t>[verified, support direct]</t>
        </is>
      </c>
      <c r="F316" s="21" t="n"/>
      <c r="G316" s="21" t="n"/>
      <c r="H316" s="21" t="n"/>
      <c r="I316" s="21" t="n"/>
      <c r="J316" s="21" t="n"/>
      <c r="K316" s="17">
        <f>IF(OR(A316="",B316=""),"",IF(AND(F316&lt;&gt;"",H316&lt;&gt;"",J316&lt;&gt;""),"Complete","Pending"))</f>
        <v/>
      </c>
    </row>
    <row r="317">
      <c r="A317" s="19" t="inlineStr">
        <is>
          <t>M039-Q01</t>
        </is>
      </c>
      <c r="B317" s="19" t="inlineStr">
        <is>
          <t>CL-M039-Q01-007</t>
        </is>
      </c>
      <c r="C317" s="17" t="inlineStr">
        <is>
          <t>[application] The donor is the proper plaintiff and the donee, his nephew, the proper defendant in the revocation action.</t>
        </is>
      </c>
      <c r="D317" s="17" t="inlineStr">
        <is>
          <t>PROV-M039-001: Revocation of Irrevocable Deeds of Gift on the Ground of Gross Ingratitude Act s.2
Facts: FACT-M039-Q01-001, FACT-M039-Q01-005</t>
        </is>
      </c>
      <c r="E317" s="17" t="inlineStr">
        <is>
          <t>[verified, support combined]</t>
        </is>
      </c>
      <c r="F317" s="21" t="n"/>
      <c r="G317" s="21" t="n"/>
      <c r="H317" s="21" t="n"/>
      <c r="I317" s="21" t="n"/>
      <c r="J317" s="21" t="n"/>
      <c r="K317" s="17">
        <f>IF(OR(A317="",B317=""),"",IF(AND(F317&lt;&gt;"",H317&lt;&gt;"",J317&lt;&gt;""),"Complete","Pending"))</f>
        <v/>
      </c>
    </row>
    <row r="318">
      <c r="A318" s="19" t="inlineStr">
        <is>
          <t>M039-Q01</t>
        </is>
      </c>
      <c r="B318" s="19" t="inlineStr">
        <is>
          <t>CL-M039-Q01-008</t>
        </is>
      </c>
      <c r="C318" s="17" t="inlineStr">
        <is>
          <t>[application] The assault in June 2023 and the eviction of the donor from the annexe, neither of which the donee denies, are the matters the donor would place before the court as gross ingratitude; the finding remains for the court.</t>
        </is>
      </c>
      <c r="D318" s="17" t="inlineStr">
        <is>
          <t>PROV-M039-001: Revocation of Irrevocable Deeds of Gift on the Ground of Gross Ingratitude Act s.2
Facts: FACT-M039-Q01-004</t>
        </is>
      </c>
      <c r="E318" s="17" t="inlineStr">
        <is>
          <t>[verified, support inferential]</t>
        </is>
      </c>
      <c r="F318" s="21" t="n"/>
      <c r="G318" s="21" t="n"/>
      <c r="H318" s="21" t="n"/>
      <c r="I318" s="21" t="n"/>
      <c r="J318" s="21" t="n"/>
      <c r="K318" s="17">
        <f>IF(OR(A318="",B318=""),"",IF(AND(F318&lt;&gt;"",H318&lt;&gt;"",J318&lt;&gt;""),"Complete","Pending"))</f>
        <v/>
      </c>
    </row>
    <row r="319">
      <c r="A319" s="19" t="inlineStr">
        <is>
          <t>M039-Q01</t>
        </is>
      </c>
      <c r="B319" s="19" t="inlineStr">
        <is>
          <t>CL-M039-Q01-009</t>
        </is>
      </c>
      <c r="C319" s="17" t="inlineStr">
        <is>
          <t>[application] An action filed in or shortly after October 2023 is within ten years of the execution of the deed on 12 March 2019 and within two years of the June 2023 cause of action, so the time limits do not bar the donor.</t>
        </is>
      </c>
      <c r="D319" s="17" t="inlineStr">
        <is>
          <t>PROV-M039-002: Revocation of Irrevocable Deeds of Gift on the Ground of Gross Ingratitude Act s.3
Facts: FACT-M039-Q01-003, FACT-M039-Q01-004, FACT-M039-Q01-005</t>
        </is>
      </c>
      <c r="E319" s="17" t="inlineStr">
        <is>
          <t>[verified, support combined]</t>
        </is>
      </c>
      <c r="F319" s="21" t="n"/>
      <c r="G319" s="21" t="n"/>
      <c r="H319" s="21" t="n"/>
      <c r="I319" s="21" t="n"/>
      <c r="J319" s="21" t="n"/>
      <c r="K319" s="17">
        <f>IF(OR(A319="",B319=""),"",IF(AND(F319&lt;&gt;"",H319&lt;&gt;"",J319&lt;&gt;""),"Complete","Pending"))</f>
        <v/>
      </c>
    </row>
    <row r="320">
      <c r="A320" s="19" t="inlineStr">
        <is>
          <t>M039-Q01</t>
        </is>
      </c>
      <c r="B320" s="19" t="inlineStr">
        <is>
          <t>CL-M039-Q01-010</t>
        </is>
      </c>
      <c r="C320" s="17" t="inlineStr">
        <is>
          <t>[application] Because the land is registered in the Kalutara land registry, the lis pendens application is addressed to the Registrar of Lands of that district and must be filed with the plaint.</t>
        </is>
      </c>
      <c r="D320" s="17" t="inlineStr">
        <is>
          <t>PROV-M039-003: Revocation of Irrevocable Deeds of Gift on the Ground of Gross Ingratitude Act s.4 (1)
Facts: FACT-M039-Q01-002</t>
        </is>
      </c>
      <c r="E320" s="17" t="inlineStr">
        <is>
          <t>[verified, support combined]</t>
        </is>
      </c>
      <c r="F320" s="21" t="n"/>
      <c r="G320" s="21" t="n"/>
      <c r="H320" s="21" t="n"/>
      <c r="I320" s="21" t="n"/>
      <c r="J320" s="21" t="n"/>
      <c r="K320" s="17">
        <f>IF(OR(A320="",B320=""),"",IF(AND(F320&lt;&gt;"",H320&lt;&gt;"",J320&lt;&gt;""),"Complete","Pending"))</f>
        <v/>
      </c>
    </row>
    <row r="321">
      <c r="A321" s="19" t="inlineStr">
        <is>
          <t>M039-Q01</t>
        </is>
      </c>
      <c r="B321" s="19" t="inlineStr">
        <is>
          <t>CL-M039-Q01-011</t>
        </is>
      </c>
      <c r="C321" s="17" t="inlineStr">
        <is>
          <t>[conclusion] The deed can be revoked, but only by order of a competent court on the ground of gross ingratitude in an action by the donor against the donee, and on these dates such an action is within both statutory time limits.</t>
        </is>
      </c>
      <c r="D321" s="17" t="inlineStr">
        <is>
          <t>PROV-M039-001: Revocation of Irrevocable Deeds of Gift on the Ground of Gross Ingratitude Act s.2
PROV-M039-002: Revocation of Irrevocable Deeds of Gift on the Ground of Gross Ingratitude Act s.3
Facts: BG-1, FACT-M039-Q01-003, FACT-M039-Q01-004, FACT-M039-Q01-005</t>
        </is>
      </c>
      <c r="E321" s="17" t="inlineStr">
        <is>
          <t>[verified, support combined]</t>
        </is>
      </c>
      <c r="F321" s="21" t="n"/>
      <c r="G321" s="21" t="n"/>
      <c r="H321" s="21" t="n"/>
      <c r="I321" s="21" t="n"/>
      <c r="J321" s="21" t="n"/>
      <c r="K321" s="17">
        <f>IF(OR(A321="",B321=""),"",IF(AND(F321&lt;&gt;"",H321&lt;&gt;"",J321&lt;&gt;""),"Complete","Pending"))</f>
        <v/>
      </c>
    </row>
    <row r="322">
      <c r="A322" s="19" t="inlineStr">
        <is>
          <t>M039-Q01</t>
        </is>
      </c>
      <c r="B322" s="19" t="inlineStr">
        <is>
          <t>CL-M039-Q01-012</t>
        </is>
      </c>
      <c r="C322" s="17" t="inlineStr">
        <is>
          <t>[conclusion] The donor cannot undo the gift by executing a deed of revocation himself; without a court order the gift stands.</t>
        </is>
      </c>
      <c r="D322" s="17" t="inlineStr">
        <is>
          <t>PROV-M039-001: Revocation of Irrevocable Deeds of Gift on the Ground of Gross Ingratitude Act s.2
Facts: BG-1</t>
        </is>
      </c>
      <c r="E322" s="17" t="inlineStr">
        <is>
          <t>[verified, support direct]</t>
        </is>
      </c>
      <c r="F322" s="21" t="n"/>
      <c r="G322" s="21" t="n"/>
      <c r="H322" s="21" t="n"/>
      <c r="I322" s="21" t="n"/>
      <c r="J322" s="21" t="n"/>
      <c r="K322" s="17">
        <f>IF(OR(A322="",B322=""),"",IF(AND(F322&lt;&gt;"",H322&lt;&gt;"",J322&lt;&gt;""),"Complete","Pending"))</f>
        <v/>
      </c>
    </row>
    <row r="323">
      <c r="A323" s="19" t="inlineStr">
        <is>
          <t>M047-Q01</t>
        </is>
      </c>
      <c r="B323" s="19" t="inlineStr">
        <is>
          <t>CL-M047-Q01-001</t>
        </is>
      </c>
      <c r="C323" s="17" t="inlineStr">
        <is>
          <t>[rule] A Deed of Gift of immovable property situated in the Western Province is an instrument relating to a transfer of immovable property and is chargeable with stamp duty.</t>
        </is>
      </c>
      <c r="D323" s="17" t="inlineStr">
        <is>
          <t>PROV-M047-001: Western Province Financial Statute s.37</t>
        </is>
      </c>
      <c r="E323" s="17" t="inlineStr">
        <is>
          <t>[verified, support direct]</t>
        </is>
      </c>
      <c r="F323" s="21" t="n"/>
      <c r="G323" s="21" t="n"/>
      <c r="H323" s="21" t="n"/>
      <c r="I323" s="21" t="n"/>
      <c r="J323" s="21" t="n"/>
      <c r="K323" s="17">
        <f>IF(OR(A323="",B323=""),"",IF(AND(F323&lt;&gt;"",H323&lt;&gt;"",J323&lt;&gt;""),"Complete","Pending"))</f>
        <v/>
      </c>
    </row>
    <row r="324">
      <c r="A324" s="19" t="inlineStr">
        <is>
          <t>M047-Q01</t>
        </is>
      </c>
      <c r="B324" s="19" t="inlineStr">
        <is>
          <t>CL-M047-Q01-002</t>
        </is>
      </c>
      <c r="C324" s="17" t="inlineStr">
        <is>
          <t>[rule] Transfer is defined to mean a sale and to include a gift, so the absence of consideration does not take a Deed of Gift out of the charge.</t>
        </is>
      </c>
      <c r="D324" s="17" t="inlineStr">
        <is>
          <t>PROV-M047-002: Western Province Financial Statute s.106 definition of "Transfer"</t>
        </is>
      </c>
      <c r="E324" s="17" t="inlineStr">
        <is>
          <t>[verified, support direct]</t>
        </is>
      </c>
      <c r="F324" s="21" t="n"/>
      <c r="G324" s="21" t="n"/>
      <c r="H324" s="21" t="n"/>
      <c r="I324" s="21" t="n"/>
      <c r="J324" s="21" t="n"/>
      <c r="K324" s="17">
        <f>IF(OR(A324="",B324=""),"",IF(AND(F324&lt;&gt;"",H324&lt;&gt;"",J324&lt;&gt;""),"Complete","Pending"))</f>
        <v/>
      </c>
    </row>
    <row r="325">
      <c r="A325" s="19" t="inlineStr">
        <is>
          <t>M047-Q01</t>
        </is>
      </c>
      <c r="B325" s="19" t="inlineStr">
        <is>
          <t>CL-M047-Q01-003</t>
        </is>
      </c>
      <c r="C325" s="17" t="inlineStr">
        <is>
          <t>[rule] Where property is conveyed by an instrument, the stamp duty is calculated on the value of the property conveyed, not on any consideration recited.</t>
        </is>
      </c>
      <c r="D325" s="17" t="inlineStr">
        <is>
          <t>PROV-M047-003: Western Province Financial Statute s.48 (1)
PROV-M047-012: Stamp Duty Act s.15 (1)
PROV-M047-901: Western Province Financial Statute s.106 definition of "conveyance"</t>
        </is>
      </c>
      <c r="E325" s="17" t="inlineStr">
        <is>
          <t>[verified, support direct]</t>
        </is>
      </c>
      <c r="F325" s="21" t="n"/>
      <c r="G325" s="21" t="n"/>
      <c r="H325" s="21" t="n"/>
      <c r="I325" s="21" t="n"/>
      <c r="J325" s="21" t="n"/>
      <c r="K325" s="17">
        <f>IF(OR(A325="",B325=""),"",IF(AND(F325&lt;&gt;"",H325&lt;&gt;"",J325&lt;&gt;""),"Complete","Pending"))</f>
        <v/>
      </c>
    </row>
    <row r="326">
      <c r="A326" s="19" t="inlineStr">
        <is>
          <t>M047-Q01</t>
        </is>
      </c>
      <c r="B326" s="19" t="inlineStr">
        <is>
          <t>CL-M047-Q01-004</t>
        </is>
      </c>
      <c r="C326" s="17" t="inlineStr">
        <is>
          <t>[rule] For immovable property that is gifted and was acquired by the donor after 31 March 1977, value means the lower of (i) the open market price on the date of acquisition increased by the cost of improvements made after acquisition and before the date of the gift instrument, and (ii) the open market price on the date of that instrument.</t>
        </is>
      </c>
      <c r="D326" s="17" t="inlineStr">
        <is>
          <t>PROV-M047-004: Western Province Financial Statute s.106 definition of "value", paragraph (c), first limb
PROV-M047-005: Western Province Financial Statute s.106 definition of "value", paragraph (c), second limb and the lower-of rule
PROV-M047-006: Stamp Duty Act s.71 definition of "value", paragraph (c)</t>
        </is>
      </c>
      <c r="E326" s="17" t="inlineStr">
        <is>
          <t>[verified, support combined]</t>
        </is>
      </c>
      <c r="F326" s="21" t="n"/>
      <c r="G326" s="21" t="n"/>
      <c r="H326" s="21" t="n"/>
      <c r="I326" s="21" t="n"/>
      <c r="J326" s="21" t="n"/>
      <c r="K326" s="17">
        <f>IF(OR(A326="",B326=""),"",IF(AND(F326&lt;&gt;"",H326&lt;&gt;"",J326&lt;&gt;""),"Complete","Pending"))</f>
        <v/>
      </c>
    </row>
    <row r="327">
      <c r="A327" s="19" t="inlineStr">
        <is>
          <t>M047-Q01</t>
        </is>
      </c>
      <c r="B327" s="19" t="inlineStr">
        <is>
          <t>CL-M047-Q01-005</t>
        </is>
      </c>
      <c r="C327" s="17" t="inlineStr">
        <is>
          <t>[rule] The valuation rules of the Stamp Duty Act of 1982 continue to speak to instruments relating to the transfer of immovable property, because those instruments are excepted from the displacement of that Act by the Stamp Duty (Special Provisions) Act.</t>
        </is>
      </c>
      <c r="D327" s="17" t="inlineStr">
        <is>
          <t>PROV-M047-007: Stamp Duty (Special Provisions) Act s.13
PROV-M047-006: Stamp Duty Act s.71 definition of "value", paragraph (c)</t>
        </is>
      </c>
      <c r="E327" s="17" t="inlineStr">
        <is>
          <t>[disputed, support direct]</t>
        </is>
      </c>
      <c r="F327" s="21" t="n"/>
      <c r="G327" s="21" t="n"/>
      <c r="H327" s="21" t="n"/>
      <c r="I327" s="21" t="n"/>
      <c r="J327" s="21" t="n"/>
      <c r="K327" s="17">
        <f>IF(OR(A327="",B327=""),"",IF(AND(F327&lt;&gt;"",H327&lt;&gt;"",J327&lt;&gt;""),"Complete","Pending"))</f>
        <v/>
      </c>
    </row>
    <row r="328">
      <c r="A328" s="19" t="inlineStr">
        <is>
          <t>M047-Q01</t>
        </is>
      </c>
      <c r="B328" s="19" t="inlineStr">
        <is>
          <t>CL-M047-Q01-006</t>
        </is>
      </c>
      <c r="C328" s="17" t="inlineStr">
        <is>
          <t>[rule] No exemption covers a gift of land between a father and his son, so the deed is not exempt.</t>
        </is>
      </c>
      <c r="D328" s="17" t="inlineStr">
        <is>
          <t>PROV-M047-011: Western Province Financial Statute s.39</t>
        </is>
      </c>
      <c r="E328" s="17" t="inlineStr">
        <is>
          <t>[verified, support inferential]</t>
        </is>
      </c>
      <c r="F328" s="21" t="n"/>
      <c r="G328" s="21" t="n"/>
      <c r="H328" s="21" t="n"/>
      <c r="I328" s="21" t="n"/>
      <c r="J328" s="21" t="n"/>
      <c r="K328" s="17">
        <f>IF(OR(A328="",B328=""),"",IF(AND(F328&lt;&gt;"",H328&lt;&gt;"",J328&lt;&gt;""),"Complete","Pending"))</f>
        <v/>
      </c>
    </row>
    <row r="329">
      <c r="A329" s="19" t="inlineStr">
        <is>
          <t>M047-Q01</t>
        </is>
      </c>
      <c r="B329" s="19" t="inlineStr">
        <is>
          <t>CL-M047-Q01-007</t>
        </is>
      </c>
      <c r="C329" s="17" t="inlineStr">
        <is>
          <t>[application] The property is at Maharagama in the Western Province, so the provincial charging and valuation provisions apply to the proposed deed.</t>
        </is>
      </c>
      <c r="D329" s="17" t="inlineStr">
        <is>
          <t>PROV-M047-001: Western Province Financial Statute s.37
Facts: FACT-M047-Q01-001, FACT-M047-Q01-002</t>
        </is>
      </c>
      <c r="E329" s="17" t="inlineStr">
        <is>
          <t>[verified, support direct]</t>
        </is>
      </c>
      <c r="F329" s="21" t="n"/>
      <c r="G329" s="21" t="n"/>
      <c r="H329" s="21" t="n"/>
      <c r="I329" s="21" t="n"/>
      <c r="J329" s="21" t="n"/>
      <c r="K329" s="17">
        <f>IF(OR(A329="",B329=""),"",IF(AND(F329&lt;&gt;"",H329&lt;&gt;"",J329&lt;&gt;""),"Complete","Pending"))</f>
        <v/>
      </c>
    </row>
    <row r="330">
      <c r="A330" s="19" t="inlineStr">
        <is>
          <t>M047-Q01</t>
        </is>
      </c>
      <c r="B330" s="19" t="inlineStr">
        <is>
          <t>CL-M047-Q01-008</t>
        </is>
      </c>
      <c r="C330" s="17" t="inlineStr">
        <is>
          <t>[application] Rohan Perera acquired the property in December 1977, which is after 31 March 1977, so paragraph (c) of the definition of value governs and paragraph (b) does not.</t>
        </is>
      </c>
      <c r="D330" s="17" t="inlineStr">
        <is>
          <t>PROV-M047-004: Western Province Financial Statute s.106 definition of "value", paragraph (c), first limb
Facts: BG-1, FACT-M047-Q01-003</t>
        </is>
      </c>
      <c r="E330" s="17" t="inlineStr">
        <is>
          <t>[verified, support direct]</t>
        </is>
      </c>
      <c r="F330" s="21" t="n"/>
      <c r="G330" s="21" t="n"/>
      <c r="H330" s="21" t="n"/>
      <c r="I330" s="21" t="n"/>
      <c r="J330" s="21" t="n"/>
      <c r="K330" s="17">
        <f>IF(OR(A330="",B330=""),"",IF(AND(F330&lt;&gt;"",H330&lt;&gt;"",J330&lt;&gt;""),"Complete","Pending"))</f>
        <v/>
      </c>
    </row>
    <row r="331">
      <c r="A331" s="19" t="inlineStr">
        <is>
          <t>M047-Q01</t>
        </is>
      </c>
      <c r="B331" s="19" t="inlineStr">
        <is>
          <t>CL-M047-Q01-009</t>
        </is>
      </c>
      <c r="C331" s="17" t="inlineStr">
        <is>
          <t>[application] The first limb is Rs.250,000/- as the open market price at acquisition plus Rs.800,000/- for improvements made after acquisition and before the deed, that is Rs.1,050,000/-.</t>
        </is>
      </c>
      <c r="D331" s="17" t="inlineStr">
        <is>
          <t>PROV-M047-004: Western Province Financial Statute s.106 definition of "value", paragraph (c), first limb
PROV-M047-006: Stamp Duty Act s.71 definition of "value", paragraph (c)
Facts: BG-1, BG-2, FACT-M047-Q01-003, FACT-M047-Q01-004</t>
        </is>
      </c>
      <c r="E331" s="17" t="inlineStr">
        <is>
          <t>[verified, support combined]</t>
        </is>
      </c>
      <c r="F331" s="21" t="n"/>
      <c r="G331" s="21" t="n"/>
      <c r="H331" s="21" t="n"/>
      <c r="I331" s="21" t="n"/>
      <c r="J331" s="21" t="n"/>
      <c r="K331" s="17">
        <f>IF(OR(A331="",B331=""),"",IF(AND(F331&lt;&gt;"",H331&lt;&gt;"",J331&lt;&gt;""),"Complete","Pending"))</f>
        <v/>
      </c>
    </row>
    <row r="332">
      <c r="A332" s="19" t="inlineStr">
        <is>
          <t>M047-Q01</t>
        </is>
      </c>
      <c r="B332" s="19" t="inlineStr">
        <is>
          <t>CL-M047-Q01-010</t>
        </is>
      </c>
      <c r="C332" s="17" t="inlineStr">
        <is>
          <t>[application] The second limb is Rs.6,500,000/-, the open market price of the property at the date of the deed.</t>
        </is>
      </c>
      <c r="D332" s="17" t="inlineStr">
        <is>
          <t>PROV-M047-005: Western Province Financial Statute s.106 definition of "value", paragraph (c), second limb and the lower-of rule
Facts: BG-3, FACT-M047-Q01-005</t>
        </is>
      </c>
      <c r="E332" s="17" t="inlineStr">
        <is>
          <t>[verified, support direct]</t>
        </is>
      </c>
      <c r="F332" s="21" t="n"/>
      <c r="G332" s="21" t="n"/>
      <c r="H332" s="21" t="n"/>
      <c r="I332" s="21" t="n"/>
      <c r="J332" s="21" t="n"/>
      <c r="K332" s="17">
        <f>IF(OR(A332="",B332=""),"",IF(AND(F332&lt;&gt;"",H332&lt;&gt;"",J332&lt;&gt;""),"Complete","Pending"))</f>
        <v/>
      </c>
    </row>
    <row r="333">
      <c r="A333" s="19" t="inlineStr">
        <is>
          <t>M047-Q01</t>
        </is>
      </c>
      <c r="B333" s="19" t="inlineStr">
        <is>
          <t>CL-M047-Q01-011</t>
        </is>
      </c>
      <c r="C333" s="17" t="inlineStr">
        <is>
          <t>[conclusion] Rs.1,050,000/- is the lower of the two limbs and is therefore the statutory value of the property gifted.</t>
        </is>
      </c>
      <c r="D333" s="17" t="inlineStr">
        <is>
          <t>PROV-M047-005: Western Province Financial Statute s.106 definition of "value", paragraph (c), second limb and the lower-of rule
Facts: BG-1, BG-2, BG-3</t>
        </is>
      </c>
      <c r="E333" s="17" t="inlineStr">
        <is>
          <t>[verified, support combined]</t>
        </is>
      </c>
      <c r="F333" s="21" t="n"/>
      <c r="G333" s="21" t="n"/>
      <c r="H333" s="21" t="n"/>
      <c r="I333" s="21" t="n"/>
      <c r="J333" s="21" t="n"/>
      <c r="K333" s="17">
        <f>IF(OR(A333="",B333=""),"",IF(AND(F333&lt;&gt;"",H333&lt;&gt;"",J333&lt;&gt;""),"Complete","Pending"))</f>
        <v/>
      </c>
    </row>
    <row r="334">
      <c r="A334" s="19" t="inlineStr">
        <is>
          <t>M047-Q01</t>
        </is>
      </c>
      <c r="B334" s="19" t="inlineStr">
        <is>
          <t>CL-M047-Q01-012</t>
        </is>
      </c>
      <c r="C334" s="17" t="inlineStr">
        <is>
          <t>[conclusion] The value to be mentioned in the Deed of Gift for stamp duty purposes is Rs.1,050,000/-, and the attesting notary must take reasonable steps to satisfy himself that this figure represents the value of the property conveyed and must set out in the deed the facts affecting chargeability and the amount of duty.</t>
        </is>
      </c>
      <c r="D334" s="17" t="inlineStr">
        <is>
          <t>PROV-M047-008: Western Province Financial Statute s.78 (2), read with (1)
PROV-M047-003: Western Province Financial Statute s.48 (1)
PROV-M047-005: Western Province Financial Statute s.106 definition of "value", paragraph (c), second limb and the lower-of rule
Facts: FACT-M047-Q01-005</t>
        </is>
      </c>
      <c r="E334" s="17" t="inlineStr">
        <is>
          <t>[verified, support combined]</t>
        </is>
      </c>
      <c r="F334" s="21" t="n"/>
      <c r="G334" s="21" t="n"/>
      <c r="H334" s="21" t="n"/>
      <c r="I334" s="21" t="n"/>
      <c r="J334" s="21" t="n"/>
      <c r="K334" s="17">
        <f>IF(OR(A334="",B334=""),"",IF(AND(F334&lt;&gt;"",H334&lt;&gt;"",J334&lt;&gt;""),"Complete","Pending"))</f>
        <v/>
      </c>
    </row>
    <row r="335">
      <c r="A335" s="19" t="inlineStr">
        <is>
          <t>M049-Q01</t>
        </is>
      </c>
      <c r="B335" s="19" t="inlineStr">
        <is>
          <t>CL-M049-Q01-001</t>
        </is>
      </c>
      <c r="C335" s="17" t="inlineStr">
        <is>
          <t>[rule] Section 3 of the Prescription Ordinance entitles a person to a decree on proof of ten years' undisturbed and uninterrupted possession of land by a title adverse to or independent of the owner's, unaccompanied by rent, produce, service or any act from which an acknowledgment of another's right would fairly be inferred.</t>
        </is>
      </c>
      <c r="D335" s="17" t="inlineStr">
        <is>
          <t>PROV-M049-001: Prescription Ordinance, No. 22 of 1871 s.3</t>
        </is>
      </c>
      <c r="E335" s="17" t="inlineStr">
        <is>
          <t>[verified, support direct]</t>
        </is>
      </c>
      <c r="F335" s="21" t="n"/>
      <c r="G335" s="21" t="n"/>
      <c r="H335" s="21" t="n"/>
      <c r="I335" s="21" t="n"/>
      <c r="J335" s="21" t="n"/>
      <c r="K335" s="17">
        <f>IF(OR(A335="",B335=""),"",IF(AND(F335&lt;&gt;"",H335&lt;&gt;"",J335&lt;&gt;""),"Complete","Pending"))</f>
        <v/>
      </c>
    </row>
    <row r="336">
      <c r="A336" s="19" t="inlineStr">
        <is>
          <t>M049-Q01</t>
        </is>
      </c>
      <c r="B336" s="19" t="inlineStr">
        <is>
          <t>CL-M049-Q01-002</t>
        </is>
      </c>
      <c r="C336" s="17" t="inlineStr">
        <is>
          <t>[rule] On initial compilation under the Registration of Title Act a claimant is declared eligible for registration either with a First Class Title of Absolute Ownership or, where he does not so qualify but is in bonafide possession, with a Second Class Title of Ownership.</t>
        </is>
      </c>
      <c r="D336" s="17" t="inlineStr">
        <is>
          <t>PROV-M049-003: Registration of Title Act, No. 21 of 1998 s.14 (b)</t>
        </is>
      </c>
      <c r="E336" s="17" t="inlineStr">
        <is>
          <t>[verified, support direct]</t>
        </is>
      </c>
      <c r="F336" s="21" t="n"/>
      <c r="G336" s="21" t="n"/>
      <c r="H336" s="21" t="n"/>
      <c r="I336" s="21" t="n"/>
      <c r="J336" s="21" t="n"/>
      <c r="K336" s="17">
        <f>IF(OR(A336="",B336=""),"",IF(AND(F336&lt;&gt;"",H336&lt;&gt;"",J336&lt;&gt;""),"Complete","Pending"))</f>
        <v/>
      </c>
    </row>
    <row r="337">
      <c r="A337" s="19" t="inlineStr">
        <is>
          <t>M049-Q01</t>
        </is>
      </c>
      <c r="B337" s="19" t="inlineStr">
        <is>
          <t>CL-M049-Q01-003</t>
        </is>
      </c>
      <c r="C337" s="17" t="inlineStr">
        <is>
          <t>[rule] Registration of Title Act s.57 provides that the Prescription Ordinance shall not apply to lands or interests in land registered under that Act with a First Class Title of Absolute Ownership or a Second Class Title of Ownership.</t>
        </is>
      </c>
      <c r="D337" s="17" t="inlineStr">
        <is>
          <t>PROV-M049-002: Registration of Title Act, No. 21 of 1998 s.57
PROV-M049-003: Registration of Title Act, No. 21 of 1998 s.14 (b)</t>
        </is>
      </c>
      <c r="E337" s="17" t="inlineStr">
        <is>
          <t>[verified, support direct]</t>
        </is>
      </c>
      <c r="F337" s="21" t="n"/>
      <c r="G337" s="21" t="n"/>
      <c r="H337" s="21" t="n"/>
      <c r="I337" s="21" t="n"/>
      <c r="J337" s="21" t="n"/>
      <c r="K337" s="17">
        <f>IF(OR(A337="",B337=""),"",IF(AND(F337&lt;&gt;"",H337&lt;&gt;"",J337&lt;&gt;""),"Complete","Pending"))</f>
        <v/>
      </c>
    </row>
    <row r="338">
      <c r="A338" s="19" t="inlineStr">
        <is>
          <t>M049-Q01</t>
        </is>
      </c>
      <c r="B338" s="19" t="inlineStr">
        <is>
          <t>CL-M049-Q01-004</t>
        </is>
      </c>
      <c r="C338" s="17" t="inlineStr">
        <is>
          <t>[rule] The Registration of Title Act has effect notwithstanding anything to the contrary in any other written law, so the Prescription Ordinance cannot operate against s.57.</t>
        </is>
      </c>
      <c r="D338" s="17" t="inlineStr">
        <is>
          <t>PROV-M049-007: Registration of Title Act, No. 21 of 1998 s.73
PROV-M049-002: Registration of Title Act, No. 21 of 1998 s.57</t>
        </is>
      </c>
      <c r="E338" s="17" t="inlineStr">
        <is>
          <t>[verified, support combined]</t>
        </is>
      </c>
      <c r="F338" s="21" t="n"/>
      <c r="G338" s="21" t="n"/>
      <c r="H338" s="21" t="n"/>
      <c r="I338" s="21" t="n"/>
      <c r="J338" s="21" t="n"/>
      <c r="K338" s="17">
        <f>IF(OR(A338="",B338=""),"",IF(AND(F338&lt;&gt;"",H338&lt;&gt;"",J338&lt;&gt;""),"Complete","Pending"))</f>
        <v/>
      </c>
    </row>
    <row r="339">
      <c r="A339" s="19" t="inlineStr">
        <is>
          <t>M049-Q01</t>
        </is>
      </c>
      <c r="B339" s="19" t="inlineStr">
        <is>
          <t>CL-M049-Q01-005</t>
        </is>
      </c>
      <c r="C339" s="17" t="inlineStr">
        <is>
          <t>[rule] Entries in the Title Register are conclusive evidence of the ownership specified in them and shall not be questioned in a court of law except as provided for in the Registration of Title Act.</t>
        </is>
      </c>
      <c r="D339" s="17" t="inlineStr">
        <is>
          <t>PROV-M049-004: Registration of Title Act, No. 21 of 1998 s.33 (1)</t>
        </is>
      </c>
      <c r="E339" s="17" t="inlineStr">
        <is>
          <t>[verified, support direct]</t>
        </is>
      </c>
      <c r="F339" s="21" t="n"/>
      <c r="G339" s="21" t="n"/>
      <c r="H339" s="21" t="n"/>
      <c r="I339" s="21" t="n"/>
      <c r="J339" s="21" t="n"/>
      <c r="K339" s="17">
        <f>IF(OR(A339="",B339=""),"",IF(AND(F339&lt;&gt;"",H339&lt;&gt;"",J339&lt;&gt;""),"Complete","Pending"))</f>
        <v/>
      </c>
    </row>
    <row r="340">
      <c r="A340" s="19" t="inlineStr">
        <is>
          <t>M049-Q01</t>
        </is>
      </c>
      <c r="B340" s="19" t="inlineStr">
        <is>
          <t>CL-M049-Q01-006</t>
        </is>
      </c>
      <c r="C340" s="17" t="inlineStr">
        <is>
          <t>[rule] No person acquiring an interest in a land parcel registered under the Registration of Title Act is entitled to that title or interest unless it is itself registered under the Act.</t>
        </is>
      </c>
      <c r="D340" s="17" t="inlineStr">
        <is>
          <t>PROV-M049-006: Registration of Title Act, No. 21 of 1998 s.38</t>
        </is>
      </c>
      <c r="E340" s="17" t="inlineStr">
        <is>
          <t>[verified, support direct]</t>
        </is>
      </c>
      <c r="F340" s="21" t="n"/>
      <c r="G340" s="21" t="n"/>
      <c r="H340" s="21" t="n"/>
      <c r="I340" s="21" t="n"/>
      <c r="J340" s="21" t="n"/>
      <c r="K340" s="17">
        <f>IF(OR(A340="",B340=""),"",IF(AND(F340&lt;&gt;"",H340&lt;&gt;"",J340&lt;&gt;""),"Complete","Pending"))</f>
        <v/>
      </c>
    </row>
    <row r="341">
      <c r="A341" s="19" t="inlineStr">
        <is>
          <t>M049-Q01</t>
        </is>
      </c>
      <c r="B341" s="19" t="inlineStr">
        <is>
          <t>CL-M049-Q01-007</t>
        </is>
      </c>
      <c r="C341" s="17" t="inlineStr">
        <is>
          <t>[rule] A person registered with a Second Class Title of Ownership becomes eligible, at the end of ten years from that registration and absent an action under s.29, for conversion of his registration to a First Class Title of Absolute Ownership.</t>
        </is>
      </c>
      <c r="D341" s="17" t="inlineStr">
        <is>
          <t>PROV-M049-005: Registration of Title Act, No. 21 of 1998 s.31 (1)</t>
        </is>
      </c>
      <c r="E341" s="17" t="inlineStr">
        <is>
          <t>[verified, support direct]</t>
        </is>
      </c>
      <c r="F341" s="21" t="n"/>
      <c r="G341" s="21" t="n"/>
      <c r="H341" s="21" t="n"/>
      <c r="I341" s="21" t="n"/>
      <c r="J341" s="21" t="n"/>
      <c r="K341" s="17">
        <f>IF(OR(A341="",B341=""),"",IF(AND(F341&lt;&gt;"",H341&lt;&gt;"",J341&lt;&gt;""),"Complete","Pending"))</f>
        <v/>
      </c>
    </row>
    <row r="342">
      <c r="A342" s="19" t="inlineStr">
        <is>
          <t>M049-Q01</t>
        </is>
      </c>
      <c r="B342" s="19" t="inlineStr">
        <is>
          <t>CL-M049-Q01-008</t>
        </is>
      </c>
      <c r="C342" s="17" t="inlineStr">
        <is>
          <t>[application] Nimal's occupation from January 2011 to October 2021 was continuous, without payment of rent or produce and without any act of acknowledgment, so it would answer the description of adverse possession in Prescription Ordinance s.3 and exceed the ten-year term.</t>
        </is>
      </c>
      <c r="D342" s="17" t="inlineStr">
        <is>
          <t>PROV-M049-001: Prescription Ordinance, No. 22 of 1871 s.3
Facts: FACT-M049-Q01-003, BG-1</t>
        </is>
      </c>
      <c r="E342" s="17" t="inlineStr">
        <is>
          <t>[verified, support direct]</t>
        </is>
      </c>
      <c r="F342" s="21" t="n"/>
      <c r="G342" s="21" t="n"/>
      <c r="H342" s="21" t="n"/>
      <c r="I342" s="21" t="n"/>
      <c r="J342" s="21" t="n"/>
      <c r="K342" s="17">
        <f>IF(OR(A342="",B342=""),"",IF(AND(F342&lt;&gt;"",H342&lt;&gt;"",J342&lt;&gt;""),"Complete","Pending"))</f>
        <v/>
      </c>
    </row>
    <row r="343">
      <c r="A343" s="19" t="inlineStr">
        <is>
          <t>M049-Q01</t>
        </is>
      </c>
      <c r="B343" s="19" t="inlineStr">
        <is>
          <t>CL-M049-Q01-009</t>
        </is>
      </c>
      <c r="C343" s="17" t="inlineStr">
        <is>
          <t>[application] The parcel is land registered under the Registration of Title Act with a First Class Title of Absolute Ownership in Somapala's name, so it falls within the exclusion in s.57 and the Prescription Ordinance does not apply to it.</t>
        </is>
      </c>
      <c r="D343" s="17" t="inlineStr">
        <is>
          <t>PROV-M049-002: Registration of Title Act, No. 21 of 1998 s.57
PROV-M049-003: Registration of Title Act, No. 21 of 1998 s.14 (b)
Facts: FACT-M049-Q01-001, FACT-M049-Q01-002, BG-1</t>
        </is>
      </c>
      <c r="E343" s="17" t="inlineStr">
        <is>
          <t>[verified, support combined]</t>
        </is>
      </c>
      <c r="F343" s="21" t="n"/>
      <c r="G343" s="21" t="n"/>
      <c r="H343" s="21" t="n"/>
      <c r="I343" s="21" t="n"/>
      <c r="J343" s="21" t="n"/>
      <c r="K343" s="17">
        <f>IF(OR(A343="",B343=""),"",IF(AND(F343&lt;&gt;"",H343&lt;&gt;"",J343&lt;&gt;""),"Complete","Pending"))</f>
        <v/>
      </c>
    </row>
    <row r="344">
      <c r="A344" s="19" t="inlineStr">
        <is>
          <t>M049-Q01</t>
        </is>
      </c>
      <c r="B344" s="19" t="inlineStr">
        <is>
          <t>CL-M049-Q01-010</t>
        </is>
      </c>
      <c r="C344" s="17" t="inlineStr">
        <is>
          <t>[application] Because Nimal is not named in the Title Register in any capacity, he is not entitled to any title or interest in the parcel, and Somapala's registered ownership is conclusive and not open to challenge in court on a ground the Act does not provide for.</t>
        </is>
      </c>
      <c r="D344" s="17" t="inlineStr">
        <is>
          <t>PROV-M049-006: Registration of Title Act, No. 21 of 1998 s.38
PROV-M049-004: Registration of Title Act, No. 21 of 1998 s.33 (1)
Facts: FACT-M049-Q01-002, FACT-M049-Q01-004</t>
        </is>
      </c>
      <c r="E344" s="17" t="inlineStr">
        <is>
          <t>[verified, support combined]</t>
        </is>
      </c>
      <c r="F344" s="21" t="n"/>
      <c r="G344" s="21" t="n"/>
      <c r="H344" s="21" t="n"/>
      <c r="I344" s="21" t="n"/>
      <c r="J344" s="21" t="n"/>
      <c r="K344" s="17">
        <f>IF(OR(A344="",B344=""),"",IF(AND(F344&lt;&gt;"",H344&lt;&gt;"",J344&lt;&gt;""),"Complete","Pending"))</f>
        <v/>
      </c>
    </row>
    <row r="345">
      <c r="A345" s="19" t="inlineStr">
        <is>
          <t>M049-Q01</t>
        </is>
      </c>
      <c r="B345" s="19" t="inlineStr">
        <is>
          <t>CL-M049-Q01-011</t>
        </is>
      </c>
      <c r="C345" s="17" t="inlineStr">
        <is>
          <t>[application] The ten-year conversion right is not open to Nimal, because it presupposes an existing registration with a Second Class Title of Ownership and he holds no registration at all.</t>
        </is>
      </c>
      <c r="D345" s="17" t="inlineStr">
        <is>
          <t>PROV-M049-005: Registration of Title Act, No. 21 of 1998 s.31 (1)
Facts: FACT-M049-Q01-002, FACT-M049-Q01-004</t>
        </is>
      </c>
      <c r="E345" s="17" t="inlineStr">
        <is>
          <t>[verified, support direct]</t>
        </is>
      </c>
      <c r="F345" s="21" t="n"/>
      <c r="G345" s="21" t="n"/>
      <c r="H345" s="21" t="n"/>
      <c r="I345" s="21" t="n"/>
      <c r="J345" s="21" t="n"/>
      <c r="K345" s="17">
        <f>IF(OR(A345="",B345=""),"",IF(AND(F345&lt;&gt;"",H345&lt;&gt;"",J345&lt;&gt;""),"Complete","Pending"))</f>
        <v/>
      </c>
    </row>
    <row r="346">
      <c r="A346" s="19" t="inlineStr">
        <is>
          <t>M049-Q01</t>
        </is>
      </c>
      <c r="B346" s="19" t="inlineStr">
        <is>
          <t>CL-M049-Q01-012</t>
        </is>
      </c>
      <c r="C346" s="17" t="inlineStr">
        <is>
          <t>[conclusion] Nimal cannot claim prescriptive title to the parcel; no length of adverse possession of land registered under the Registration of Title Act with a First Class Title of Absolute Ownership can ripen into title, and he remains without entitlement while he is off the register.</t>
        </is>
      </c>
      <c r="D346" s="17" t="inlineStr">
        <is>
          <t>PROV-M049-002: Registration of Title Act, No. 21 of 1998 s.57
PROV-M049-006: Registration of Title Act, No. 21 of 1998 s.38
Facts: FACT-M049-Q01-002, FACT-M049-Q01-003, BG-1</t>
        </is>
      </c>
      <c r="E346" s="17" t="inlineStr">
        <is>
          <t>[verified, support combined]</t>
        </is>
      </c>
      <c r="F346" s="21" t="n"/>
      <c r="G346" s="21" t="n"/>
      <c r="H346" s="21" t="n"/>
      <c r="I346" s="21" t="n"/>
      <c r="J346" s="21" t="n"/>
      <c r="K346" s="17">
        <f>IF(OR(A346="",B346=""),"",IF(AND(F346&lt;&gt;"",H346&lt;&gt;"",J346&lt;&gt;""),"Complete","Pending"))</f>
        <v/>
      </c>
    </row>
    <row r="347">
      <c r="A347" s="19" t="inlineStr">
        <is>
          <t>M049-Q01</t>
        </is>
      </c>
      <c r="B347" s="19" t="inlineStr">
        <is>
          <t>CL-M049-Q01-013</t>
        </is>
      </c>
      <c r="C347" s="17" t="inlineStr">
        <is>
          <t>[conclusion] The conclusion assumes the parcel was on the Title Register throughout the period of possession relied on; possession running before the land was brought under the Act would need separate consideration.</t>
        </is>
      </c>
      <c r="D347" s="17" t="inlineStr">
        <is>
          <t>PROV-M049-002: Registration of Title Act, No. 21 of 1998 s.57
PROV-M049-008: Registration of Title Act, No. 21 of 1998 s.1
Facts: FACT-M049-Q01-001, FACT-M049-Q01-002</t>
        </is>
      </c>
      <c r="E347" s="17" t="inlineStr">
        <is>
          <t>[disputed, support inferential]</t>
        </is>
      </c>
      <c r="F347" s="21" t="n"/>
      <c r="G347" s="21" t="n"/>
      <c r="H347" s="21" t="n"/>
      <c r="I347" s="21" t="n"/>
      <c r="J347" s="21" t="n"/>
      <c r="K347" s="17">
        <f>IF(OR(A347="",B347=""),"",IF(AND(F347&lt;&gt;"",H347&lt;&gt;"",J347&lt;&gt;""),"Complete","Pending"))</f>
        <v/>
      </c>
    </row>
    <row r="348">
      <c r="A348" s="19" t="inlineStr">
        <is>
          <t>M051-Q01</t>
        </is>
      </c>
      <c r="B348" s="19" t="inlineStr">
        <is>
          <t>CL-M051-Q01-001</t>
        </is>
      </c>
      <c r="C348" s="17" t="inlineStr">
        <is>
          <t>[rule] Stamp duty is charged on every instrument relating to a transfer of immovable property situated in the Western Province, at the prescribed rate.</t>
        </is>
      </c>
      <c r="D348" s="17" t="inlineStr">
        <is>
          <t>PROV-M051-001: Western Province Financial Statute s.37 (a)</t>
        </is>
      </c>
      <c r="E348" s="17" t="inlineStr">
        <is>
          <t>[verified, support direct]</t>
        </is>
      </c>
      <c r="F348" s="21" t="n"/>
      <c r="G348" s="21" t="n"/>
      <c r="H348" s="21" t="n"/>
      <c r="I348" s="21" t="n"/>
      <c r="J348" s="21" t="n"/>
      <c r="K348" s="17">
        <f>IF(OR(A348="",B348=""),"",IF(AND(F348&lt;&gt;"",H348&lt;&gt;"",J348&lt;&gt;""),"Complete","Pending"))</f>
        <v/>
      </c>
    </row>
    <row r="349">
      <c r="A349" s="19" t="inlineStr">
        <is>
          <t>M051-Q01</t>
        </is>
      </c>
      <c r="B349" s="19" t="inlineStr">
        <is>
          <t>CL-M051-Q01-002</t>
        </is>
      </c>
      <c r="C349" s="17" t="inlineStr">
        <is>
          <t>[rule] A gift is a transfer for the purposes of the Statute, so a Deed of Gift is an instrument relating to a transfer of immovable property.</t>
        </is>
      </c>
      <c r="D349" s="17" t="inlineStr">
        <is>
          <t>PROV-M051-004: Western Province Financial Statute s.106 definition of "transfer"
PROV-M051-005: Western Province Financial Statute s.106 definition of "gift"</t>
        </is>
      </c>
      <c r="E349" s="17" t="inlineStr">
        <is>
          <t>[verified, support combined]</t>
        </is>
      </c>
      <c r="F349" s="21" t="n"/>
      <c r="G349" s="21" t="n"/>
      <c r="H349" s="21" t="n"/>
      <c r="I349" s="21" t="n"/>
      <c r="J349" s="21" t="n"/>
      <c r="K349" s="17">
        <f>IF(OR(A349="",B349=""),"",IF(AND(F349&lt;&gt;"",H349&lt;&gt;"",J349&lt;&gt;""),"Complete","Pending"))</f>
        <v/>
      </c>
    </row>
    <row r="350">
      <c r="A350" s="19" t="inlineStr">
        <is>
          <t>M051-Q01</t>
        </is>
      </c>
      <c r="B350" s="19" t="inlineStr">
        <is>
          <t>CL-M051-Q01-003</t>
        </is>
      </c>
      <c r="C350" s="17" t="inlineStr">
        <is>
          <t>[rule] Where property is conveyed by an instrument the stamp duty is calculated on the value of the property conveyed, not on the consideration.</t>
        </is>
      </c>
      <c r="D350" s="17" t="inlineStr">
        <is>
          <t>PROV-M051-002: Western Province Financial Statute s.48 (1)</t>
        </is>
      </c>
      <c r="E350" s="17" t="inlineStr">
        <is>
          <t>[verified, support direct]</t>
        </is>
      </c>
      <c r="F350" s="21" t="n"/>
      <c r="G350" s="21" t="n"/>
      <c r="H350" s="21" t="n"/>
      <c r="I350" s="21" t="n"/>
      <c r="J350" s="21" t="n"/>
      <c r="K350" s="17">
        <f>IF(OR(A350="",B350=""),"",IF(AND(F350&lt;&gt;"",H350&lt;&gt;"",J350&lt;&gt;""),"Complete","Pending"))</f>
        <v/>
      </c>
    </row>
    <row r="351">
      <c r="A351" s="19" t="inlineStr">
        <is>
          <t>M051-Q01</t>
        </is>
      </c>
      <c r="B351" s="19" t="inlineStr">
        <is>
          <t>CL-M051-Q01-004</t>
        </is>
      </c>
      <c r="C351" s="17" t="inlineStr">
        <is>
          <t>[rule] For immovable property that is gifted and was acquired by the donor after March 31, 1977, 'value' means the lower of the Assessor's opinion of the open-market price at the date of acquisition increased by the cost of improvements made before the deed, and his opinion of the open-market price at the date of the deed of gift.</t>
        </is>
      </c>
      <c r="D351" s="17" t="inlineStr">
        <is>
          <t>PROV-M051-003: Western Province Financial Statute s.106 definition of "value", paragraph (c)</t>
        </is>
      </c>
      <c r="E351" s="17" t="inlineStr">
        <is>
          <t>[verified, support direct]</t>
        </is>
      </c>
      <c r="F351" s="21" t="n"/>
      <c r="G351" s="21" t="n"/>
      <c r="H351" s="21" t="n"/>
      <c r="I351" s="21" t="n"/>
      <c r="J351" s="21" t="n"/>
      <c r="K351" s="17">
        <f>IF(OR(A351="",B351=""),"",IF(AND(F351&lt;&gt;"",H351&lt;&gt;"",J351&lt;&gt;""),"Complete","Pending"))</f>
        <v/>
      </c>
    </row>
    <row r="352">
      <c r="A352" s="19" t="inlineStr">
        <is>
          <t>M051-Q01</t>
        </is>
      </c>
      <c r="B352" s="19" t="inlineStr">
        <is>
          <t>CL-M051-Q01-005</t>
        </is>
      </c>
      <c r="C352" s="17" t="inlineStr">
        <is>
          <t>[rule] On an application under section 62 with a copy of the instrument and a fee of two hundred and fifty rupees, the Assessor determines the duty chargeable in his opinion and notifies the determination in writing, and may require production of documents and other evidence proving the facts relevant to the amount.</t>
        </is>
      </c>
      <c r="D352" s="17" t="inlineStr">
        <is>
          <t>PROV-M051-007: Western Province Financial Statute s.62
PROV-M051-008: Western Province Financial Statute s.63</t>
        </is>
      </c>
      <c r="E352" s="17" t="inlineStr">
        <is>
          <t>[verified, support combined]</t>
        </is>
      </c>
      <c r="F352" s="21" t="n"/>
      <c r="G352" s="21" t="n"/>
      <c r="H352" s="21" t="n"/>
      <c r="I352" s="21" t="n"/>
      <c r="J352" s="21" t="n"/>
      <c r="K352" s="17">
        <f>IF(OR(A352="",B352=""),"",IF(AND(F352&lt;&gt;"",H352&lt;&gt;"",J352&lt;&gt;""),"Complete","Pending"))</f>
        <v/>
      </c>
    </row>
    <row r="353">
      <c r="A353" s="19" t="inlineStr">
        <is>
          <t>M051-Q01</t>
        </is>
      </c>
      <c r="B353" s="19" t="inlineStr">
        <is>
          <t>CL-M051-Q01-006</t>
        </is>
      </c>
      <c r="C353" s="17" t="inlineStr">
        <is>
          <t>[rule] The attesting notary must take all reasonable steps to satisfy himself that the value on which the stamp duty is paid represents the value of the property conveyed.</t>
        </is>
      </c>
      <c r="D353" s="17" t="inlineStr">
        <is>
          <t>PROV-M051-009: Western Province Financial Statute s.78 (2)</t>
        </is>
      </c>
      <c r="E353" s="17" t="inlineStr">
        <is>
          <t>[verified, support direct]</t>
        </is>
      </c>
      <c r="F353" s="21" t="n"/>
      <c r="G353" s="21" t="n"/>
      <c r="H353" s="21" t="n"/>
      <c r="I353" s="21" t="n"/>
      <c r="J353" s="21" t="n"/>
      <c r="K353" s="17">
        <f>IF(OR(A353="",B353=""),"",IF(AND(F353&lt;&gt;"",H353&lt;&gt;"",J353&lt;&gt;""),"Complete","Pending"))</f>
        <v/>
      </c>
    </row>
    <row r="354">
      <c r="A354" s="19" t="inlineStr">
        <is>
          <t>M051-Q01</t>
        </is>
      </c>
      <c r="B354" s="19" t="inlineStr">
        <is>
          <t>CL-M051-Q01-007</t>
        </is>
      </c>
      <c r="C354" s="17" t="inlineStr">
        <is>
          <t>[application] Because the donor acquired the Pannipitiya property in January 1978, that is after March 31, 1977, paragraph (c) of the definition of 'value' applies rather than the March 31, 1977 comparison in paragraph (b).</t>
        </is>
      </c>
      <c r="D354" s="17" t="inlineStr">
        <is>
          <t>PROV-M051-003: Western Province Financial Statute s.106 definition of "value", paragraph (c)
Facts: BG-1</t>
        </is>
      </c>
      <c r="E354" s="17" t="inlineStr">
        <is>
          <t>[verified, support direct]</t>
        </is>
      </c>
      <c r="F354" s="21" t="n"/>
      <c r="G354" s="21" t="n"/>
      <c r="H354" s="21" t="n"/>
      <c r="I354" s="21" t="n"/>
      <c r="J354" s="21" t="n"/>
      <c r="K354" s="17">
        <f>IF(OR(A354="",B354=""),"",IF(AND(F354&lt;&gt;"",H354&lt;&gt;"",J354&lt;&gt;""),"Complete","Pending"))</f>
        <v/>
      </c>
    </row>
    <row r="355">
      <c r="A355" s="19" t="inlineStr">
        <is>
          <t>M051-Q01</t>
        </is>
      </c>
      <c r="B355" s="19" t="inlineStr">
        <is>
          <t>CL-M051-Q01-008</t>
        </is>
      </c>
      <c r="C355" s="17" t="inlineStr">
        <is>
          <t>[application] The first comparison figure is the Assessor's opinion of the open-market price of the property in January 1978, for which the Rs.160,000 purchase price is evidence, increased by the Rs.900,000 cost of constructing the house after acquisition and before the deed, giving Rs.1,060,000.</t>
        </is>
      </c>
      <c r="D355" s="17" t="inlineStr">
        <is>
          <t>PROV-M051-003: Western Province Financial Statute s.106 definition of "value", paragraph (c)
PROV-M051-008: Western Province Financial Statute s.63
Facts: BG-1, BG-2</t>
        </is>
      </c>
      <c r="E355" s="17" t="inlineStr">
        <is>
          <t>[verified, support combined]</t>
        </is>
      </c>
      <c r="F355" s="21" t="n"/>
      <c r="G355" s="21" t="n"/>
      <c r="H355" s="21" t="n"/>
      <c r="I355" s="21" t="n"/>
      <c r="J355" s="21" t="n"/>
      <c r="K355" s="17">
        <f>IF(OR(A355="",B355=""),"",IF(AND(F355&lt;&gt;"",H355&lt;&gt;"",J355&lt;&gt;""),"Complete","Pending"))</f>
        <v/>
      </c>
    </row>
    <row r="356">
      <c r="A356" s="19" t="inlineStr">
        <is>
          <t>M051-Q01</t>
        </is>
      </c>
      <c r="B356" s="19" t="inlineStr">
        <is>
          <t>CL-M051-Q01-009</t>
        </is>
      </c>
      <c r="C356" s="17" t="inlineStr">
        <is>
          <t>[application] The second comparison figure is the Assessor's opinion of the open-market price at the date of the Deed of Gift, which on the facts as given is Rs.9,000,000.</t>
        </is>
      </c>
      <c r="D356" s="17" t="inlineStr">
        <is>
          <t>PROV-M051-003: Western Province Financial Statute s.106 definition of "value", paragraph (c)
Facts: BG-3</t>
        </is>
      </c>
      <c r="E356" s="17" t="inlineStr">
        <is>
          <t>[verified, support direct]</t>
        </is>
      </c>
      <c r="F356" s="21" t="n"/>
      <c r="G356" s="21" t="n"/>
      <c r="H356" s="21" t="n"/>
      <c r="I356" s="21" t="n"/>
      <c r="J356" s="21" t="n"/>
      <c r="K356" s="17">
        <f>IF(OR(A356="",B356=""),"",IF(AND(F356&lt;&gt;"",H356&lt;&gt;"",J356&lt;&gt;""),"Complete","Pending"))</f>
        <v/>
      </c>
    </row>
    <row r="357">
      <c r="A357" s="19" t="inlineStr">
        <is>
          <t>M051-Q01</t>
        </is>
      </c>
      <c r="B357" s="19" t="inlineStr">
        <is>
          <t>CL-M051-Q01-010</t>
        </is>
      </c>
      <c r="C357" s="17" t="inlineStr">
        <is>
          <t>[conclusion] Taking the lower of Rs.1,060,000 and Rs.9,000,000, the Assessor arrives at a value of Rs.1,060,000 for the purpose of stamp duty on this Deed of Gift.</t>
        </is>
      </c>
      <c r="D357" s="17" t="inlineStr">
        <is>
          <t>PROV-M051-002: Western Province Financial Statute s.48 (1)
PROV-M051-003: Western Province Financial Statute s.106 definition of "value", paragraph (c)
Facts: BG-1, BG-2, BG-3</t>
        </is>
      </c>
      <c r="E357" s="17" t="inlineStr">
        <is>
          <t>[verified, support combined]</t>
        </is>
      </c>
      <c r="F357" s="21" t="n"/>
      <c r="G357" s="21" t="n"/>
      <c r="H357" s="21" t="n"/>
      <c r="I357" s="21" t="n"/>
      <c r="J357" s="21" t="n"/>
      <c r="K357" s="17">
        <f>IF(OR(A357="",B357=""),"",IF(AND(F357&lt;&gt;"",H357&lt;&gt;"",J357&lt;&gt;""),"Complete","Pending"))</f>
        <v/>
      </c>
    </row>
    <row r="358">
      <c r="A358" s="19" t="inlineStr">
        <is>
          <t>M051-Q01</t>
        </is>
      </c>
      <c r="B358" s="19" t="inlineStr">
        <is>
          <t>CL-M051-Q01-011</t>
        </is>
      </c>
      <c r="C358" s="17" t="inlineStr">
        <is>
          <t>[conclusion] The value so arrived at remains the Assessor's opinion of the open-market price at each date, so the figures in the scenario are evidence of value rather than binding on him.</t>
        </is>
      </c>
      <c r="D358" s="17" t="inlineStr">
        <is>
          <t>PROV-M051-003: Western Province Financial Statute s.106 definition of "value", paragraph (c)
PROV-M051-008: Western Province Financial Statute s.63</t>
        </is>
      </c>
      <c r="E358" s="17" t="inlineStr">
        <is>
          <t>[verified, support inferential]</t>
        </is>
      </c>
      <c r="F358" s="21" t="n"/>
      <c r="G358" s="21" t="n"/>
      <c r="H358" s="21" t="n"/>
      <c r="I358" s="21" t="n"/>
      <c r="J358" s="21" t="n"/>
      <c r="K358" s="17">
        <f>IF(OR(A358="",B358=""),"",IF(AND(F358&lt;&gt;"",H358&lt;&gt;"",J358&lt;&gt;""),"Complete","Pending"))</f>
        <v/>
      </c>
    </row>
    <row r="359">
      <c r="A359" s="19" t="inlineStr">
        <is>
          <t>M052-Q01</t>
        </is>
      </c>
      <c r="B359" s="19" t="inlineStr">
        <is>
          <t>CL-M052-Q01-001</t>
        </is>
      </c>
      <c r="C359" s="17" t="inlineStr">
        <is>
          <t>[rule] Before drawing a deed affecting an interest in land the notary must search the registers in the land registry to ascertain the state of the title and whether any prior deed affecting the land has been registered.</t>
        </is>
      </c>
      <c r="D359" s="17" t="inlineStr">
        <is>
          <t>PROV-M052-001: Notaries Ordinance No. 1 of 1907 s.31 rule (17)(a)
PROV-M052-901: Notaries Ordinance No. 1 of 1907 s.31(proviso to rule (17))</t>
        </is>
      </c>
      <c r="E359" s="17" t="inlineStr">
        <is>
          <t>[verified, support direct]</t>
        </is>
      </c>
      <c r="F359" s="21" t="n"/>
      <c r="G359" s="21" t="n"/>
      <c r="H359" s="21" t="n"/>
      <c r="I359" s="21" t="n"/>
      <c r="J359" s="21" t="n"/>
      <c r="K359" s="17">
        <f>IF(OR(A359="",B359=""),"",IF(AND(F359&lt;&gt;"",H359&lt;&gt;"",J359&lt;&gt;""),"Complete","Pending"))</f>
        <v/>
      </c>
    </row>
    <row r="360">
      <c r="A360" s="19" t="inlineStr">
        <is>
          <t>M052-Q01</t>
        </is>
      </c>
      <c r="B360" s="19" t="inlineStr">
        <is>
          <t>CL-M052-Q01-002</t>
        </is>
      </c>
      <c r="C360" s="17" t="inlineStr">
        <is>
          <t>[rule] The registry books, duplicates and indexes may be searched by a person interested or his attorney-at-law, and certified copies of or extracts from them may be obtained.</t>
        </is>
      </c>
      <c r="D360" s="17" t="inlineStr">
        <is>
          <t>PROV-M052-005: Registration of Documents Ordinance No. 23 of 1927 s.42</t>
        </is>
      </c>
      <c r="E360" s="17" t="inlineStr">
        <is>
          <t>[verified, support direct]</t>
        </is>
      </c>
      <c r="F360" s="21" t="n"/>
      <c r="G360" s="21" t="n"/>
      <c r="H360" s="21" t="n"/>
      <c r="I360" s="21" t="n"/>
      <c r="J360" s="21" t="n"/>
      <c r="K360" s="17">
        <f>IF(OR(A360="",B360=""),"",IF(AND(F360&lt;&gt;"",H360&lt;&gt;"",J360&lt;&gt;""),"Complete","Pending"))</f>
        <v/>
      </c>
    </row>
    <row r="361">
      <c r="A361" s="19" t="inlineStr">
        <is>
          <t>M052-Q01</t>
        </is>
      </c>
      <c r="B361" s="19" t="inlineStr">
        <is>
          <t>CL-M052-Q01-003</t>
        </is>
      </c>
      <c r="C361" s="17" t="inlineStr">
        <is>
          <t>[rule] An unregistered instrument is void against a later instrument affecting the same land that was taken for valuable consideration and duly registered.</t>
        </is>
      </c>
      <c r="D361" s="17" t="inlineStr">
        <is>
          <t>PROV-M052-004: Registration of Documents Ordinance No. 23 of 1927 s.7 (1)</t>
        </is>
      </c>
      <c r="E361" s="17" t="inlineStr">
        <is>
          <t>[verified, support direct]</t>
        </is>
      </c>
      <c r="F361" s="21" t="n"/>
      <c r="G361" s="21" t="n"/>
      <c r="H361" s="21" t="n"/>
      <c r="I361" s="21" t="n"/>
      <c r="J361" s="21" t="n"/>
      <c r="K361" s="17">
        <f>IF(OR(A361="",B361=""),"",IF(AND(F361&lt;&gt;"",H361&lt;&gt;"",J361&lt;&gt;""),"Complete","Pending"))</f>
        <v/>
      </c>
    </row>
    <row r="362">
      <c r="A362" s="19" t="inlineStr">
        <is>
          <t>M052-Q01</t>
        </is>
      </c>
      <c r="B362" s="19" t="inlineStr">
        <is>
          <t>CL-M052-Q01-004</t>
        </is>
      </c>
      <c r="C362" s="17" t="inlineStr">
        <is>
          <t>[rule] The notary attesting a transfer of immovable property must use his best endeavours to obtain the title deed of that property.</t>
        </is>
      </c>
      <c r="D362" s="17" t="inlineStr">
        <is>
          <t>PROV-M052-002: Notaries Ordinance No. 1 of 1907 s.31 rule (33)</t>
        </is>
      </c>
      <c r="E362" s="17" t="inlineStr">
        <is>
          <t>[verified, support direct]</t>
        </is>
      </c>
      <c r="F362" s="21" t="n"/>
      <c r="G362" s="21" t="n"/>
      <c r="H362" s="21" t="n"/>
      <c r="I362" s="21" t="n"/>
      <c r="J362" s="21" t="n"/>
      <c r="K362" s="17">
        <f>IF(OR(A362="",B362=""),"",IF(AND(F362&lt;&gt;"",H362&lt;&gt;"",J362&lt;&gt;""),"Complete","Pending"))</f>
        <v/>
      </c>
    </row>
    <row r="363">
      <c r="A363" s="19" t="inlineStr">
        <is>
          <t>M052-Q01</t>
        </is>
      </c>
      <c r="B363" s="19" t="inlineStr">
        <is>
          <t>CL-M052-Q01-005</t>
        </is>
      </c>
      <c r="C363" s="17" t="inlineStr">
        <is>
          <t>[rule] Only a writing executed before and attested by a notary can operate as a sale, transfer or mortgage of immovable property.</t>
        </is>
      </c>
      <c r="D363" s="17" t="inlineStr">
        <is>
          <t>PROV-M052-007: Prevention of Frauds Ordinance No. 7 of 1840 s.2 (1)</t>
        </is>
      </c>
      <c r="E363" s="17" t="inlineStr">
        <is>
          <t>[disputed, support direct]</t>
        </is>
      </c>
      <c r="F363" s="21" t="n"/>
      <c r="G363" s="21" t="n"/>
      <c r="H363" s="21" t="n"/>
      <c r="I363" s="21" t="n"/>
      <c r="J363" s="21" t="n"/>
      <c r="K363" s="17">
        <f>IF(OR(A363="",B363=""),"",IF(AND(F363&lt;&gt;"",H363&lt;&gt;"",J363&lt;&gt;""),"Complete","Pending"))</f>
        <v/>
      </c>
    </row>
    <row r="364">
      <c r="A364" s="19" t="inlineStr">
        <is>
          <t>M052-Q01</t>
        </is>
      </c>
      <c r="B364" s="19" t="inlineStr">
        <is>
          <t>CL-M052-Q01-006</t>
        </is>
      </c>
      <c r="C364" s="17" t="inlineStr">
        <is>
          <t>[rule] The deed and every registrable instrument must describe the land by its boundaries, extent and situation, in the body or in an annexed schedule.</t>
        </is>
      </c>
      <c r="D364" s="17" t="inlineStr">
        <is>
          <t>PROV-M052-003: Notaries Ordinance No. 1 of 1907 s.31 rule (16)(a)
PROV-M052-006: Registration of Documents Ordinance No. 23 of 1927 s.13 (1)</t>
        </is>
      </c>
      <c r="E364" s="17" t="inlineStr">
        <is>
          <t>[verified, support combined]</t>
        </is>
      </c>
      <c r="F364" s="21" t="n"/>
      <c r="G364" s="21" t="n"/>
      <c r="H364" s="21" t="n"/>
      <c r="I364" s="21" t="n"/>
      <c r="J364" s="21" t="n"/>
      <c r="K364" s="17">
        <f>IF(OR(A364="",B364=""),"",IF(AND(F364&lt;&gt;"",H364&lt;&gt;"",J364&lt;&gt;""),"Complete","Pending"))</f>
        <v/>
      </c>
    </row>
    <row r="365">
      <c r="A365" s="19" t="inlineStr">
        <is>
          <t>M052-Q01</t>
        </is>
      </c>
      <c r="B365" s="19" t="inlineStr">
        <is>
          <t>CL-M052-Q01-007</t>
        </is>
      </c>
      <c r="C365" s="17" t="inlineStr">
        <is>
          <t>[rule] An instrument chargeable with stamp duty cannot be registered, authenticated or acted upon unless it is duly stamped.</t>
        </is>
      </c>
      <c r="D365" s="17" t="inlineStr">
        <is>
          <t>PROV-M052-017: Stamp Duty Act No. 43 of 1982 s.33 (1)</t>
        </is>
      </c>
      <c r="E365" s="17" t="inlineStr">
        <is>
          <t>[verified, support direct]</t>
        </is>
      </c>
      <c r="F365" s="21" t="n"/>
      <c r="G365" s="21" t="n"/>
      <c r="H365" s="21" t="n"/>
      <c r="I365" s="21" t="n"/>
      <c r="J365" s="21" t="n"/>
      <c r="K365" s="17">
        <f>IF(OR(A365="",B365=""),"",IF(AND(F365&lt;&gt;"",H365&lt;&gt;"",J365&lt;&gt;""),"Complete","Pending"))</f>
        <v/>
      </c>
    </row>
    <row r="366">
      <c r="A366" s="19" t="inlineStr">
        <is>
          <t>M052-Q01</t>
        </is>
      </c>
      <c r="B366" s="19" t="inlineStr">
        <is>
          <t>CL-M052-Q01-008</t>
        </is>
      </c>
      <c r="C366" s="17" t="inlineStr">
        <is>
          <t>[rule] Ten years of undisturbed and uninterrupted possession adverse to the paper owner entitles the possessor to a decree in his favour.</t>
        </is>
      </c>
      <c r="D366" s="17" t="inlineStr">
        <is>
          <t>PROV-M052-018: Prescription Ordinance No. 22 of 1871 s.3</t>
        </is>
      </c>
      <c r="E366" s="17" t="inlineStr">
        <is>
          <t>[verified, support direct]</t>
        </is>
      </c>
      <c r="F366" s="21" t="n"/>
      <c r="G366" s="21" t="n"/>
      <c r="H366" s="21" t="n"/>
      <c r="I366" s="21" t="n"/>
      <c r="J366" s="21" t="n"/>
      <c r="K366" s="17">
        <f>IF(OR(A366="",B366=""),"",IF(AND(F366&lt;&gt;"",H366&lt;&gt;"",J366&lt;&gt;""),"Complete","Pending"))</f>
        <v/>
      </c>
    </row>
    <row r="367">
      <c r="A367" s="19" t="inlineStr">
        <is>
          <t>M052-Q01</t>
        </is>
      </c>
      <c r="B367" s="19" t="inlineStr">
        <is>
          <t>CL-M052-Q01-009</t>
        </is>
      </c>
      <c r="C367" s="17" t="inlineStr">
        <is>
          <t>[rule] A transfer of ownership of a rubber estate is null and void unless a certificate of consent of the Board has been previously obtained, and that certificate must be attached to the deed and recited in the attestation.</t>
        </is>
      </c>
      <c r="D367" s="17" t="inlineStr">
        <is>
          <t>PROV-M052-008: Tea and Rubber Estates (Control of Fragmentation) Act No. 2 of 1958 s.3 (1)
PROV-M052-009: Tea and Rubber Estates (Control of Fragmentation) Act No. 2 of 1958 s.3 (4)</t>
        </is>
      </c>
      <c r="E367" s="17" t="inlineStr">
        <is>
          <t>[verified, support combined]</t>
        </is>
      </c>
      <c r="F367" s="21" t="n"/>
      <c r="G367" s="21" t="n"/>
      <c r="H367" s="21" t="n"/>
      <c r="I367" s="21" t="n"/>
      <c r="J367" s="21" t="n"/>
      <c r="K367" s="17">
        <f>IF(OR(A367="",B367=""),"",IF(AND(F367&lt;&gt;"",H367&lt;&gt;"",J367&lt;&gt;""),"Complete","Pending"))</f>
        <v/>
      </c>
    </row>
    <row r="368">
      <c r="A368" s="19" t="inlineStr">
        <is>
          <t>M052-Q01</t>
        </is>
      </c>
      <c r="B368" s="19" t="inlineStr">
        <is>
          <t>CL-M052-Q01-010</t>
        </is>
      </c>
      <c r="C368" s="17" t="inlineStr">
        <is>
          <t>[rule] For that Act a rubber estate means an estate of not less than one hundred acres in extent which is or is deemed to be registered under the Rubber Control Act.</t>
        </is>
      </c>
      <c r="D368" s="17" t="inlineStr">
        <is>
          <t>PROV-M052-010: Tea and Rubber Estates (Control of Fragmentation) Act No. 2 of 1958 s.25 definition of rubber estate</t>
        </is>
      </c>
      <c r="E368" s="17" t="inlineStr">
        <is>
          <t>[verified, support direct]</t>
        </is>
      </c>
      <c r="F368" s="21" t="n"/>
      <c r="G368" s="21" t="n"/>
      <c r="H368" s="21" t="n"/>
      <c r="I368" s="21" t="n"/>
      <c r="J368" s="21" t="n"/>
      <c r="K368" s="17">
        <f>IF(OR(A368="",B368=""),"",IF(AND(F368&lt;&gt;"",H368&lt;&gt;"",J368&lt;&gt;""),"Complete","Pending"))</f>
        <v/>
      </c>
    </row>
    <row r="369">
      <c r="A369" s="19" t="inlineStr">
        <is>
          <t>M052-Q01</t>
        </is>
      </c>
      <c r="B369" s="19" t="inlineStr">
        <is>
          <t>CL-M052-Q01-011</t>
        </is>
      </c>
      <c r="C369" s="17" t="inlineStr">
        <is>
          <t>[rule] The maximum extent of agricultural land that may be owned by any person is fifty acres where the land is not exclusively paddy, and where such land is owned by a private company its shareholders are deemed to own it in proportion to their shares.</t>
        </is>
      </c>
      <c r="D369" s="17" t="inlineStr">
        <is>
          <t>PROV-M052-015: Land Reform Law No. 1 of 1972 s.3 (1)
PROV-M052-016: Land Reform Law No. 1 of 1972 s.8</t>
        </is>
      </c>
      <c r="E369" s="17" t="inlineStr">
        <is>
          <t>[verified, support combined]</t>
        </is>
      </c>
      <c r="F369" s="21" t="n"/>
      <c r="G369" s="21" t="n"/>
      <c r="H369" s="21" t="n"/>
      <c r="I369" s="21" t="n"/>
      <c r="J369" s="21" t="n"/>
      <c r="K369" s="17">
        <f>IF(OR(A369="",B369=""),"",IF(AND(F369&lt;&gt;"",H369&lt;&gt;"",J369&lt;&gt;""),"Complete","Pending"))</f>
        <v/>
      </c>
    </row>
    <row r="370">
      <c r="A370" s="19" t="inlineStr">
        <is>
          <t>M052-Q01</t>
        </is>
      </c>
      <c r="B370" s="19" t="inlineStr">
        <is>
          <t>CL-M052-Q01-012</t>
        </is>
      </c>
      <c r="C370" s="17" t="inlineStr">
        <is>
          <t>[rule] Transfer of title of land to a company incorporated in Sri Lanka is prohibited where direct or indirect foreign shareholding in that company is fifty per cent or above.</t>
        </is>
      </c>
      <c r="D370" s="17" t="inlineStr">
        <is>
          <t>PROV-M052-011: Land (Restrictions on Alienation) Act No. 38 of 2014 s.2 (1)
PROV-M052-013: Land (Restrictions on Alienation) Act No. 38 of 2014 s.25 definitions of foreigner and foreign company</t>
        </is>
      </c>
      <c r="E370" s="17" t="inlineStr">
        <is>
          <t>[verified, support combined]</t>
        </is>
      </c>
      <c r="F370" s="21" t="n"/>
      <c r="G370" s="21" t="n"/>
      <c r="H370" s="21" t="n"/>
      <c r="I370" s="21" t="n"/>
      <c r="J370" s="21" t="n"/>
      <c r="K370" s="17">
        <f>IF(OR(A370="",B370=""),"",IF(AND(F370&lt;&gt;"",H370&lt;&gt;"",J370&lt;&gt;""),"Complete","Pending"))</f>
        <v/>
      </c>
    </row>
    <row r="371">
      <c r="A371" s="19" t="inlineStr">
        <is>
          <t>M052-Q01</t>
        </is>
      </c>
      <c r="B371" s="19" t="inlineStr">
        <is>
          <t>CL-M052-Q01-013</t>
        </is>
      </c>
      <c r="C371" s="17" t="inlineStr">
        <is>
          <t>[rule] Where the transferee is a company incorporated in Sri Lanka with less than fifty per cent foreign shareholding, the Registrar of Lands must require the company secretary to submit documentary proof that foreign shareholding is below fifty per cent.</t>
        </is>
      </c>
      <c r="D371" s="17" t="inlineStr">
        <is>
          <t>PROV-M052-012: Land (Restrictions on Alienation) Act No. 38 of 2014 s.4 (3)</t>
        </is>
      </c>
      <c r="E371" s="17" t="inlineStr">
        <is>
          <t>[verified, support direct]</t>
        </is>
      </c>
      <c r="F371" s="21" t="n"/>
      <c r="G371" s="21" t="n"/>
      <c r="H371" s="21" t="n"/>
      <c r="I371" s="21" t="n"/>
      <c r="J371" s="21" t="n"/>
      <c r="K371" s="17">
        <f>IF(OR(A371="",B371=""),"",IF(AND(F371&lt;&gt;"",H371&lt;&gt;"",J371&lt;&gt;""),"Complete","Pending"))</f>
        <v/>
      </c>
    </row>
    <row r="372">
      <c r="A372" s="19" t="inlineStr">
        <is>
          <t>M052-Q01</t>
        </is>
      </c>
      <c r="B372" s="19" t="inlineStr">
        <is>
          <t>CL-M052-Q01-014</t>
        </is>
      </c>
      <c r="C372" s="17" t="inlineStr">
        <is>
          <t>[rule] A company must keep its certificate of incorporation, articles, share register, register of directors and secretaries and register of charges available for inspection.</t>
        </is>
      </c>
      <c r="D372" s="17" t="inlineStr">
        <is>
          <t>PROV-M052-014: Companies Act No. 7 of 2007 s.120 (1)</t>
        </is>
      </c>
      <c r="E372" s="17" t="inlineStr">
        <is>
          <t>[verified, support direct]</t>
        </is>
      </c>
      <c r="F372" s="21" t="n"/>
      <c r="G372" s="21" t="n"/>
      <c r="H372" s="21" t="n"/>
      <c r="I372" s="21" t="n"/>
      <c r="J372" s="21" t="n"/>
      <c r="K372" s="17">
        <f>IF(OR(A372="",B372=""),"",IF(AND(F372&lt;&gt;"",H372&lt;&gt;"",J372&lt;&gt;""),"Complete","Pending"))</f>
        <v/>
      </c>
    </row>
    <row r="373">
      <c r="A373" s="19" t="inlineStr">
        <is>
          <t>M052-Q01</t>
        </is>
      </c>
      <c r="B373" s="19" t="inlineStr">
        <is>
          <t>CL-M052-Q01-015</t>
        </is>
      </c>
      <c r="C373" s="17" t="inlineStr">
        <is>
          <t>[application] The vendor's chain of notarial deeds, beginning with Deed of Transfer No. 4562 of 2003 and Deed of Gift No. 1120 of 1979, together with any testamentary or partition proceedings behind them, must be called for.</t>
        </is>
      </c>
      <c r="D373" s="17" t="inlineStr">
        <is>
          <t>PROV-M052-002: Notaries Ordinance No. 1 of 1907 s.31 rule (33)
PROV-M052-007: Prevention of Frauds Ordinance No. 7 of 1840 s.2 (1)
Facts: FACT-M052-Q01-004, BG-3</t>
        </is>
      </c>
      <c r="E373" s="17" t="inlineStr">
        <is>
          <t>[disputed, support combined]</t>
        </is>
      </c>
      <c r="F373" s="21" t="n"/>
      <c r="G373" s="21" t="n"/>
      <c r="H373" s="21" t="n"/>
      <c r="I373" s="21" t="n"/>
      <c r="J373" s="21" t="n"/>
      <c r="K373" s="17">
        <f>IF(OR(A373="",B373=""),"",IF(AND(F373&lt;&gt;"",H373&lt;&gt;"",J373&lt;&gt;""),"Complete","Pending"))</f>
        <v/>
      </c>
    </row>
    <row r="374">
      <c r="A374" s="19" t="inlineStr">
        <is>
          <t>M052-Q01</t>
        </is>
      </c>
      <c r="B374" s="19" t="inlineStr">
        <is>
          <t>CL-M052-Q01-016</t>
        </is>
      </c>
      <c r="C374" s="17" t="inlineStr">
        <is>
          <t>[application] A certified extract of the folio of the Kalutara Land Registry, with certified copies of the instruments noted on it, must be called for; it is what discloses the registered mortgage bond and it governs priority between the purchaser and earlier claimants.</t>
        </is>
      </c>
      <c r="D374" s="17" t="inlineStr">
        <is>
          <t>PROV-M052-001: Notaries Ordinance No. 1 of 1907 s.31 rule (17)(a)
PROV-M052-004: Registration of Documents Ordinance No. 23 of 1927 s.7 (1)
PROV-M052-005: Registration of Documents Ordinance No. 23 of 1927 s.42
Facts: FACT-M052-Q01-005</t>
        </is>
      </c>
      <c r="E374" s="17" t="inlineStr">
        <is>
          <t>[verified, support combined]</t>
        </is>
      </c>
      <c r="F374" s="21" t="n"/>
      <c r="G374" s="21" t="n"/>
      <c r="H374" s="21" t="n"/>
      <c r="I374" s="21" t="n"/>
      <c r="J374" s="21" t="n"/>
      <c r="K374" s="17">
        <f>IF(OR(A374="",B374=""),"",IF(AND(F374&lt;&gt;"",H374&lt;&gt;"",J374&lt;&gt;""),"Complete","Pending"))</f>
        <v/>
      </c>
    </row>
    <row r="375">
      <c r="A375" s="19" t="inlineStr">
        <is>
          <t>M052-Q01</t>
        </is>
      </c>
      <c r="B375" s="19" t="inlineStr">
        <is>
          <t>CL-M052-Q01-017</t>
        </is>
      </c>
      <c r="C375" s="17" t="inlineStr">
        <is>
          <t>[application] The discharge or release of Mortgage Bond No. 987 of 2016 must be called for, because the vendor's statement that the loan has been settled does not remove the entry from the register.</t>
        </is>
      </c>
      <c r="D375" s="17" t="inlineStr">
        <is>
          <t>PROV-M052-004: Registration of Documents Ordinance No. 23 of 1927 s.7 (1)
Facts: FACT-M052-Q01-005</t>
        </is>
      </c>
      <c r="E375" s="17" t="inlineStr">
        <is>
          <t>[disputed, support combined]</t>
        </is>
      </c>
      <c r="F375" s="21" t="n"/>
      <c r="G375" s="21" t="n"/>
      <c r="H375" s="21" t="n"/>
      <c r="I375" s="21" t="n"/>
      <c r="J375" s="21" t="n"/>
      <c r="K375" s="17">
        <f>IF(OR(A375="",B375=""),"",IF(AND(F375&lt;&gt;"",H375&lt;&gt;"",J375&lt;&gt;""),"Complete","Pending"))</f>
        <v/>
      </c>
    </row>
    <row r="376">
      <c r="A376" s="19" t="inlineStr">
        <is>
          <t>M052-Q01</t>
        </is>
      </c>
      <c r="B376" s="19" t="inlineStr">
        <is>
          <t>CL-M052-Q01-018</t>
        </is>
      </c>
      <c r="C376" s="17" t="inlineStr">
        <is>
          <t>[application] Plan No. 2143 of 1998 and a current survey plan and report must be called for so that the boundaries and extent stated in the deeds can be checked against the ground.</t>
        </is>
      </c>
      <c r="D376" s="17" t="inlineStr">
        <is>
          <t>PROV-M052-003: Notaries Ordinance No. 1 of 1907 s.31 rule (16)(a)
PROV-M052-006: Registration of Documents Ordinance No. 23 of 1927 s.13 (1)
Facts: FACT-M052-Q01-003</t>
        </is>
      </c>
      <c r="E376" s="17" t="inlineStr">
        <is>
          <t>[verified, support combined]</t>
        </is>
      </c>
      <c r="F376" s="21" t="n"/>
      <c r="G376" s="21" t="n"/>
      <c r="H376" s="21" t="n"/>
      <c r="I376" s="21" t="n"/>
      <c r="J376" s="21" t="n"/>
      <c r="K376" s="17">
        <f>IF(OR(A376="",B376=""),"",IF(AND(F376&lt;&gt;"",H376&lt;&gt;"",J376&lt;&gt;""),"Complete","Pending"))</f>
        <v/>
      </c>
    </row>
    <row r="377">
      <c r="A377" s="19" t="inlineStr">
        <is>
          <t>M052-Q01</t>
        </is>
      </c>
      <c r="B377" s="19" t="inlineStr">
        <is>
          <t>CL-M052-Q01-019</t>
        </is>
      </c>
      <c r="C377" s="17" t="inlineStr">
        <is>
          <t>[application] Evidence of possession must be called for, and the two acres fenced by the neighbour for fifteen years must be identified on the survey, because possession of that length may have displaced the paper title to that portion.</t>
        </is>
      </c>
      <c r="D377" s="17" t="inlineStr">
        <is>
          <t>PROV-M052-018: Prescription Ordinance No. 22 of 1871 s.3
Facts: FACT-M052-Q01-006</t>
        </is>
      </c>
      <c r="E377" s="17" t="inlineStr">
        <is>
          <t>[verified, support combined]</t>
        </is>
      </c>
      <c r="F377" s="21" t="n"/>
      <c r="G377" s="21" t="n"/>
      <c r="H377" s="21" t="n"/>
      <c r="I377" s="21" t="n"/>
      <c r="J377" s="21" t="n"/>
      <c r="K377" s="17">
        <f>IF(OR(A377="",B377=""),"",IF(AND(F377&lt;&gt;"",H377&lt;&gt;"",J377&lt;&gt;""),"Complete","Pending"))</f>
        <v/>
      </c>
    </row>
    <row r="378">
      <c r="A378" s="19" t="inlineStr">
        <is>
          <t>M052-Q01</t>
        </is>
      </c>
      <c r="B378" s="19" t="inlineStr">
        <is>
          <t>CL-M052-Q01-020</t>
        </is>
      </c>
      <c r="C378" s="17" t="inlineStr">
        <is>
          <t>[application] Proof that stamp duty was duly paid on each deed in the chain must be called for.</t>
        </is>
      </c>
      <c r="D378" s="17" t="inlineStr">
        <is>
          <t>PROV-M052-017: Stamp Duty Act No. 43 of 1982 s.33 (1)
Facts: FACT-M052-Q01-004</t>
        </is>
      </c>
      <c r="E378" s="17" t="inlineStr">
        <is>
          <t>[verified, support combined]</t>
        </is>
      </c>
      <c r="F378" s="21" t="n"/>
      <c r="G378" s="21" t="n"/>
      <c r="H378" s="21" t="n"/>
      <c r="I378" s="21" t="n"/>
      <c r="J378" s="21" t="n"/>
      <c r="K378" s="17">
        <f>IF(OR(A378="",B378=""),"",IF(AND(F378&lt;&gt;"",H378&lt;&gt;"",J378&lt;&gt;""),"Complete","Pending"))</f>
        <v/>
      </c>
    </row>
    <row r="379">
      <c r="A379" s="19" t="inlineStr">
        <is>
          <t>M052-Q01</t>
        </is>
      </c>
      <c r="B379" s="19" t="inlineStr">
        <is>
          <t>CL-M052-Q01-021</t>
        </is>
      </c>
      <c r="C379" s="17" t="inlineStr">
        <is>
          <t>[application] Documents establishing the extent and the registration status of the estate must be called for; the estate is twenty acres, which is below the hundred-acre threshold, so a certificate of consent of the fragmentation Board is not required for this transfer.</t>
        </is>
      </c>
      <c r="D379" s="17" t="inlineStr">
        <is>
          <t>PROV-M052-008: Tea and Rubber Estates (Control of Fragmentation) Act No. 2 of 1958 s.3 (1)
PROV-M052-010: Tea and Rubber Estates (Control of Fragmentation) Act No. 2 of 1958 s.25 definition of rubber estate
Facts: BG-2</t>
        </is>
      </c>
      <c r="E379" s="17" t="inlineStr">
        <is>
          <t>[verified, support combined]</t>
        </is>
      </c>
      <c r="F379" s="21" t="n"/>
      <c r="G379" s="21" t="n"/>
      <c r="H379" s="21" t="n"/>
      <c r="I379" s="21" t="n"/>
      <c r="J379" s="21" t="n"/>
      <c r="K379" s="17">
        <f>IF(OR(A379="",B379=""),"",IF(AND(F379&lt;&gt;"",H379&lt;&gt;"",J379&lt;&gt;""),"Complete","Pending"))</f>
        <v/>
      </c>
    </row>
    <row r="380">
      <c r="A380" s="19" t="inlineStr">
        <is>
          <t>M052-Q01</t>
        </is>
      </c>
      <c r="B380" s="19" t="inlineStr">
        <is>
          <t>CL-M052-Q01-022</t>
        </is>
      </c>
      <c r="C380" s="17" t="inlineStr">
        <is>
          <t>[application] Declarations of the agricultural landholdings of the vendor and of the shareholders of the purchaser company must be called for, so that the fifty-acre ceiling can be tested against both.</t>
        </is>
      </c>
      <c r="D380" s="17" t="inlineStr">
        <is>
          <t>PROV-M052-015: Land Reform Law No. 1 of 1972 s.3 (1)
PROV-M052-016: Land Reform Law No. 1 of 1972 s.8
PROV-M052-902: Land Reform Law No. 1 of 1972 s.5 (1)
Facts: FACT-M052-Q01-007, FACT-M052-Q01-001</t>
        </is>
      </c>
      <c r="E380" s="17" t="inlineStr">
        <is>
          <t>[verified, support combined]</t>
        </is>
      </c>
      <c r="F380" s="21" t="n"/>
      <c r="G380" s="21" t="n"/>
      <c r="H380" s="21" t="n"/>
      <c r="I380" s="21" t="n"/>
      <c r="J380" s="21" t="n"/>
      <c r="K380" s="17">
        <f>IF(OR(A380="",B380=""),"",IF(AND(F380&lt;&gt;"",H380&lt;&gt;"",J380&lt;&gt;""),"Complete","Pending"))</f>
        <v/>
      </c>
    </row>
    <row r="381">
      <c r="A381" s="19" t="inlineStr">
        <is>
          <t>M052-Q01</t>
        </is>
      </c>
      <c r="B381" s="19" t="inlineStr">
        <is>
          <t>CL-M052-Q01-023</t>
        </is>
      </c>
      <c r="C381" s="17" t="inlineStr">
        <is>
          <t>[application] The purchaser's certificate of incorporation, articles, share register, register of directors and secretaries and a board resolution authorising the purchase must be called for.</t>
        </is>
      </c>
      <c r="D381" s="17" t="inlineStr">
        <is>
          <t>PROV-M052-014: Companies Act No. 7 of 2007 s.120 (1)
Facts: FACT-M052-Q01-002, BG-1</t>
        </is>
      </c>
      <c r="E381" s="17" t="inlineStr">
        <is>
          <t>[disputed, support combined]</t>
        </is>
      </c>
      <c r="F381" s="21" t="n"/>
      <c r="G381" s="21" t="n"/>
      <c r="H381" s="21" t="n"/>
      <c r="I381" s="21" t="n"/>
      <c r="J381" s="21" t="n"/>
      <c r="K381" s="17">
        <f>IF(OR(A381="",B381=""),"",IF(AND(F381&lt;&gt;"",H381&lt;&gt;"",J381&lt;&gt;""),"Complete","Pending"))</f>
        <v/>
      </c>
    </row>
    <row r="382">
      <c r="A382" s="19" t="inlineStr">
        <is>
          <t>M052-Q01</t>
        </is>
      </c>
      <c r="B382" s="19" t="inlineStr">
        <is>
          <t>CL-M052-Q01-024</t>
        </is>
      </c>
      <c r="C382" s="17" t="inlineStr">
        <is>
          <t>[application] Because thirty per cent of the purchaser's shares are held by a person who is not a citizen of Sri Lanka, a company secretary's certificate supported by the share register, showing foreign shareholding below fifty per cent, must be called for, failing which the Registrar of Lands will refuse registration.</t>
        </is>
      </c>
      <c r="D382" s="17" t="inlineStr">
        <is>
          <t>PROV-M052-011: Land (Restrictions on Alienation) Act No. 38 of 2014 s.2 (1)
PROV-M052-012: Land (Restrictions on Alienation) Act No. 38 of 2014 s.4 (3)
PROV-M052-013: Land (Restrictions on Alienation) Act No. 38 of 2014 s.25 definitions of foreigner and foreign company
Facts: FACT-M052-Q01-001</t>
        </is>
      </c>
      <c r="E382" s="17" t="inlineStr">
        <is>
          <t>[verified, support combined]</t>
        </is>
      </c>
      <c r="F382" s="21" t="n"/>
      <c r="G382" s="21" t="n"/>
      <c r="H382" s="21" t="n"/>
      <c r="I382" s="21" t="n"/>
      <c r="J382" s="21" t="n"/>
      <c r="K382" s="17">
        <f>IF(OR(A382="",B382=""),"",IF(AND(F382&lt;&gt;"",H382&lt;&gt;"",J382&lt;&gt;""),"Complete","Pending"))</f>
        <v/>
      </c>
    </row>
    <row r="383">
      <c r="A383" s="19" t="inlineStr">
        <is>
          <t>M052-Q01</t>
        </is>
      </c>
      <c r="B383" s="19" t="inlineStr">
        <is>
          <t>CL-M052-Q01-025</t>
        </is>
      </c>
      <c r="C383" s="17" t="inlineStr">
        <is>
          <t>[conclusion] The documents to be called for are the chain of notarial title deeds, a certified folio extract with certified copies of the registered instruments, the discharge of the registered bond, the survey plan and a current survey with possession evidence, proof of stamp duty on the chain, proof of the extent and registration status of the estate, declarations of agricultural landholdings, and the purchaser's corporate records including a secretary's certificate of foreign shareholding.</t>
        </is>
      </c>
      <c r="D383" s="17" t="inlineStr">
        <is>
          <t>PROV-M052-001: Notaries Ordinance No. 1 of 1907 s.31 rule (17)(a)
PROV-M052-002: Notaries Ordinance No. 1 of 1907 s.31 rule (33)
PROV-M052-005: Registration of Documents Ordinance No. 23 of 1927 s.42
PROV-M052-012: Land (Restrictions on Alienation) Act No. 38 of 2014 s.4 (3)
PROV-M052-014: Companies Act No. 7 of 2007 s.120 (1)
PROV-M052-017: Stamp Duty Act No. 43 of 1982 s.33 (1)
Facts: FACT-M052-Q01-001, FACT-M052-Q01-005, BG-2</t>
        </is>
      </c>
      <c r="E383" s="17" t="inlineStr">
        <is>
          <t>[verified, support combined]</t>
        </is>
      </c>
      <c r="F383" s="21" t="n"/>
      <c r="G383" s="21" t="n"/>
      <c r="H383" s="21" t="n"/>
      <c r="I383" s="21" t="n"/>
      <c r="J383" s="21" t="n"/>
      <c r="K383" s="17">
        <f>IF(OR(A383="",B383=""),"",IF(AND(F383&lt;&gt;"",H383&lt;&gt;"",J383&lt;&gt;""),"Complete","Pending"))</f>
        <v/>
      </c>
    </row>
    <row r="384">
      <c r="A384" s="19" t="inlineStr">
        <is>
          <t>M052-Q01</t>
        </is>
      </c>
      <c r="B384" s="19" t="inlineStr">
        <is>
          <t>CL-M052-Q01-026</t>
        </is>
      </c>
      <c r="C384" s="17" t="inlineStr">
        <is>
          <t>[conclusion] Examination on the papers alone is not sufficient here: the undischarged bond and the two acres held adversely must be resolved before the transfer is drawn.</t>
        </is>
      </c>
      <c r="D384" s="17" t="inlineStr">
        <is>
          <t>PROV-M052-004: Registration of Documents Ordinance No. 23 of 1927 s.7 (1)
PROV-M052-018: Prescription Ordinance No. 22 of 1871 s.3
Facts: FACT-M052-Q01-005, FACT-M052-Q01-006</t>
        </is>
      </c>
      <c r="E384" s="17" t="inlineStr">
        <is>
          <t>[verified, support combined]</t>
        </is>
      </c>
      <c r="F384" s="21" t="n"/>
      <c r="G384" s="21" t="n"/>
      <c r="H384" s="21" t="n"/>
      <c r="I384" s="21" t="n"/>
      <c r="J384" s="21" t="n"/>
      <c r="K384" s="17">
        <f>IF(OR(A384="",B384=""),"",IF(AND(F384&lt;&gt;"",H384&lt;&gt;"",J384&lt;&gt;""),"Complete","Pending"))</f>
        <v/>
      </c>
    </row>
    <row r="385">
      <c r="A385" s="19" t="inlineStr">
        <is>
          <t>M055-Q01</t>
        </is>
      </c>
      <c r="B385" s="19" t="inlineStr">
        <is>
          <t>CL-M055-Q01-001</t>
        </is>
      </c>
      <c r="C385" s="17" t="inlineStr">
        <is>
          <t>[rule] Because the land is a land parcel registered under the Registration of Title Act, it may be transferred or dealt with only in accordance with that Act, and any disposition otherwise effected is void.</t>
        </is>
      </c>
      <c r="D385" s="17" t="inlineStr">
        <is>
          <t>PROV-M055-001: Registration of Title Act, No. 21 of 1998 s.39
Facts: BG-1</t>
        </is>
      </c>
      <c r="E385" s="17" t="inlineStr">
        <is>
          <t>[verified, support direct]</t>
        </is>
      </c>
      <c r="F385" s="21" t="n"/>
      <c r="G385" s="21" t="n"/>
      <c r="H385" s="21" t="n"/>
      <c r="I385" s="21" t="n"/>
      <c r="J385" s="21" t="n"/>
      <c r="K385" s="17">
        <f>IF(OR(A385="",B385=""),"",IF(AND(F385&lt;&gt;"",H385&lt;&gt;"",J385&lt;&gt;""),"Complete","Pending"))</f>
        <v/>
      </c>
    </row>
    <row r="386">
      <c r="A386" s="19" t="inlineStr">
        <is>
          <t>M055-Q01</t>
        </is>
      </c>
      <c r="B386" s="19" t="inlineStr">
        <is>
          <t>CL-M055-Q01-002</t>
        </is>
      </c>
      <c r="C386" s="17" t="inlineStr">
        <is>
          <t>[rule] A deed of gift is an 'instrument' under the Act, and a life interest is an 'interest in land parcel', being an interest less than full ownership.</t>
        </is>
      </c>
      <c r="D386" s="17" t="inlineStr">
        <is>
          <t>PROV-M055-006: Registration of Title Act, No. 21 of 1998 s.75</t>
        </is>
      </c>
      <c r="E386" s="17" t="inlineStr">
        <is>
          <t>[verified, support direct]</t>
        </is>
      </c>
      <c r="F386" s="21" t="n"/>
      <c r="G386" s="21" t="n"/>
      <c r="H386" s="21" t="n"/>
      <c r="I386" s="21" t="n"/>
      <c r="J386" s="21" t="n"/>
      <c r="K386" s="17">
        <f>IF(OR(A386="",B386=""),"",IF(AND(F386&lt;&gt;"",H386&lt;&gt;"",J386&lt;&gt;""),"Complete","Pending"))</f>
        <v/>
      </c>
    </row>
    <row r="387">
      <c r="A387" s="19" t="inlineStr">
        <is>
          <t>M055-Q01</t>
        </is>
      </c>
      <c r="B387" s="19" t="inlineStr">
        <is>
          <t>CL-M055-Q01-003</t>
        </is>
      </c>
      <c r="C387" s="17" t="inlineStr">
        <is>
          <t>[rule] The Registrar of Title may not register an instrument purporting to convey title or an interest on a future event or condition, but a conveyance of title subject to a life interest is expressly acceptable for registration.</t>
        </is>
      </c>
      <c r="D387" s="17" t="inlineStr">
        <is>
          <t>PROV-M055-002: Registration of Title Act, No. 21 of 1998 s.46</t>
        </is>
      </c>
      <c r="E387" s="17" t="inlineStr">
        <is>
          <t>[verified, support direct]</t>
        </is>
      </c>
      <c r="F387" s="21" t="n"/>
      <c r="G387" s="21" t="n"/>
      <c r="H387" s="21" t="n"/>
      <c r="I387" s="21" t="n"/>
      <c r="J387" s="21" t="n"/>
      <c r="K387" s="17">
        <f>IF(OR(A387="",B387=""),"",IF(AND(F387&lt;&gt;"",H387&lt;&gt;"",J387&lt;&gt;""),"Complete","Pending"))</f>
        <v/>
      </c>
    </row>
    <row r="388">
      <c r="A388" s="19" t="inlineStr">
        <is>
          <t>M055-Q01</t>
        </is>
      </c>
      <c r="B388" s="19" t="inlineStr">
        <is>
          <t>CL-M055-Q01-004</t>
        </is>
      </c>
      <c r="C388" s="17" t="inlineStr">
        <is>
          <t>[rule] An instrument pertaining to the ownership of a registered land parcel made in favour of two or more persons in common is void and shall not be registered, except in accordance with the provisions of the Act.</t>
        </is>
      </c>
      <c r="D388" s="17" t="inlineStr">
        <is>
          <t>PROV-M055-003: Registration of Title Act, No. 21 of 1998 s.48</t>
        </is>
      </c>
      <c r="E388" s="17" t="inlineStr">
        <is>
          <t>[verified, support direct]</t>
        </is>
      </c>
      <c r="F388" s="21" t="n"/>
      <c r="G388" s="21" t="n"/>
      <c r="H388" s="21" t="n"/>
      <c r="I388" s="21" t="n"/>
      <c r="J388" s="21" t="n"/>
      <c r="K388" s="17">
        <f>IF(OR(A388="",B388=""),"",IF(AND(F388&lt;&gt;"",H388&lt;&gt;"",J388&lt;&gt;""),"Complete","Pending"))</f>
        <v/>
      </c>
    </row>
    <row r="389">
      <c r="A389" s="19" t="inlineStr">
        <is>
          <t>M055-Q01</t>
        </is>
      </c>
      <c r="B389" s="19" t="inlineStr">
        <is>
          <t>CL-M055-Q01-005</t>
        </is>
      </c>
      <c r="C389" s="17" t="inlineStr">
        <is>
          <t>[rule] No part of a parcel registered with a First Class Title of Absolute Ownership may be transferred or otherwise dealt with unless the registered owner has first sub-divided it and the sub-divided parcel has been registered.</t>
        </is>
      </c>
      <c r="D389" s="17" t="inlineStr">
        <is>
          <t>PROV-M055-004: Registration of Title Act, No. 21 of 1998 s.47</t>
        </is>
      </c>
      <c r="E389" s="17" t="inlineStr">
        <is>
          <t>[verified, support direct]</t>
        </is>
      </c>
      <c r="F389" s="21" t="n"/>
      <c r="G389" s="21" t="n"/>
      <c r="H389" s="21" t="n"/>
      <c r="I389" s="21" t="n"/>
      <c r="J389" s="21" t="n"/>
      <c r="K389" s="17">
        <f>IF(OR(A389="",B389=""),"",IF(AND(F389&lt;&gt;"",H389&lt;&gt;"",J389&lt;&gt;""),"Complete","Pending"))</f>
        <v/>
      </c>
    </row>
    <row r="390">
      <c r="A390" s="19" t="inlineStr">
        <is>
          <t>M055-Q01</t>
        </is>
      </c>
      <c r="B390" s="19" t="inlineStr">
        <is>
          <t>CL-M055-Q01-006</t>
        </is>
      </c>
      <c r="C390" s="17" t="inlineStr">
        <is>
          <t>[rule] A registered owner may sub-divide his land parcel by registering a sub-division plan in accordance with the Act.</t>
        </is>
      </c>
      <c r="D390" s="17" t="inlineStr">
        <is>
          <t>PROV-M055-005: Registration of Title Act, No. 21 of 1998 s.36(1)</t>
        </is>
      </c>
      <c r="E390" s="17" t="inlineStr">
        <is>
          <t>[verified, support direct]</t>
        </is>
      </c>
      <c r="F390" s="21" t="n"/>
      <c r="G390" s="21" t="n"/>
      <c r="H390" s="21" t="n"/>
      <c r="I390" s="21" t="n"/>
      <c r="J390" s="21" t="n"/>
      <c r="K390" s="17">
        <f>IF(OR(A390="",B390=""),"",IF(AND(F390&lt;&gt;"",H390&lt;&gt;"",J390&lt;&gt;""),"Complete","Pending"))</f>
        <v/>
      </c>
    </row>
    <row r="391">
      <c r="A391" s="19" t="inlineStr">
        <is>
          <t>M055-Q01</t>
        </is>
      </c>
      <c r="B391" s="19" t="inlineStr">
        <is>
          <t>CL-M055-Q01-007</t>
        </is>
      </c>
      <c r="C391" s="17" t="inlineStr">
        <is>
          <t>[rule] Any such instrument must be in the prescribed form, signed by the parties and two witnesses and attested by a Notary Public; it is registered only if the Registrar of Title is satisfied that the Act's requirements are met, takes effect only on registration, and until registration confers no title or interest on the donees.</t>
        </is>
      </c>
      <c r="D391" s="17" t="inlineStr">
        <is>
          <t>PROV-M055-007: Registration of Title Act, No. 21 of 1998 s.43
PROV-M055-010: Registration of Title Act, No. 21 of 1998 s.45(3)
PROV-M055-008: Registration of Title Act, No. 21 of 1998 s.49
PROV-M055-009: Registration of Title Act, No. 21 of 1998 s.38</t>
        </is>
      </c>
      <c r="E391" s="17" t="inlineStr">
        <is>
          <t>[verified, support combined]</t>
        </is>
      </c>
      <c r="F391" s="21" t="n"/>
      <c r="G391" s="21" t="n"/>
      <c r="H391" s="21" t="n"/>
      <c r="I391" s="21" t="n"/>
      <c r="J391" s="21" t="n"/>
      <c r="K391" s="17">
        <f>IF(OR(A391="",B391=""),"",IF(AND(F391&lt;&gt;"",H391&lt;&gt;"",J391&lt;&gt;""),"Complete","Pending"))</f>
        <v/>
      </c>
    </row>
    <row r="392">
      <c r="A392" s="19" t="inlineStr">
        <is>
          <t>M055-Q01</t>
        </is>
      </c>
      <c r="B392" s="19" t="inlineStr">
        <is>
          <t>CL-M055-Q01-008</t>
        </is>
      </c>
      <c r="C392" s="17" t="inlineStr">
        <is>
          <t>[application] The right Nimal wishes to keep for the rest of his life, to live on the land and take its produce, is a life interest, so a gift of the parcel reserving it falls within the proviso to section 46 and is acceptable for registration on that ground.</t>
        </is>
      </c>
      <c r="D392" s="17" t="inlineStr">
        <is>
          <t>PROV-M055-002: Registration of Title Act, No. 21 of 1998 s.46
PROV-M055-006: Registration of Title Act, No. 21 of 1998 s.75
Facts: FACT-M055-Q01-005, BG-2</t>
        </is>
      </c>
      <c r="E392" s="17" t="inlineStr">
        <is>
          <t>[verified, support combined]</t>
        </is>
      </c>
      <c r="F392" s="21" t="n"/>
      <c r="G392" s="21" t="n"/>
      <c r="H392" s="21" t="n"/>
      <c r="I392" s="21" t="n"/>
      <c r="J392" s="21" t="n"/>
      <c r="K392" s="17">
        <f>IF(OR(A392="",B392=""),"",IF(AND(F392&lt;&gt;"",H392&lt;&gt;"",J392&lt;&gt;""),"Complete","Pending"))</f>
        <v/>
      </c>
    </row>
    <row r="393">
      <c r="A393" s="19" t="inlineStr">
        <is>
          <t>M055-Q01</t>
        </is>
      </c>
      <c r="B393" s="19" t="inlineStr">
        <is>
          <t>CL-M055-Q01-009</t>
        </is>
      </c>
      <c r="C393" s="17" t="inlineStr">
        <is>
          <t>[application] A single deed of gift of the one registered parcel to both daughters in undivided equal half shares is an instrument in favour of two persons in common, so it would be void under section 48 and the Registrar of Title would refuse to register it.</t>
        </is>
      </c>
      <c r="D393" s="17" t="inlineStr">
        <is>
          <t>PROV-M055-003: Registration of Title Act, No. 21 of 1998 s.48
PROV-M055-010: Registration of Title Act, No. 21 of 1998 s.45(3)
Facts: FACT-M055-Q01-001, FACT-M055-Q01-004, BG-3</t>
        </is>
      </c>
      <c r="E393" s="17" t="inlineStr">
        <is>
          <t>[verified, support combined]</t>
        </is>
      </c>
      <c r="F393" s="21" t="n"/>
      <c r="G393" s="21" t="n"/>
      <c r="H393" s="21" t="n"/>
      <c r="I393" s="21" t="n"/>
      <c r="J393" s="21" t="n"/>
      <c r="K393" s="17">
        <f>IF(OR(A393="",B393=""),"",IF(AND(F393&lt;&gt;"",H393&lt;&gt;"",J393&lt;&gt;""),"Complete","Pending"))</f>
        <v/>
      </c>
    </row>
    <row r="394">
      <c r="A394" s="19" t="inlineStr">
        <is>
          <t>M055-Q01</t>
        </is>
      </c>
      <c r="B394" s="19" t="inlineStr">
        <is>
          <t>CL-M055-Q01-010</t>
        </is>
      </c>
      <c r="C394" s="17" t="inlineStr">
        <is>
          <t>[application] Because the parcel has never been sub-divided and no sub-division plan has been registered, he cannot instead gift a divided half of the existing parcel to each daughter.</t>
        </is>
      </c>
      <c r="D394" s="17" t="inlineStr">
        <is>
          <t>PROV-M055-004: Registration of Title Act, No. 21 of 1998 s.47
Facts: FACT-M055-Q01-001, FACT-M055-Q01-004</t>
        </is>
      </c>
      <c r="E394" s="17" t="inlineStr">
        <is>
          <t>[verified, support direct]</t>
        </is>
      </c>
      <c r="F394" s="21" t="n"/>
      <c r="G394" s="21" t="n"/>
      <c r="H394" s="21" t="n"/>
      <c r="I394" s="21" t="n"/>
      <c r="J394" s="21" t="n"/>
      <c r="K394" s="17">
        <f>IF(OR(A394="",B394=""),"",IF(AND(F394&lt;&gt;"",H394&lt;&gt;"",J394&lt;&gt;""),"Complete","Pending"))</f>
        <v/>
      </c>
    </row>
    <row r="395">
      <c r="A395" s="19" t="inlineStr">
        <is>
          <t>M055-Q01</t>
        </is>
      </c>
      <c r="B395" s="19" t="inlineStr">
        <is>
          <t>CL-M055-Q01-011</t>
        </is>
      </c>
      <c r="C395" s="17" t="inlineStr">
        <is>
          <t>[application] He may first apply to sub-divide the parcel and register a sub-division plan, and once each resulting land parcel is registered he may gift one parcel to each daughter by a separate notarially attested instrument reserving his life interest, each gift taking effect on registration.</t>
        </is>
      </c>
      <c r="D395" s="17" t="inlineStr">
        <is>
          <t>PROV-M055-005: Registration of Title Act, No. 21 of 1998 s.36(1)
PROV-M055-002: Registration of Title Act, No. 21 of 1998 s.46
PROV-M055-007: Registration of Title Act, No. 21 of 1998 s.43
PROV-M055-008: Registration of Title Act, No. 21 of 1998 s.49
Facts: FACT-M055-Q01-001, FACT-M055-Q01-003, FACT-M055-Q01-004, FACT-M055-Q01-005</t>
        </is>
      </c>
      <c r="E395" s="17" t="inlineStr">
        <is>
          <t>[verified, support combined]</t>
        </is>
      </c>
      <c r="F395" s="21" t="n"/>
      <c r="G395" s="21" t="n"/>
      <c r="H395" s="21" t="n"/>
      <c r="I395" s="21" t="n"/>
      <c r="J395" s="21" t="n"/>
      <c r="K395" s="17">
        <f>IF(OR(A395="",B395=""),"",IF(AND(F395&lt;&gt;"",H395&lt;&gt;"",J395&lt;&gt;""),"Complete","Pending"))</f>
        <v/>
      </c>
    </row>
    <row r="396">
      <c r="A396" s="19" t="inlineStr">
        <is>
          <t>M055-Q01</t>
        </is>
      </c>
      <c r="B396" s="19" t="inlineStr">
        <is>
          <t>CL-M055-Q01-012</t>
        </is>
      </c>
      <c r="C396" s="17" t="inlineStr">
        <is>
          <t>[application] Whether the forty-perch parcel can in fact be divided in two depends on the prescribed extent and on whether the area has been declared one in which the minimum economic unit principle applies, which cannot be determined on the facts given.</t>
        </is>
      </c>
      <c r="D396" s="17" t="inlineStr">
        <is>
          <t>PROV-M055-014: Registration of Title Act, No. 21 of 1998 s.70(1)
Facts: FACT-M055-Q01-002</t>
        </is>
      </c>
      <c r="E396" s="17" t="inlineStr">
        <is>
          <t>[verified, support inferential]</t>
        </is>
      </c>
      <c r="F396" s="21" t="n"/>
      <c r="G396" s="21" t="n"/>
      <c r="H396" s="21" t="n"/>
      <c r="I396" s="21" t="n"/>
      <c r="J396" s="21" t="n"/>
      <c r="K396" s="17">
        <f>IF(OR(A396="",B396=""),"",IF(AND(F396&lt;&gt;"",H396&lt;&gt;"",J396&lt;&gt;""),"Complete","Pending"))</f>
        <v/>
      </c>
    </row>
    <row r="397">
      <c r="A397" s="19" t="inlineStr">
        <is>
          <t>M055-Q01</t>
        </is>
      </c>
      <c r="B397" s="19" t="inlineStr">
        <is>
          <t>CL-M055-Q01-013</t>
        </is>
      </c>
      <c r="C397" s="17" t="inlineStr">
        <is>
          <t>[conclusion] Nimal cannot fulfil his desire in the form he proposes: the reservation of a life interest is permissible, but a single gift of the registered parcel to both daughters in common is void and unregistrable, and a gift of divided portions is barred while the parcel remains unsub-divided.</t>
        </is>
      </c>
      <c r="D397" s="17" t="inlineStr">
        <is>
          <t>PROV-M055-002: Registration of Title Act, No. 21 of 1998 s.46
PROV-M055-003: Registration of Title Act, No. 21 of 1998 s.48
PROV-M055-004: Registration of Title Act, No. 21 of 1998 s.47
PROV-M055-001: Registration of Title Act, No. 21 of 1998 s.39
Facts: FACT-M055-Q01-001, FACT-M055-Q01-004, FACT-M055-Q01-005</t>
        </is>
      </c>
      <c r="E397" s="17" t="inlineStr">
        <is>
          <t>[verified, support combined]</t>
        </is>
      </c>
      <c r="F397" s="21" t="n"/>
      <c r="G397" s="21" t="n"/>
      <c r="H397" s="21" t="n"/>
      <c r="I397" s="21" t="n"/>
      <c r="J397" s="21" t="n"/>
      <c r="K397" s="17">
        <f>IF(OR(A397="",B397=""),"",IF(AND(F397&lt;&gt;"",H397&lt;&gt;"",J397&lt;&gt;""),"Complete","Pending"))</f>
        <v/>
      </c>
    </row>
    <row r="398">
      <c r="A398" s="19" t="inlineStr">
        <is>
          <t>M055-Q01</t>
        </is>
      </c>
      <c r="B398" s="19" t="inlineStr">
        <is>
          <t>CL-M055-Q01-014</t>
        </is>
      </c>
      <c r="C398" s="17" t="inlineStr">
        <is>
          <t>[conclusion] He can achieve substantially what he wants by first sub-dividing the parcel and registering the sub-division, and then gifting one resulting parcel to each daughter subject to his life interest, provided the sub-division is permissible under the prescribed minimum extent for the area.</t>
        </is>
      </c>
      <c r="D398" s="17" t="inlineStr">
        <is>
          <t>PROV-M055-005: Registration of Title Act, No. 21 of 1998 s.36(1)
PROV-M055-004: Registration of Title Act, No. 21 of 1998 s.47
PROV-M055-002: Registration of Title Act, No. 21 of 1998 s.46
PROV-M055-014: Registration of Title Act, No. 21 of 1998 s.70(1)
Facts: FACT-M055-Q01-002, FACT-M055-Q01-003, FACT-M055-Q01-004</t>
        </is>
      </c>
      <c r="E398" s="17" t="inlineStr">
        <is>
          <t>[verified, support combined]</t>
        </is>
      </c>
      <c r="F398" s="21" t="n"/>
      <c r="G398" s="21" t="n"/>
      <c r="H398" s="21" t="n"/>
      <c r="I398" s="21" t="n"/>
      <c r="J398" s="21" t="n"/>
      <c r="K398" s="17">
        <f>IF(OR(A398="",B398=""),"",IF(AND(F398&lt;&gt;"",H398&lt;&gt;"",J398&lt;&gt;""),"Complete","Pending"))</f>
        <v/>
      </c>
    </row>
    <row r="399">
      <c r="A399" s="19" t="inlineStr">
        <is>
          <t>M056-Q01</t>
        </is>
      </c>
      <c r="B399" s="19" t="inlineStr">
        <is>
          <t>CL-M056-Q01-001</t>
        </is>
      </c>
      <c r="C399" s="17" t="inlineStr">
        <is>
          <t>[rule] An agreement affecting immovable property, other than a lease at will or for a period not exceeding one month, is of no force in law unless it is in writing and notarially attested.</t>
        </is>
      </c>
      <c r="D399" s="17" t="inlineStr">
        <is>
          <t>PROV-M056-001: Prevention of Frauds Ordinance s.2 (1)</t>
        </is>
      </c>
      <c r="E399" s="17" t="inlineStr">
        <is>
          <t>[verified, support direct]</t>
        </is>
      </c>
      <c r="F399" s="21" t="n"/>
      <c r="G399" s="21" t="n"/>
      <c r="H399" s="21" t="n"/>
      <c r="I399" s="21" t="n"/>
      <c r="J399" s="21" t="n"/>
      <c r="K399" s="17">
        <f>IF(OR(A399="",B399=""),"",IF(AND(F399&lt;&gt;"",H399&lt;&gt;"",J399&lt;&gt;""),"Complete","Pending"))</f>
        <v/>
      </c>
    </row>
    <row r="400">
      <c r="A400" s="19" t="inlineStr">
        <is>
          <t>M056-Q01</t>
        </is>
      </c>
      <c r="B400" s="19" t="inlineStr">
        <is>
          <t>CL-M056-Q01-002</t>
        </is>
      </c>
      <c r="C400" s="17" t="inlineStr">
        <is>
          <t>[rule] A notary must not authenticate or attest any deed or instrument in any area other than that in which he is authorized to practice, nor in any language other than that in which he is authorized to practice.</t>
        </is>
      </c>
      <c r="D400" s="17" t="inlineStr">
        <is>
          <t>PROV-M056-002: Notaries Ordinance s.31 rule (22)</t>
        </is>
      </c>
      <c r="E400" s="17" t="inlineStr">
        <is>
          <t>[verified, support direct]</t>
        </is>
      </c>
      <c r="F400" s="21" t="n"/>
      <c r="G400" s="21" t="n"/>
      <c r="H400" s="21" t="n"/>
      <c r="I400" s="21" t="n"/>
      <c r="J400" s="21" t="n"/>
      <c r="K400" s="17">
        <f>IF(OR(A400="",B400=""),"",IF(AND(F400&lt;&gt;"",H400&lt;&gt;"",J400&lt;&gt;""),"Complete","Pending"))</f>
        <v/>
      </c>
    </row>
    <row r="401">
      <c r="A401" s="19" t="inlineStr">
        <is>
          <t>M056-Q01</t>
        </is>
      </c>
      <c r="B401" s="19" t="inlineStr">
        <is>
          <t>CL-M056-Q01-003</t>
        </is>
      </c>
      <c r="C401" s="17" t="inlineStr">
        <is>
          <t>[rule] A warrant authorising a notary to practise in a judicial division is deemed to authorise him to practise in the judicial zone in which he resides, and he must keep his office within the area specified in his warrant.</t>
        </is>
      </c>
      <c r="D401" s="17" t="inlineStr">
        <is>
          <t>PROV-M056-004: Notaries Ordinance s.4A
PROV-M056-005: Notaries Ordinance s.9</t>
        </is>
      </c>
      <c r="E401" s="17" t="inlineStr">
        <is>
          <t>[verified, support combined]</t>
        </is>
      </c>
      <c r="F401" s="21" t="n"/>
      <c r="G401" s="21" t="n"/>
      <c r="H401" s="21" t="n"/>
      <c r="I401" s="21" t="n"/>
      <c r="J401" s="21" t="n"/>
      <c r="K401" s="17">
        <f>IF(OR(A401="",B401=""),"",IF(AND(F401&lt;&gt;"",H401&lt;&gt;"",J401&lt;&gt;""),"Complete","Pending"))</f>
        <v/>
      </c>
    </row>
    <row r="402">
      <c r="A402" s="19" t="inlineStr">
        <is>
          <t>M056-Q01</t>
        </is>
      </c>
      <c r="B402" s="19" t="inlineStr">
        <is>
          <t>CL-M056-Q01-004</t>
        </is>
      </c>
      <c r="C402" s="17" t="inlineStr">
        <is>
          <t>[rule] The Notaries Ordinance contemplates a notary attesting an instrument that affects land situated in a district other than the district in which he resides, and requires him in that case to deliver or transmit a certified copy to the Registrar of Lands of the district in which the land is situated on or before the fifteenth day of the following month.</t>
        </is>
      </c>
      <c r="D402" s="17" t="inlineStr">
        <is>
          <t>PROV-M056-003: Notaries Ordinance s.31 rule (29)</t>
        </is>
      </c>
      <c r="E402" s="17" t="inlineStr">
        <is>
          <t>[verified, support direct]</t>
        </is>
      </c>
      <c r="F402" s="21" t="n"/>
      <c r="G402" s="21" t="n"/>
      <c r="H402" s="21" t="n"/>
      <c r="I402" s="21" t="n"/>
      <c r="J402" s="21" t="n"/>
      <c r="K402" s="17">
        <f>IF(OR(A402="",B402=""),"",IF(AND(F402&lt;&gt;"",H402&lt;&gt;"",J402&lt;&gt;""),"Complete","Pending"))</f>
        <v/>
      </c>
    </row>
    <row r="403">
      <c r="A403" s="19" t="inlineStr">
        <is>
          <t>M056-Q01</t>
        </is>
      </c>
      <c r="B403" s="19" t="inlineStr">
        <is>
          <t>CL-M056-Q01-005</t>
        </is>
      </c>
      <c r="C403" s="17" t="inlineStr">
        <is>
          <t>[rule] A notary is disqualified from attesting only a deed or instrument to which he is himself a party.</t>
        </is>
      </c>
      <c r="D403" s="17" t="inlineStr">
        <is>
          <t>PROV-M056-006: Notaries Ordinance s.31 rule (13)</t>
        </is>
      </c>
      <c r="E403" s="17" t="inlineStr">
        <is>
          <t>[verified, support direct]</t>
        </is>
      </c>
      <c r="F403" s="21" t="n"/>
      <c r="G403" s="21" t="n"/>
      <c r="H403" s="21" t="n"/>
      <c r="I403" s="21" t="n"/>
      <c r="J403" s="21" t="n"/>
      <c r="K403" s="17">
        <f>IF(OR(A403="",B403=""),"",IF(AND(F403&lt;&gt;"",H403&lt;&gt;"",J403&lt;&gt;""),"Complete","Pending"))</f>
        <v/>
      </c>
    </row>
    <row r="404">
      <c r="A404" s="19" t="inlineStr">
        <is>
          <t>M056-Q01</t>
        </is>
      </c>
      <c r="B404" s="19" t="inlineStr">
        <is>
          <t>CL-M056-Q01-006</t>
        </is>
      </c>
      <c r="C404" s="17" t="inlineStr">
        <is>
          <t>[rule] Where an executant is or professes to be unable to read the instrument, the notary must not attest it unless and until he has read over and explained it, or caused it to be explained, in the presence and hearing of that executant and in the presence of the attesting witnesses.</t>
        </is>
      </c>
      <c r="D404" s="17" t="inlineStr">
        <is>
          <t>PROV-M056-007: Notaries Ordinance s.31 rule (11)</t>
        </is>
      </c>
      <c r="E404" s="17" t="inlineStr">
        <is>
          <t>[verified, support direct]</t>
        </is>
      </c>
      <c r="F404" s="21" t="n"/>
      <c r="G404" s="21" t="n"/>
      <c r="H404" s="21" t="n"/>
      <c r="I404" s="21" t="n"/>
      <c r="J404" s="21" t="n"/>
      <c r="K404" s="17">
        <f>IF(OR(A404="",B404=""),"",IF(AND(F404&lt;&gt;"",H404&lt;&gt;"",J404&lt;&gt;""),"Complete","Pending"))</f>
        <v/>
      </c>
    </row>
    <row r="405">
      <c r="A405" s="19" t="inlineStr">
        <is>
          <t>M056-Q01</t>
        </is>
      </c>
      <c r="B405" s="19" t="inlineStr">
        <is>
          <t>CL-M056-Q01-007</t>
        </is>
      </c>
      <c r="C405" s="17" t="inlineStr">
        <is>
          <t>[application] Because the proposed lease runs for four years it falls outside the one month carve-out and must be notarially attested to be of force in law.</t>
        </is>
      </c>
      <c r="D405" s="17" t="inlineStr">
        <is>
          <t>PROV-M056-001: Prevention of Frauds Ordinance s.2 (1)
Facts: BG-3</t>
        </is>
      </c>
      <c r="E405" s="17" t="inlineStr">
        <is>
          <t>[verified, support direct]</t>
        </is>
      </c>
      <c r="F405" s="21" t="n"/>
      <c r="G405" s="21" t="n"/>
      <c r="H405" s="21" t="n"/>
      <c r="I405" s="21" t="n"/>
      <c r="J405" s="21" t="n"/>
      <c r="K405" s="17">
        <f>IF(OR(A405="",B405=""),"",IF(AND(F405&lt;&gt;"",H405&lt;&gt;"",J405&lt;&gt;""),"Complete","Pending"))</f>
        <v/>
      </c>
    </row>
    <row r="406">
      <c r="A406" s="19" t="inlineStr">
        <is>
          <t>M056-Q01</t>
        </is>
      </c>
      <c r="B406" s="19" t="inlineStr">
        <is>
          <t>CL-M056-Q01-008</t>
        </is>
      </c>
      <c r="C406" s="17" t="inlineStr">
        <is>
          <t>[application] That the building is in Colombo while Kamal Rathnayaka practises in Galle does not affect his competence to attest, because the statutory limit attaches to the area in which he attests and not to the situation of the land.</t>
        </is>
      </c>
      <c r="D406" s="17" t="inlineStr">
        <is>
          <t>PROV-M056-002: Notaries Ordinance s.31 rule (22)
PROV-M056-003: Notaries Ordinance s.31 rule (29)
PROV-M056-004: Notaries Ordinance s.4A
Facts: BG-1, BG-2</t>
        </is>
      </c>
      <c r="E406" s="17" t="inlineStr">
        <is>
          <t>[verified, support combined]</t>
        </is>
      </c>
      <c r="F406" s="21" t="n"/>
      <c r="G406" s="21" t="n"/>
      <c r="H406" s="21" t="n"/>
      <c r="I406" s="21" t="n"/>
      <c r="J406" s="21" t="n"/>
      <c r="K406" s="17">
        <f>IF(OR(A406="",B406=""),"",IF(AND(F406&lt;&gt;"",H406&lt;&gt;"",J406&lt;&gt;""),"Complete","Pending"))</f>
        <v/>
      </c>
    </row>
    <row r="407">
      <c r="A407" s="19" t="inlineStr">
        <is>
          <t>M056-Q01</t>
        </is>
      </c>
      <c r="B407" s="19" t="inlineStr">
        <is>
          <t>CL-M056-Q01-009</t>
        </is>
      </c>
      <c r="C407" s="17" t="inlineStr">
        <is>
          <t>[application] Because the leased land is in a district other than the district in which Kamal Rathnayaka resides, he must in addition transmit a certified copy of the lease to the Registrar of Lands of the Colombo district.</t>
        </is>
      </c>
      <c r="D407" s="17" t="inlineStr">
        <is>
          <t>PROV-M056-003: Notaries Ordinance s.31 rule (29)
Facts: BG-1, BG-2</t>
        </is>
      </c>
      <c r="E407" s="17" t="inlineStr">
        <is>
          <t>[verified, support direct]</t>
        </is>
      </c>
      <c r="F407" s="21" t="n"/>
      <c r="G407" s="21" t="n"/>
      <c r="H407" s="21" t="n"/>
      <c r="I407" s="21" t="n"/>
      <c r="J407" s="21" t="n"/>
      <c r="K407" s="17">
        <f>IF(OR(A407="",B407=""),"",IF(AND(F407&lt;&gt;"",H407&lt;&gt;"",J407&lt;&gt;""),"Complete","Pending"))</f>
        <v/>
      </c>
    </row>
    <row r="408">
      <c r="A408" s="19" t="inlineStr">
        <is>
          <t>M056-Q01</t>
        </is>
      </c>
      <c r="B408" s="19" t="inlineStr">
        <is>
          <t>CL-M056-Q01-010</t>
        </is>
      </c>
      <c r="C408" s="17" t="inlineStr">
        <is>
          <t>[application] Kamal Rathnayaka is a neighbour of the lessor but not a party to the lease, so rule (13) does not disqualify him.</t>
        </is>
      </c>
      <c r="D408" s="17" t="inlineStr">
        <is>
          <t>PROV-M056-006: Notaries Ordinance s.31 rule (13)
Facts: BG-5, BG-6</t>
        </is>
      </c>
      <c r="E408" s="17" t="inlineStr">
        <is>
          <t>[verified, support direct]</t>
        </is>
      </c>
      <c r="F408" s="21" t="n"/>
      <c r="G408" s="21" t="n"/>
      <c r="H408" s="21" t="n"/>
      <c r="I408" s="21" t="n"/>
      <c r="J408" s="21" t="n"/>
      <c r="K408" s="17">
        <f>IF(OR(A408="",B408=""),"",IF(AND(F408&lt;&gt;"",H408&lt;&gt;"",J408&lt;&gt;""),"Complete","Pending"))</f>
        <v/>
      </c>
    </row>
    <row r="409">
      <c r="A409" s="19" t="inlineStr">
        <is>
          <t>M056-Q01</t>
        </is>
      </c>
      <c r="B409" s="19" t="inlineStr">
        <is>
          <t>CL-M056-Q01-011</t>
        </is>
      </c>
      <c r="C409" s="17" t="inlineStr">
        <is>
          <t>[application] Sudath Gunawardana's illiteracy does not bar attestation but obliges the notary to read over and explain the lease to him in the presence of the attesting witnesses before it is attested.</t>
        </is>
      </c>
      <c r="D409" s="17" t="inlineStr">
        <is>
          <t>PROV-M056-007: Notaries Ordinance s.31 rule (11)
Facts: BG-4</t>
        </is>
      </c>
      <c r="E409" s="17" t="inlineStr">
        <is>
          <t>[verified, support direct]</t>
        </is>
      </c>
      <c r="F409" s="21" t="n"/>
      <c r="G409" s="21" t="n"/>
      <c r="H409" s="21" t="n"/>
      <c r="I409" s="21" t="n"/>
      <c r="J409" s="21" t="n"/>
      <c r="K409" s="17">
        <f>IF(OR(A409="",B409=""),"",IF(AND(F409&lt;&gt;"",H409&lt;&gt;"",J409&lt;&gt;""),"Complete","Pending"))</f>
        <v/>
      </c>
    </row>
    <row r="410">
      <c r="A410" s="19" t="inlineStr">
        <is>
          <t>M056-Q01</t>
        </is>
      </c>
      <c r="B410" s="19" t="inlineStr">
        <is>
          <t>CL-M056-Q01-012</t>
        </is>
      </c>
      <c r="C410" s="17" t="inlineStr">
        <is>
          <t>[conclusion] Kamal Rathnayaka can attest this lease agreement, provided the execution and attestation take place within the area, and the instrument is in a language, authorised by his warrant.</t>
        </is>
      </c>
      <c r="D410" s="17" t="inlineStr">
        <is>
          <t>PROV-M056-001: Prevention of Frauds Ordinance s.2 (1)
PROV-M056-002: Notaries Ordinance s.31 rule (22)
PROV-M056-003: Notaries Ordinance s.31 rule (29)
Facts: BG-1, BG-2, BG-3</t>
        </is>
      </c>
      <c r="E410" s="17" t="inlineStr">
        <is>
          <t>[verified, support combined]</t>
        </is>
      </c>
      <c r="F410" s="21" t="n"/>
      <c r="G410" s="21" t="n"/>
      <c r="H410" s="21" t="n"/>
      <c r="I410" s="21" t="n"/>
      <c r="J410" s="21" t="n"/>
      <c r="K410" s="17">
        <f>IF(OR(A410="",B410=""),"",IF(AND(F410&lt;&gt;"",H410&lt;&gt;"",J410&lt;&gt;""),"Complete","Pending"))</f>
        <v/>
      </c>
    </row>
    <row r="411">
      <c r="A411" s="19" t="inlineStr">
        <is>
          <t>M056-Q01</t>
        </is>
      </c>
      <c r="B411" s="19" t="inlineStr">
        <is>
          <t>CL-M056-Q01-013</t>
        </is>
      </c>
      <c r="C411" s="17" t="inlineStr">
        <is>
          <t>[conclusion] Were the lease signed and attested outside the area of his warrant, or drawn in a language he is not authorised to practise in, he could not lawfully attest it.</t>
        </is>
      </c>
      <c r="D411" s="17" t="inlineStr">
        <is>
          <t>PROV-M056-002: Notaries Ordinance s.31 rule (22)
Facts: BG-1</t>
        </is>
      </c>
      <c r="E411" s="17" t="inlineStr">
        <is>
          <t>[verified, support direct]</t>
        </is>
      </c>
      <c r="F411" s="21" t="n"/>
      <c r="G411" s="21" t="n"/>
      <c r="H411" s="21" t="n"/>
      <c r="I411" s="21" t="n"/>
      <c r="J411" s="21" t="n"/>
      <c r="K411" s="17">
        <f>IF(OR(A411="",B411=""),"",IF(AND(F411&lt;&gt;"",H411&lt;&gt;"",J411&lt;&gt;""),"Complete","Pending"))</f>
        <v/>
      </c>
    </row>
    <row r="412">
      <c r="A412" s="19" t="inlineStr">
        <is>
          <t>M056-Q04</t>
        </is>
      </c>
      <c r="B412" s="19" t="inlineStr">
        <is>
          <t>CL-M056-Q04-001</t>
        </is>
      </c>
      <c r="C412" s="17" t="inlineStr">
        <is>
          <t>[rule] A lease or hire of any property is a specified instrument chargeable with stamp duty at the rate determined by the Minister by Order published in the Gazette.</t>
        </is>
      </c>
      <c r="D412" s="17" t="inlineStr">
        <is>
          <t>PROV-M056-010: Stamp Duty (Special Provisions) Act s.4 (i)
PROV-M056-012: Stamp Duty (Special Provisions) Act s.3 (1)</t>
        </is>
      </c>
      <c r="E412" s="17" t="inlineStr">
        <is>
          <t>[verified, support combined]</t>
        </is>
      </c>
      <c r="F412" s="21" t="n"/>
      <c r="G412" s="21" t="n"/>
      <c r="H412" s="21" t="n"/>
      <c r="I412" s="21" t="n"/>
      <c r="J412" s="21" t="n"/>
      <c r="K412" s="17">
        <f>IF(OR(A412="",B412=""),"",IF(AND(F412&lt;&gt;"",H412&lt;&gt;"",J412&lt;&gt;""),"Complete","Pending"))</f>
        <v/>
      </c>
    </row>
    <row r="413">
      <c r="A413" s="19" t="inlineStr">
        <is>
          <t>M056-Q04</t>
        </is>
      </c>
      <c r="B413" s="19" t="inlineStr">
        <is>
          <t>CL-M056-Q04-002</t>
        </is>
      </c>
      <c r="C413" s="17" t="inlineStr">
        <is>
          <t>[rule] In the case of a lease the stamp duty is payable by the lessee, otherwise than where there is an agreement to the contrary.</t>
        </is>
      </c>
      <c r="D413" s="17" t="inlineStr">
        <is>
          <t>PROV-M056-011: Stamp Duty (Special Provisions) Act s.6 (c)</t>
        </is>
      </c>
      <c r="E413" s="17" t="inlineStr">
        <is>
          <t>[verified, support direct]</t>
        </is>
      </c>
      <c r="F413" s="21" t="n"/>
      <c r="G413" s="21" t="n"/>
      <c r="H413" s="21" t="n"/>
      <c r="I413" s="21" t="n"/>
      <c r="J413" s="21" t="n"/>
      <c r="K413" s="17">
        <f>IF(OR(A413="",B413=""),"",IF(AND(F413&lt;&gt;"",H413&lt;&gt;"",J413&lt;&gt;""),"Complete","Pending"))</f>
        <v/>
      </c>
    </row>
    <row r="414">
      <c r="A414" s="19" t="inlineStr">
        <is>
          <t>M056-Q04</t>
        </is>
      </c>
      <c r="B414" s="19" t="inlineStr">
        <is>
          <t>CL-M056-Q04-003</t>
        </is>
      </c>
      <c r="C414" s="17" t="inlineStr">
        <is>
          <t>[rule] It is the duty of every notary to endeavour to ascertain the true and full consideration for the execution of a deed and to insert and set it forth in the deed.</t>
        </is>
      </c>
      <c r="D414" s="17" t="inlineStr">
        <is>
          <t>PROV-M056-008: Notaries Ordinance s.38 (1) and (2)</t>
        </is>
      </c>
      <c r="E414" s="17" t="inlineStr">
        <is>
          <t>[verified, support direct]</t>
        </is>
      </c>
      <c r="F414" s="21" t="n"/>
      <c r="G414" s="21" t="n"/>
      <c r="H414" s="21" t="n"/>
      <c r="I414" s="21" t="n"/>
      <c r="J414" s="21" t="n"/>
      <c r="K414" s="17">
        <f>IF(OR(A414="",B414=""),"",IF(AND(F414&lt;&gt;"",H414&lt;&gt;"",J414&lt;&gt;""),"Complete","Pending"))</f>
        <v/>
      </c>
    </row>
    <row r="415">
      <c r="A415" s="19" t="inlineStr">
        <is>
          <t>M056-Q04</t>
        </is>
      </c>
      <c r="B415" s="19" t="inlineStr">
        <is>
          <t>CL-M056-Q04-004</t>
        </is>
      </c>
      <c r="C415" s="17" t="inlineStr">
        <is>
          <t>[rule] A notary who knowingly and wilfully inserts other than the full and true consideration, or abets the doing of it, is guilty of an offence and is liable in addition to any civil liability he may incur.</t>
        </is>
      </c>
      <c r="D415" s="17" t="inlineStr">
        <is>
          <t>PROV-M056-008: Notaries Ordinance s.38 (1) and (2)</t>
        </is>
      </c>
      <c r="E415" s="17" t="inlineStr">
        <is>
          <t>[verified, support direct]</t>
        </is>
      </c>
      <c r="F415" s="21" t="n"/>
      <c r="G415" s="21" t="n"/>
      <c r="H415" s="21" t="n"/>
      <c r="I415" s="21" t="n"/>
      <c r="J415" s="21" t="n"/>
      <c r="K415" s="17">
        <f>IF(OR(A415="",B415=""),"",IF(AND(F415&lt;&gt;"",H415&lt;&gt;"",J415&lt;&gt;""),"Complete","Pending"))</f>
        <v/>
      </c>
    </row>
    <row r="416">
      <c r="A416" s="19" t="inlineStr">
        <is>
          <t>M056-Q04</t>
        </is>
      </c>
      <c r="B416" s="19" t="inlineStr">
        <is>
          <t>CL-M056-Q04-005</t>
        </is>
      </c>
      <c r="C416" s="17" t="inlineStr">
        <is>
          <t>[rule] A notary who knowingly and wilfully, with intent to prejudice or defraud any person, inserts in an instrument a figure which ought not to have been inserted commits a further offence.</t>
        </is>
      </c>
      <c r="D416" s="17" t="inlineStr">
        <is>
          <t>PROV-M056-009: Notaries Ordinance s.39 (b)</t>
        </is>
      </c>
      <c r="E416" s="17" t="inlineStr">
        <is>
          <t>[verified, support direct]</t>
        </is>
      </c>
      <c r="F416" s="21" t="n"/>
      <c r="G416" s="21" t="n"/>
      <c r="H416" s="21" t="n"/>
      <c r="I416" s="21" t="n"/>
      <c r="J416" s="21" t="n"/>
      <c r="K416" s="17">
        <f>IF(OR(A416="",B416=""),"",IF(AND(F416&lt;&gt;"",H416&lt;&gt;"",J416&lt;&gt;""),"Complete","Pending"))</f>
        <v/>
      </c>
    </row>
    <row r="417">
      <c r="A417" s="19" t="inlineStr">
        <is>
          <t>M056-Q04</t>
        </is>
      </c>
      <c r="B417" s="19" t="inlineStr">
        <is>
          <t>CL-M056-Q04-006</t>
        </is>
      </c>
      <c r="C417" s="17" t="inlineStr">
        <is>
          <t>[rule] The attestation must state the number and value of the adhesive stamps affixed to, or the value of the impressed stamps on, the instrument and its duplicate.</t>
        </is>
      </c>
      <c r="D417" s="17" t="inlineStr">
        <is>
          <t>PROV-M056-014: Notaries Ordinance s.31 rule (20)(f)</t>
        </is>
      </c>
      <c r="E417" s="17" t="inlineStr">
        <is>
          <t>[verified, support direct]</t>
        </is>
      </c>
      <c r="F417" s="21" t="n"/>
      <c r="G417" s="21" t="n"/>
      <c r="H417" s="21" t="n"/>
      <c r="I417" s="21" t="n"/>
      <c r="J417" s="21" t="n"/>
      <c r="K417" s="17">
        <f>IF(OR(A417="",B417=""),"",IF(AND(F417&lt;&gt;"",H417&lt;&gt;"",J417&lt;&gt;""),"Complete","Pending"))</f>
        <v/>
      </c>
    </row>
    <row r="418">
      <c r="A418" s="19" t="inlineStr">
        <is>
          <t>M056-Q04</t>
        </is>
      </c>
      <c r="B418" s="19" t="inlineStr">
        <is>
          <t>CL-M056-Q04-007</t>
        </is>
      </c>
      <c r="C418" s="17" t="inlineStr">
        <is>
          <t>[rule] Where an Assessor is of opinion that an instrument liable to stamp duty has not been duly stamped he shall assess the duty payable and require the person liable to pay it.</t>
        </is>
      </c>
      <c r="D418" s="17" t="inlineStr">
        <is>
          <t>PROV-M056-013: Stamp Duty (Special Provisions) Act s.10</t>
        </is>
      </c>
      <c r="E418" s="17" t="inlineStr">
        <is>
          <t>[verified, support direct]</t>
        </is>
      </c>
      <c r="F418" s="21" t="n"/>
      <c r="G418" s="21" t="n"/>
      <c r="H418" s="21" t="n"/>
      <c r="I418" s="21" t="n"/>
      <c r="J418" s="21" t="n"/>
      <c r="K418" s="17">
        <f>IF(OR(A418="",B418=""),"",IF(AND(F418&lt;&gt;"",H418&lt;&gt;"",J418&lt;&gt;""),"Complete","Pending"))</f>
        <v/>
      </c>
    </row>
    <row r="419">
      <c r="A419" s="19" t="inlineStr">
        <is>
          <t>M056-Q04</t>
        </is>
      </c>
      <c r="B419" s="19" t="inlineStr">
        <is>
          <t>CL-M056-Q04-008</t>
        </is>
      </c>
      <c r="C419" s="17" t="inlineStr">
        <is>
          <t>[rule] Gross misconduct in the discharge of notarial duties, or repeated breaches of the rules under the Ordinance, are grounds for inquiry and for a report on which the Minister may suspend the notary or cancel his warrant.</t>
        </is>
      </c>
      <c r="D419" s="17" t="inlineStr">
        <is>
          <t>PROV-M056-017: Notaries Ordinance s.21 (1)(b) and (c)</t>
        </is>
      </c>
      <c r="E419" s="17" t="inlineStr">
        <is>
          <t>[verified, support direct]</t>
        </is>
      </c>
      <c r="F419" s="21" t="n"/>
      <c r="G419" s="21" t="n"/>
      <c r="H419" s="21" t="n"/>
      <c r="I419" s="21" t="n"/>
      <c r="J419" s="21" t="n"/>
      <c r="K419" s="17">
        <f>IF(OR(A419="",B419=""),"",IF(AND(F419&lt;&gt;"",H419&lt;&gt;"",J419&lt;&gt;""),"Complete","Pending"))</f>
        <v/>
      </c>
    </row>
    <row r="420">
      <c r="A420" s="19" t="inlineStr">
        <is>
          <t>M056-Q04</t>
        </is>
      </c>
      <c r="B420" s="19" t="inlineStr">
        <is>
          <t>CL-M056-Q04-009</t>
        </is>
      </c>
      <c r="C420" s="17" t="inlineStr">
        <is>
          <t>[application] The true and full consideration for this lease is the agreed monthly rental of Rs. 60,000 over the four-year term, and that is the figure the notary is bound to insert.</t>
        </is>
      </c>
      <c r="D420" s="17" t="inlineStr">
        <is>
          <t>PROV-M056-008: Notaries Ordinance s.38 (1) and (2)
Facts: BG-3</t>
        </is>
      </c>
      <c r="E420" s="17" t="inlineStr">
        <is>
          <t>[verified, support direct]</t>
        </is>
      </c>
      <c r="F420" s="21" t="n"/>
      <c r="G420" s="21" t="n"/>
      <c r="H420" s="21" t="n"/>
      <c r="I420" s="21" t="n"/>
      <c r="J420" s="21" t="n"/>
      <c r="K420" s="17">
        <f>IF(OR(A420="",B420=""),"",IF(AND(F420&lt;&gt;"",H420&lt;&gt;"",J420&lt;&gt;""),"Complete","Pending"))</f>
        <v/>
      </c>
    </row>
    <row r="421">
      <c r="A421" s="19" t="inlineStr">
        <is>
          <t>M056-Q04</t>
        </is>
      </c>
      <c r="B421" s="19" t="inlineStr">
        <is>
          <t>CL-M056-Q04-010</t>
        </is>
      </c>
      <c r="C421" s="17" t="inlineStr">
        <is>
          <t>[application] Inserting a lower rental at the parties' request would be knowingly and wilfully setting forth other than the full and true consideration, and would also abet the parties' underpayment of duty.</t>
        </is>
      </c>
      <c r="D421" s="17" t="inlineStr">
        <is>
          <t>PROV-M056-008: Notaries Ordinance s.38 (1) and (2)
PROV-M056-010: Stamp Duty (Special Provisions) Act s.4 (i)
Facts: BG-3, BG-7</t>
        </is>
      </c>
      <c r="E421" s="17" t="inlineStr">
        <is>
          <t>[verified, support combined]</t>
        </is>
      </c>
      <c r="F421" s="21" t="n"/>
      <c r="G421" s="21" t="n"/>
      <c r="H421" s="21" t="n"/>
      <c r="I421" s="21" t="n"/>
      <c r="J421" s="21" t="n"/>
      <c r="K421" s="17">
        <f>IF(OR(A421="",B421=""),"",IF(AND(F421&lt;&gt;"",H421&lt;&gt;"",J421&lt;&gt;""),"Complete","Pending"))</f>
        <v/>
      </c>
    </row>
    <row r="422">
      <c r="A422" s="19" t="inlineStr">
        <is>
          <t>M056-Q04</t>
        </is>
      </c>
      <c r="B422" s="19" t="inlineStr">
        <is>
          <t>CL-M056-Q04-011</t>
        </is>
      </c>
      <c r="C422" s="17" t="inlineStr">
        <is>
          <t>[application] Because the stated object is to save stamp duty, the false figure would be inserted with intent to prejudice the revenue and would fall within the fraud provision as well.</t>
        </is>
      </c>
      <c r="D422" s="17" t="inlineStr">
        <is>
          <t>PROV-M056-009: Notaries Ordinance s.39 (b)
PROV-M056-010: Stamp Duty (Special Provisions) Act s.4 (i)
Facts: BG-7</t>
        </is>
      </c>
      <c r="E422" s="17" t="inlineStr">
        <is>
          <t>[disputed, support combined]</t>
        </is>
      </c>
      <c r="F422" s="21" t="n"/>
      <c r="G422" s="21" t="n"/>
      <c r="H422" s="21" t="n"/>
      <c r="I422" s="21" t="n"/>
      <c r="J422" s="21" t="n"/>
      <c r="K422" s="17">
        <f>IF(OR(A422="",B422=""),"",IF(AND(F422&lt;&gt;"",H422&lt;&gt;"",J422&lt;&gt;""),"Complete","Pending"))</f>
        <v/>
      </c>
    </row>
    <row r="423">
      <c r="A423" s="19" t="inlineStr">
        <is>
          <t>M056-Q04</t>
        </is>
      </c>
      <c r="B423" s="19" t="inlineStr">
        <is>
          <t>CL-M056-Q04-012</t>
        </is>
      </c>
      <c r="C423" s="17" t="inlineStr">
        <is>
          <t>[application] The notary would additionally be certifying in his own attestation a stamp value corresponding to a rental he knows to be untrue.</t>
        </is>
      </c>
      <c r="D423" s="17" t="inlineStr">
        <is>
          <t>PROV-M056-014: Notaries Ordinance s.31 rule (20)(f)
Facts: BG-7</t>
        </is>
      </c>
      <c r="E423" s="17" t="inlineStr">
        <is>
          <t>[verified, support direct]</t>
        </is>
      </c>
      <c r="F423" s="21" t="n"/>
      <c r="G423" s="21" t="n"/>
      <c r="H423" s="21" t="n"/>
      <c r="I423" s="21" t="n"/>
      <c r="J423" s="21" t="n"/>
      <c r="K423" s="17">
        <f>IF(OR(A423="",B423=""),"",IF(AND(F423&lt;&gt;"",H423&lt;&gt;"",J423&lt;&gt;""),"Complete","Pending"))</f>
        <v/>
      </c>
    </row>
    <row r="424">
      <c r="A424" s="19" t="inlineStr">
        <is>
          <t>M056-Q04</t>
        </is>
      </c>
      <c r="B424" s="19" t="inlineStr">
        <is>
          <t>CL-M056-Q04-013</t>
        </is>
      </c>
      <c r="C424" s="17" t="inlineStr">
        <is>
          <t>[application] The understatement would not in any event defeat the duty, since an Assessor may assess the duty properly payable on the lease and require the lessee to pay it.</t>
        </is>
      </c>
      <c r="D424" s="17" t="inlineStr">
        <is>
          <t>PROV-M056-013: Stamp Duty (Special Provisions) Act s.10
PROV-M056-011: Stamp Duty (Special Provisions) Act s.6 (c)
Facts: BG-3</t>
        </is>
      </c>
      <c r="E424" s="17" t="inlineStr">
        <is>
          <t>[verified, support combined]</t>
        </is>
      </c>
      <c r="F424" s="21" t="n"/>
      <c r="G424" s="21" t="n"/>
      <c r="H424" s="21" t="n"/>
      <c r="I424" s="21" t="n"/>
      <c r="J424" s="21" t="n"/>
      <c r="K424" s="17">
        <f>IF(OR(A424="",B424=""),"",IF(AND(F424&lt;&gt;"",H424&lt;&gt;"",J424&lt;&gt;""),"Complete","Pending"))</f>
        <v/>
      </c>
    </row>
    <row r="425">
      <c r="A425" s="19" t="inlineStr">
        <is>
          <t>M056-Q04</t>
        </is>
      </c>
      <c r="B425" s="19" t="inlineStr">
        <is>
          <t>CL-M056-Q04-014</t>
        </is>
      </c>
      <c r="C425" s="17" t="inlineStr">
        <is>
          <t>[conclusion] Kamal Rathnayaka must refuse the request, ascertain and insert the true rental of Rs. 60,000 per month, and decline to attest the lease if the parties insist on the false figure.</t>
        </is>
      </c>
      <c r="D425" s="17" t="inlineStr">
        <is>
          <t>PROV-M056-008: Notaries Ordinance s.38 (1) and (2)
PROV-M056-014: Notaries Ordinance s.31 rule (20)(f)
Facts: BG-3, BG-7</t>
        </is>
      </c>
      <c r="E425" s="17" t="inlineStr">
        <is>
          <t>[verified, support combined]</t>
        </is>
      </c>
      <c r="F425" s="21" t="n"/>
      <c r="G425" s="21" t="n"/>
      <c r="H425" s="21" t="n"/>
      <c r="I425" s="21" t="n"/>
      <c r="J425" s="21" t="n"/>
      <c r="K425" s="17">
        <f>IF(OR(A425="",B425=""),"",IF(AND(F425&lt;&gt;"",H425&lt;&gt;"",J425&lt;&gt;""),"Complete","Pending"))</f>
        <v/>
      </c>
    </row>
    <row r="426">
      <c r="A426" s="19" t="inlineStr">
        <is>
          <t>M056-Q04</t>
        </is>
      </c>
      <c r="B426" s="19" t="inlineStr">
        <is>
          <t>CL-M056-Q04-015</t>
        </is>
      </c>
      <c r="C426" s="17" t="inlineStr">
        <is>
          <t>[conclusion] If he accedes he commits an offence under section 38(2) of the Notaries Ordinance with civil liability in addition, and a further offence under section 39(b), and exposes himself to inquiry for gross misconduct on which the Minister may suspend him or cancel his warrant.</t>
        </is>
      </c>
      <c r="D426" s="17" t="inlineStr">
        <is>
          <t>PROV-M056-008: Notaries Ordinance s.38 (1) and (2)
PROV-M056-009: Notaries Ordinance s.39 (b)
PROV-M056-017: Notaries Ordinance s.21 (1)(b) and (c)
Facts: BG-7</t>
        </is>
      </c>
      <c r="E426" s="17" t="inlineStr">
        <is>
          <t>[verified, support combined]</t>
        </is>
      </c>
      <c r="F426" s="21" t="n"/>
      <c r="G426" s="21" t="n"/>
      <c r="H426" s="21" t="n"/>
      <c r="I426" s="21" t="n"/>
      <c r="J426" s="21" t="n"/>
      <c r="K426" s="17">
        <f>IF(OR(A426="",B426=""),"",IF(AND(F426&lt;&gt;"",H426&lt;&gt;"",J426&lt;&gt;""),"Complete","Pending"))</f>
        <v/>
      </c>
    </row>
    <row r="427">
      <c r="A427" s="19" t="inlineStr">
        <is>
          <t>M057-Q01</t>
        </is>
      </c>
      <c r="B427" s="19" t="inlineStr">
        <is>
          <t>CL-M057-Q01-001</t>
        </is>
      </c>
      <c r="C427" s="17" t="inlineStr">
        <is>
          <t>[rule] Every notary must obtain from the Registrar of the High Court a yearly certificate, applied for and granted by the annual date fixed by s.27(2), which is in force for one year and no longer.</t>
        </is>
      </c>
      <c r="D427" s="17" t="inlineStr">
        <is>
          <t>PROV-M057-002: Notaries Ordinance No. 1 of 1907 s.27(2)</t>
        </is>
      </c>
      <c r="E427" s="17" t="inlineStr">
        <is>
          <t>[verified, support direct]</t>
        </is>
      </c>
      <c r="F427" s="21" t="n"/>
      <c r="G427" s="21" t="n"/>
      <c r="H427" s="21" t="n"/>
      <c r="I427" s="21" t="n"/>
      <c r="J427" s="21" t="n"/>
      <c r="K427" s="17">
        <f>IF(OR(A427="",B427=""),"",IF(AND(F427&lt;&gt;"",H427&lt;&gt;"",J427&lt;&gt;""),"Complete","Pending"))</f>
        <v/>
      </c>
    </row>
    <row r="428">
      <c r="A428" s="19" t="inlineStr">
        <is>
          <t>M057-Q01</t>
        </is>
      </c>
      <c r="B428" s="19" t="inlineStr">
        <is>
          <t>CL-M057-Q01-002</t>
        </is>
      </c>
      <c r="C428" s="17" t="inlineStr">
        <is>
          <t>[rule] A person who acts as a notary without having obtained that certificate is guilty of an offence in respect of every deed executed or acknowledged before him as such notary while he was without it, and is liable to a fine of not less than Rs. 5,000 and not exceeding Rs. 25,000.</t>
        </is>
      </c>
      <c r="D428" s="17" t="inlineStr">
        <is>
          <t>PROV-M057-001: Notaries Ordinance No. 1 of 1907 s.30
PROV-M057-002: Notaries Ordinance No. 1 of 1907 s.27(2)</t>
        </is>
      </c>
      <c r="E428" s="17" t="inlineStr">
        <is>
          <t>[verified, support combined]</t>
        </is>
      </c>
      <c r="F428" s="21" t="n"/>
      <c r="G428" s="21" t="n"/>
      <c r="H428" s="21" t="n"/>
      <c r="I428" s="21" t="n"/>
      <c r="J428" s="21" t="n"/>
      <c r="K428" s="17">
        <f>IF(OR(A428="",B428=""),"",IF(AND(F428&lt;&gt;"",H428&lt;&gt;"",J428&lt;&gt;""),"Complete","Pending"))</f>
        <v/>
      </c>
    </row>
    <row r="429">
      <c r="A429" s="19" t="inlineStr">
        <is>
          <t>M057-Q01</t>
        </is>
      </c>
      <c r="B429" s="19" t="inlineStr">
        <is>
          <t>CL-M057-Q01-003</t>
        </is>
      </c>
      <c r="C429" s="17" t="inlineStr">
        <is>
          <t>[rule] The Registrar-General may, instead of instituting criminal proceedings for an offence under s.30, accept a sum in composition, after which criminal proceedings shall not be taken or continued.</t>
        </is>
      </c>
      <c r="D429" s="17" t="inlineStr">
        <is>
          <t>PROV-M057-003: Notaries Ordinance No. 1 of 1907 s.35(1)</t>
        </is>
      </c>
      <c r="E429" s="17" t="inlineStr">
        <is>
          <t>[verified, support direct]</t>
        </is>
      </c>
      <c r="F429" s="21" t="n"/>
      <c r="G429" s="21" t="n"/>
      <c r="H429" s="21" t="n"/>
      <c r="I429" s="21" t="n"/>
      <c r="J429" s="21" t="n"/>
      <c r="K429" s="17">
        <f>IF(OR(A429="",B429=""),"",IF(AND(F429&lt;&gt;"",H429&lt;&gt;"",J429&lt;&gt;""),"Complete","Pending"))</f>
        <v/>
      </c>
    </row>
    <row r="430">
      <c r="A430" s="19" t="inlineStr">
        <is>
          <t>M057-Q01</t>
        </is>
      </c>
      <c r="B430" s="19" t="inlineStr">
        <is>
          <t>CL-M057-Q01-004</t>
        </is>
      </c>
      <c r="C430" s="17" t="inlineStr">
        <is>
          <t>[rule] Where the High Court Judge reports after inquiry that a notary has been guilty of an offence or misconduct within s.21(1)(a) to (d), the Minister may cancel his warrant or suspend him from office.</t>
        </is>
      </c>
      <c r="D430" s="17" t="inlineStr">
        <is>
          <t>PROV-M057-004: Notaries Ordinance No. 1 of 1907 s.21(2)</t>
        </is>
      </c>
      <c r="E430" s="17" t="inlineStr">
        <is>
          <t>[verified, support direct]</t>
        </is>
      </c>
      <c r="F430" s="21" t="n"/>
      <c r="G430" s="21" t="n"/>
      <c r="H430" s="21" t="n"/>
      <c r="I430" s="21" t="n"/>
      <c r="J430" s="21" t="n"/>
      <c r="K430" s="17">
        <f>IF(OR(A430="",B430=""),"",IF(AND(F430&lt;&gt;"",H430&lt;&gt;"",J430&lt;&gt;""),"Complete","Pending"))</f>
        <v/>
      </c>
    </row>
    <row r="431">
      <c r="A431" s="19" t="inlineStr">
        <is>
          <t>M057-Q01</t>
        </is>
      </c>
      <c r="B431" s="19" t="inlineStr">
        <is>
          <t>CL-M057-Q01-005</t>
        </is>
      </c>
      <c r="C431" s="17" t="inlineStr">
        <is>
          <t>[rule] A lease of immovable property for four years is not within the exception for a lease at will or for a period not exceeding one month, so it had to be executed before and attested by a notary.</t>
        </is>
      </c>
      <c r="D431" s="17" t="inlineStr">
        <is>
          <t>PROV-M057-005: Prevention of Frauds Ordinance No. 7 of 1840 s.2(1)
Facts: BG-1</t>
        </is>
      </c>
      <c r="E431" s="17" t="inlineStr">
        <is>
          <t>[verified, support direct]</t>
        </is>
      </c>
      <c r="F431" s="21" t="n"/>
      <c r="G431" s="21" t="n"/>
      <c r="H431" s="21" t="n"/>
      <c r="I431" s="21" t="n"/>
      <c r="J431" s="21" t="n"/>
      <c r="K431" s="17">
        <f>IF(OR(A431="",B431=""),"",IF(AND(F431&lt;&gt;"",H431&lt;&gt;"",J431&lt;&gt;""),"Complete","Pending"))</f>
        <v/>
      </c>
    </row>
    <row r="432">
      <c r="A432" s="19" t="inlineStr">
        <is>
          <t>M057-Q01</t>
        </is>
      </c>
      <c r="B432" s="19" t="inlineStr">
        <is>
          <t>CL-M057-Q01-006</t>
        </is>
      </c>
      <c r="C432" s="17" t="inlineStr">
        <is>
          <t>[application] Kamal Ratnayake attested the four-year lease in his capacity as a notary at a time when he had not obtained the yearly certificate for the current year.</t>
        </is>
      </c>
      <c r="D432" s="17" t="inlineStr">
        <is>
          <t>PROV-M057-002: Notaries Ordinance No. 1 of 1907 s.27(2)
PROV-M057-005: Prevention of Frauds Ordinance No. 7 of 1840 s.2(1)
Facts: BG-1, BG-2</t>
        </is>
      </c>
      <c r="E432" s="17" t="inlineStr">
        <is>
          <t>[verified, support combined]</t>
        </is>
      </c>
      <c r="F432" s="21" t="n"/>
      <c r="G432" s="21" t="n"/>
      <c r="H432" s="21" t="n"/>
      <c r="I432" s="21" t="n"/>
      <c r="J432" s="21" t="n"/>
      <c r="K432" s="17">
        <f>IF(OR(A432="",B432=""),"",IF(AND(F432&lt;&gt;"",H432&lt;&gt;"",J432&lt;&gt;""),"Complete","Pending"))</f>
        <v/>
      </c>
    </row>
    <row r="433">
      <c r="A433" s="19" t="inlineStr">
        <is>
          <t>M057-Q01</t>
        </is>
      </c>
      <c r="B433" s="19" t="inlineStr">
        <is>
          <t>CL-M057-Q01-007</t>
        </is>
      </c>
      <c r="C433" s="17" t="inlineStr">
        <is>
          <t>[application] The lease is therefore a deed executed before him as a notary while he was without the certificate, which is the conduct s.30 penalises, and the penalty runs separately in respect of each such deed.</t>
        </is>
      </c>
      <c r="D433" s="17" t="inlineStr">
        <is>
          <t>PROV-M057-001: Notaries Ordinance No. 1 of 1907 s.30
Facts: BG-2</t>
        </is>
      </c>
      <c r="E433" s="17" t="inlineStr">
        <is>
          <t>[verified, support direct]</t>
        </is>
      </c>
      <c r="F433" s="21" t="n"/>
      <c r="G433" s="21" t="n"/>
      <c r="H433" s="21" t="n"/>
      <c r="I433" s="21" t="n"/>
      <c r="J433" s="21" t="n"/>
      <c r="K433" s="17">
        <f>IF(OR(A433="",B433=""),"",IF(AND(F433&lt;&gt;"",H433&lt;&gt;"",J433&lt;&gt;""),"Complete","Pending"))</f>
        <v/>
      </c>
    </row>
    <row r="434">
      <c r="A434" s="19" t="inlineStr">
        <is>
          <t>M057-Q01</t>
        </is>
      </c>
      <c r="B434" s="19" t="inlineStr">
        <is>
          <t>CL-M057-Q01-008</t>
        </is>
      </c>
      <c r="C434" s="17" t="inlineStr">
        <is>
          <t>[application] The proviso to s.27(2) may still allow him to obtain the certificate late if the delay was due to accident, misfortune or other unavoidable cause, but that relief does not undo an offence already committed by attesting while uncertificated, and the background states only that he forgot.</t>
        </is>
      </c>
      <c r="D434" s="17" t="inlineStr">
        <is>
          <t>PROV-M057-002: Notaries Ordinance No. 1 of 1907 s.27(2)
PROV-M057-001: Notaries Ordinance No. 1 of 1907 s.30
Facts: BG-2</t>
        </is>
      </c>
      <c r="E434" s="17" t="inlineStr">
        <is>
          <t>[disputed, support inferential]</t>
        </is>
      </c>
      <c r="F434" s="21" t="n"/>
      <c r="G434" s="21" t="n"/>
      <c r="H434" s="21" t="n"/>
      <c r="I434" s="21" t="n"/>
      <c r="J434" s="21" t="n"/>
      <c r="K434" s="17">
        <f>IF(OR(A434="",B434=""),"",IF(AND(F434&lt;&gt;"",H434&lt;&gt;"",J434&lt;&gt;""),"Complete","Pending"))</f>
        <v/>
      </c>
    </row>
    <row r="435">
      <c r="A435" s="19" t="inlineStr">
        <is>
          <t>M057-Q01</t>
        </is>
      </c>
      <c r="B435" s="19" t="inlineStr">
        <is>
          <t>CL-M057-Q01-009</t>
        </is>
      </c>
      <c r="C435" s="17" t="inlineStr">
        <is>
          <t>[application] He is not liable under s.13, which penalises practising without a warrant, declaration, bond or filed copy of the warrant, since he holds a warrant and lacks only the yearly certificate.</t>
        </is>
      </c>
      <c r="D435" s="17" t="inlineStr">
        <is>
          <t>PROV-M057-006: Notaries Ordinance No. 1 of 1907 s.13
Facts: BG-1</t>
        </is>
      </c>
      <c r="E435" s="17" t="inlineStr">
        <is>
          <t>[verified, support direct]</t>
        </is>
      </c>
      <c r="F435" s="21" t="n"/>
      <c r="G435" s="21" t="n"/>
      <c r="H435" s="21" t="n"/>
      <c r="I435" s="21" t="n"/>
      <c r="J435" s="21" t="n"/>
      <c r="K435" s="17">
        <f>IF(OR(A435="",B435=""),"",IF(AND(F435&lt;&gt;"",H435&lt;&gt;"",J435&lt;&gt;""),"Complete","Pending"))</f>
        <v/>
      </c>
    </row>
    <row r="436">
      <c r="A436" s="19" t="inlineStr">
        <is>
          <t>M057-Q01</t>
        </is>
      </c>
      <c r="B436" s="19" t="inlineStr">
        <is>
          <t>CL-M057-Q01-010</t>
        </is>
      </c>
      <c r="C436" s="17" t="inlineStr">
        <is>
          <t>[conclusion] Kamal Ratnayake is guilty of an offence under s.30 of the Notaries Ordinance and liable to a fine of not less than Rs. 5,000 and not exceeding Rs. 25,000 in respect of the lease, with a further such liability for each other deed attested during the uncertificated period.</t>
        </is>
      </c>
      <c r="D436" s="17" t="inlineStr">
        <is>
          <t>PROV-M057-001: Notaries Ordinance No. 1 of 1907 s.30
PROV-M057-002: Notaries Ordinance No. 1 of 1907 s.27(2)
Facts: BG-2</t>
        </is>
      </c>
      <c r="E436" s="17" t="inlineStr">
        <is>
          <t>[verified, support combined]</t>
        </is>
      </c>
      <c r="F436" s="21" t="n"/>
      <c r="G436" s="21" t="n"/>
      <c r="H436" s="21" t="n"/>
      <c r="I436" s="21" t="n"/>
      <c r="J436" s="21" t="n"/>
      <c r="K436" s="17">
        <f>IF(OR(A436="",B436=""),"",IF(AND(F436&lt;&gt;"",H436&lt;&gt;"",J436&lt;&gt;""),"Complete","Pending"))</f>
        <v/>
      </c>
    </row>
    <row r="437">
      <c r="A437" s="19" t="inlineStr">
        <is>
          <t>M057-Q01</t>
        </is>
      </c>
      <c r="B437" s="19" t="inlineStr">
        <is>
          <t>CL-M057-Q01-011</t>
        </is>
      </c>
      <c r="C437" s="17" t="inlineStr">
        <is>
          <t>[conclusion] That liability may be discharged by composition accepted by the Registrar-General rather than by prosecution, and he additionally risks cancellation of his warrant or suspension from office by the Minister following a s.21 inquiry and report.</t>
        </is>
      </c>
      <c r="D437" s="17" t="inlineStr">
        <is>
          <t>PROV-M057-003: Notaries Ordinance No. 1 of 1907 s.35(1)
PROV-M057-004: Notaries Ordinance No. 1 of 1907 s.21(2)</t>
        </is>
      </c>
      <c r="E437" s="17" t="inlineStr">
        <is>
          <t>[verified, support combined]</t>
        </is>
      </c>
      <c r="F437" s="21" t="n"/>
      <c r="G437" s="21" t="n"/>
      <c r="H437" s="21" t="n"/>
      <c r="I437" s="21" t="n"/>
      <c r="J437" s="21" t="n"/>
      <c r="K437" s="17">
        <f>IF(OR(A437="",B437=""),"",IF(AND(F437&lt;&gt;"",H437&lt;&gt;"",J437&lt;&gt;""),"Complete","Pending"))</f>
        <v/>
      </c>
    </row>
    <row r="438">
      <c r="A438" s="19" t="inlineStr">
        <is>
          <t>M059-Q01</t>
        </is>
      </c>
      <c r="B438" s="19" t="inlineStr">
        <is>
          <t>CL-M059-Q01-001</t>
        </is>
      </c>
      <c r="C438" s="17" t="inlineStr">
        <is>
          <t>[rule] Under Mortgage Act s.46, a decree in a hypothecary action on a mortgage of land, or in an action to recover moneys due on such a mortgage, cannot order any property other than the mortgaged property to be sold, and no other property is liable to be sold in execution of such a decree.</t>
        </is>
      </c>
      <c r="D438" s="17" t="inlineStr">
        <is>
          <t>PROV-M059-002: Mortgage Act s.46</t>
        </is>
      </c>
      <c r="E438" s="17" t="inlineStr">
        <is>
          <t>[verified, support direct]</t>
        </is>
      </c>
      <c r="F438" s="21" t="n"/>
      <c r="G438" s="21" t="n"/>
      <c r="H438" s="21" t="n"/>
      <c r="I438" s="21" t="n"/>
      <c r="J438" s="21" t="n"/>
      <c r="K438" s="17">
        <f>IF(OR(A438="",B438=""),"",IF(AND(F438&lt;&gt;"",H438&lt;&gt;"",J438&lt;&gt;""),"Complete","Pending"))</f>
        <v/>
      </c>
    </row>
    <row r="439">
      <c r="A439" s="19" t="inlineStr">
        <is>
          <t>M059-Q01</t>
        </is>
      </c>
      <c r="B439" s="19" t="inlineStr">
        <is>
          <t>CL-M059-Q01-002</t>
        </is>
      </c>
      <c r="C439" s="17" t="inlineStr">
        <is>
          <t>[rule] By Mortgage Act s.47 the s.46 restriction has effect notwithstanding anything in any other law or in any mortgage bond or other instrument, so a lender cannot displace it by a term of the bond.</t>
        </is>
      </c>
      <c r="D439" s="17" t="inlineStr">
        <is>
          <t>PROV-M059-007: Mortgage Act s.47</t>
        </is>
      </c>
      <c r="E439" s="17" t="inlineStr">
        <is>
          <t>[verified, support direct]</t>
        </is>
      </c>
      <c r="F439" s="21" t="n"/>
      <c r="G439" s="21" t="n"/>
      <c r="H439" s="21" t="n"/>
      <c r="I439" s="21" t="n"/>
      <c r="J439" s="21" t="n"/>
      <c r="K439" s="17">
        <f>IF(OR(A439="",B439=""),"",IF(AND(F439&lt;&gt;"",H439&lt;&gt;"",J439&lt;&gt;""),"Complete","Pending"))</f>
        <v/>
      </c>
    </row>
    <row r="440">
      <c r="A440" s="19" t="inlineStr">
        <is>
          <t>M059-Q01</t>
        </is>
      </c>
      <c r="B440" s="19" t="inlineStr">
        <is>
          <t>CL-M059-Q01-003</t>
        </is>
      </c>
      <c r="C440" s="17" t="inlineStr">
        <is>
          <t>[rule] Mortgage Act s.47A(1) allows the benefit of s.46 to be renounced where, at the time of execution of a mortgage bond in favour of a lending institution for a loan whose principal exceeds one hundred and fifty thousand rupees, the mortgagor executes a separate instrument attested by the notary attesting the bond and by the witnesses to it, containing a special declaration of renunciation and the notary's endorsement that he explained its effect.</t>
        </is>
      </c>
      <c r="D440" s="17" t="inlineStr">
        <is>
          <t>PROV-M059-001: Mortgage Act s.47A (1)
PROV-M059-901: Mortgage Act s.47A (1)(b)</t>
        </is>
      </c>
      <c r="E440" s="17" t="inlineStr">
        <is>
          <t>[verified, support direct]</t>
        </is>
      </c>
      <c r="F440" s="21" t="n"/>
      <c r="G440" s="21" t="n"/>
      <c r="H440" s="21" t="n"/>
      <c r="I440" s="21" t="n"/>
      <c r="J440" s="21" t="n"/>
      <c r="K440" s="17">
        <f>IF(OR(A440="",B440=""),"",IF(AND(F440&lt;&gt;"",H440&lt;&gt;"",J440&lt;&gt;""),"Complete","Pending"))</f>
        <v/>
      </c>
    </row>
    <row r="441">
      <c r="A441" s="19" t="inlineStr">
        <is>
          <t>M059-Q01</t>
        </is>
      </c>
      <c r="B441" s="19" t="inlineStr">
        <is>
          <t>CL-M059-Q01-004</t>
        </is>
      </c>
      <c r="C441" s="17" t="inlineStr">
        <is>
          <t>[rule] Where such an instrument is executed, in addition to the mortgaged property any other property belonging to the mortgagor is liable to be ordered to be sold and to be sold under the decree in an action upon the mortgage, and Civil Procedure Code s.218 applies mutatis mutandis to the seizure and sale of that other property.</t>
        </is>
      </c>
      <c r="D441" s="17" t="inlineStr">
        <is>
          <t>PROV-M059-004: Mortgage Act s.47A (1) closing words
PROV-M059-008: Civil Procedure Code s.218</t>
        </is>
      </c>
      <c r="E441" s="17" t="inlineStr">
        <is>
          <t>[verified, support direct]</t>
        </is>
      </c>
      <c r="F441" s="21" t="n"/>
      <c r="G441" s="21" t="n"/>
      <c r="H441" s="21" t="n"/>
      <c r="I441" s="21" t="n"/>
      <c r="J441" s="21" t="n"/>
      <c r="K441" s="17">
        <f>IF(OR(A441="",B441=""),"",IF(AND(F441&lt;&gt;"",H441&lt;&gt;"",J441&lt;&gt;""),"Complete","Pending"))</f>
        <v/>
      </c>
    </row>
    <row r="442">
      <c r="A442" s="19" t="inlineStr">
        <is>
          <t>M059-Q01</t>
        </is>
      </c>
      <c r="B442" s="19" t="inlineStr">
        <is>
          <t>CL-M059-Q01-005</t>
        </is>
      </c>
      <c r="C442" s="17" t="inlineStr">
        <is>
          <t>[rule] Mortgage Act s.47A(2) prevents process issuing against the mortgagor's other property until the mortgaged property has been sold and the proceeds applied in satisfaction of the decree.</t>
        </is>
      </c>
      <c r="D442" s="17" t="inlineStr">
        <is>
          <t>PROV-M059-005: Mortgage Act s.47A (2)</t>
        </is>
      </c>
      <c r="E442" s="17" t="inlineStr">
        <is>
          <t>[verified, support direct]</t>
        </is>
      </c>
      <c r="F442" s="21" t="n"/>
      <c r="G442" s="21" t="n"/>
      <c r="H442" s="21" t="n"/>
      <c r="I442" s="21" t="n"/>
      <c r="J442" s="21" t="n"/>
      <c r="K442" s="17">
        <f>IF(OR(A442="",B442=""),"",IF(AND(F442&lt;&gt;"",H442&lt;&gt;"",J442&lt;&gt;""),"Complete","Pending"))</f>
        <v/>
      </c>
    </row>
    <row r="443">
      <c r="A443" s="19" t="inlineStr">
        <is>
          <t>M059-Q01</t>
        </is>
      </c>
      <c r="B443" s="19" t="inlineStr">
        <is>
          <t>CL-M059-Q01-006</t>
        </is>
      </c>
      <c r="C443" s="17" t="inlineStr">
        <is>
          <t>[rule] Mortgage Act s.47A(3) imposes a duty on the notary to explain to the mortgagor that the instrument renounces the benefit of s.46 and that other property becomes liable to be sold in execution of a decree on the mortgage.</t>
        </is>
      </c>
      <c r="D443" s="17" t="inlineStr">
        <is>
          <t>PROV-M059-006: Mortgage Act s.47A (3)</t>
        </is>
      </c>
      <c r="E443" s="17" t="inlineStr">
        <is>
          <t>[verified, support direct]</t>
        </is>
      </c>
      <c r="F443" s="21" t="n"/>
      <c r="G443" s="21" t="n"/>
      <c r="H443" s="21" t="n"/>
      <c r="I443" s="21" t="n"/>
      <c r="J443" s="21" t="n"/>
      <c r="K443" s="17">
        <f>IF(OR(A443="",B443=""),"",IF(AND(F443&lt;&gt;"",H443&lt;&gt;"",J443&lt;&gt;""),"Complete","Pending"))</f>
        <v/>
      </c>
    </row>
    <row r="444">
      <c r="A444" s="19" t="inlineStr">
        <is>
          <t>M059-Q01</t>
        </is>
      </c>
      <c r="B444" s="19" t="inlineStr">
        <is>
          <t>CL-M059-Q01-007</t>
        </is>
      </c>
      <c r="C444" s="17" t="inlineStr">
        <is>
          <t>[application] The National Savings Bank, the proposed mortgagee, is a lending institution for the purposes of s.47A because s.47A(7)(d) names it expressly.</t>
        </is>
      </c>
      <c r="D444" s="17" t="inlineStr">
        <is>
          <t>PROV-M059-003: Mortgage Act s.47A (7)
Facts: BG-1</t>
        </is>
      </c>
      <c r="E444" s="17" t="inlineStr">
        <is>
          <t>[verified, support direct]</t>
        </is>
      </c>
      <c r="F444" s="21" t="n"/>
      <c r="G444" s="21" t="n"/>
      <c r="H444" s="21" t="n"/>
      <c r="I444" s="21" t="n"/>
      <c r="J444" s="21" t="n"/>
      <c r="K444" s="17">
        <f>IF(OR(A444="",B444=""),"",IF(AND(F444&lt;&gt;"",H444&lt;&gt;"",J444&lt;&gt;""),"Complete","Pending"))</f>
        <v/>
      </c>
    </row>
    <row r="445">
      <c r="A445" s="19" t="inlineStr">
        <is>
          <t>M059-Q01</t>
        </is>
      </c>
      <c r="B445" s="19" t="inlineStr">
        <is>
          <t>CL-M059-Q01-008</t>
        </is>
      </c>
      <c r="C445" s="17" t="inlineStr">
        <is>
          <t>[application] The principal of the loan, Rs.2,000,000, exceeds the one hundred and fifty thousand rupee threshold in s.47A(1), so the section is available on these facts.</t>
        </is>
      </c>
      <c r="D445" s="17" t="inlineStr">
        <is>
          <t>PROV-M059-001: Mortgage Act s.47A (1)
Facts: BG-2</t>
        </is>
      </c>
      <c r="E445" s="17" t="inlineStr">
        <is>
          <t>[verified, support direct]</t>
        </is>
      </c>
      <c r="F445" s="21" t="n"/>
      <c r="G445" s="21" t="n"/>
      <c r="H445" s="21" t="n"/>
      <c r="I445" s="21" t="n"/>
      <c r="J445" s="21" t="n"/>
      <c r="K445" s="17">
        <f>IF(OR(A445="",B445=""),"",IF(AND(F445&lt;&gt;"",H445&lt;&gt;"",J445&lt;&gt;""),"Complete","Pending"))</f>
        <v/>
      </c>
    </row>
    <row r="446">
      <c r="A446" s="19" t="inlineStr">
        <is>
          <t>M059-Q01</t>
        </is>
      </c>
      <c r="B446" s="19" t="inlineStr">
        <is>
          <t>CL-M059-Q01-009</t>
        </is>
      </c>
      <c r="C446" s="17" t="inlineStr">
        <is>
          <t>[application] Without the declaration the Bank's recovery under any decree on the bond would be confined to the mortgaged Rajagiriya land, and it could not enlarge that remedy by a clause in the bond.</t>
        </is>
      </c>
      <c r="D446" s="17" t="inlineStr">
        <is>
          <t>PROV-M059-002: Mortgage Act s.46
PROV-M059-007: Mortgage Act s.47
Facts: BG-3</t>
        </is>
      </c>
      <c r="E446" s="17" t="inlineStr">
        <is>
          <t>[verified, support combined]</t>
        </is>
      </c>
      <c r="F446" s="21" t="n"/>
      <c r="G446" s="21" t="n"/>
      <c r="H446" s="21" t="n"/>
      <c r="I446" s="21" t="n"/>
      <c r="J446" s="21" t="n"/>
      <c r="K446" s="17">
        <f>IF(OR(A446="",B446=""),"",IF(AND(F446&lt;&gt;"",H446&lt;&gt;"",J446&lt;&gt;""),"Complete","Pending"))</f>
        <v/>
      </c>
    </row>
    <row r="447">
      <c r="A447" s="19" t="inlineStr">
        <is>
          <t>M059-Q01</t>
        </is>
      </c>
      <c r="B447" s="19" t="inlineStr">
        <is>
          <t>CL-M059-Q01-010</t>
        </is>
      </c>
      <c r="C447" s="17" t="inlineStr">
        <is>
          <t>[conclusion] The Bank requests the s.47A declaration so that, on the mortgagor renouncing the benefit of s.46, her property other than the mortgaged land becomes liable to be sold under a decree in an action upon the mortgage, giving the Bank recourse for any shortfall.</t>
        </is>
      </c>
      <c r="D447" s="17" t="inlineStr">
        <is>
          <t>PROV-M059-001: Mortgage Act s.47A (1)
PROV-M059-002: Mortgage Act s.46
PROV-M059-004: Mortgage Act s.47A (1) closing words
Facts: BG-1, BG-2</t>
        </is>
      </c>
      <c r="E447" s="17" t="inlineStr">
        <is>
          <t>[verified, support combined]</t>
        </is>
      </c>
      <c r="F447" s="21" t="n"/>
      <c r="G447" s="21" t="n"/>
      <c r="H447" s="21" t="n"/>
      <c r="I447" s="21" t="n"/>
      <c r="J447" s="21" t="n"/>
      <c r="K447" s="17">
        <f>IF(OR(A447="",B447=""),"",IF(AND(F447&lt;&gt;"",H447&lt;&gt;"",J447&lt;&gt;""),"Complete","Pending"))</f>
        <v/>
      </c>
    </row>
    <row r="448">
      <c r="A448" s="19" t="inlineStr">
        <is>
          <t>M059-Q01</t>
        </is>
      </c>
      <c r="B448" s="19" t="inlineStr">
        <is>
          <t>CL-M059-Q01-011</t>
        </is>
      </c>
      <c r="C448" s="17" t="inlineStr">
        <is>
          <t>[conclusion] That recourse is a shortfall remedy only: the Bank must first sell the mortgaged land and apply the proceeds before process may issue against her other property.</t>
        </is>
      </c>
      <c r="D448" s="17" t="inlineStr">
        <is>
          <t>PROV-M059-005: Mortgage Act s.47A (2)</t>
        </is>
      </c>
      <c r="E448" s="17" t="inlineStr">
        <is>
          <t>[verified, support direct]</t>
        </is>
      </c>
      <c r="F448" s="21" t="n"/>
      <c r="G448" s="21" t="n"/>
      <c r="H448" s="21" t="n"/>
      <c r="I448" s="21" t="n"/>
      <c r="J448" s="21" t="n"/>
      <c r="K448" s="17">
        <f>IF(OR(A448="",B448=""),"",IF(AND(F448&lt;&gt;"",H448&lt;&gt;"",J448&lt;&gt;""),"Complete","Pending"))</f>
        <v/>
      </c>
    </row>
    <row r="449">
      <c r="A449" s="19" t="inlineStr">
        <is>
          <t>M061-Q01</t>
        </is>
      </c>
      <c r="B449" s="19" t="inlineStr">
        <is>
          <t>CL-M061-Q01-001</t>
        </is>
      </c>
      <c r="C449" s="17" t="inlineStr">
        <is>
          <t>[rule] Inheritance ab intestato to immovable property in Sri Lanka is governed by the Matrimonial Rights and Inheritance Ordinance, whatever the deceased person's domicile, and land with a house on it is immovable property for that purpose.</t>
        </is>
      </c>
      <c r="D449" s="17" t="inlineStr">
        <is>
          <t>PROV-M061-004: Matrimonial Rights and Inheritance Ordinance s.21 (1)
PROV-M061-002: Matrimonial Rights and Inheritance Ordinance s.3</t>
        </is>
      </c>
      <c r="E449" s="17" t="inlineStr">
        <is>
          <t>[verified, support combined]</t>
        </is>
      </c>
      <c r="F449" s="21" t="n"/>
      <c r="G449" s="21" t="n"/>
      <c r="H449" s="21" t="n"/>
      <c r="I449" s="21" t="n"/>
      <c r="J449" s="21" t="n"/>
      <c r="K449" s="17">
        <f>IF(OR(A449="",B449=""),"",IF(AND(F449&lt;&gt;"",H449&lt;&gt;"",J449&lt;&gt;""),"Complete","Pending"))</f>
        <v/>
      </c>
    </row>
    <row r="450">
      <c r="A450" s="19" t="inlineStr">
        <is>
          <t>M061-Q01</t>
        </is>
      </c>
      <c r="B450" s="19" t="inlineStr">
        <is>
          <t>CL-M061-Q01-002</t>
        </is>
      </c>
      <c r="C450" s="17" t="inlineStr">
        <is>
          <t>[rule] Part III of the Ordinance applies to the estate of any person dying after the proclamation of the Ordinance, but the Ordinance does not apply to Kandyans, Muslims or Tamils of the Northern Province subject to the Thesawalamai.</t>
        </is>
      </c>
      <c r="D450" s="17" t="inlineStr">
        <is>
          <t>PROV-M061-003: Matrimonial Rights and Inheritance Ordinance s.20
PROV-M061-001: Matrimonial Rights and Inheritance Ordinance s.2</t>
        </is>
      </c>
      <c r="E450" s="17" t="inlineStr">
        <is>
          <t>[verified, support combined]</t>
        </is>
      </c>
      <c r="F450" s="21" t="n"/>
      <c r="G450" s="21" t="n"/>
      <c r="H450" s="21" t="n"/>
      <c r="I450" s="21" t="n"/>
      <c r="J450" s="21" t="n"/>
      <c r="K450" s="17">
        <f>IF(OR(A450="",B450=""),"",IF(AND(F450&lt;&gt;"",H450&lt;&gt;"",J450&lt;&gt;""),"Complete","Pending"))</f>
        <v/>
      </c>
    </row>
    <row r="451">
      <c r="A451" s="19" t="inlineStr">
        <is>
          <t>M061-Q01</t>
        </is>
      </c>
      <c r="B451" s="19" t="inlineStr">
        <is>
          <t>CL-M061-Q01-003</t>
        </is>
      </c>
      <c r="C451" s="17" t="inlineStr">
        <is>
          <t>[rule] A surviving spouse inherits one-half of the intestate's property, and the remaining half devolves in the order descendants, ascendants, collaterals.</t>
        </is>
      </c>
      <c r="D451" s="17" t="inlineStr">
        <is>
          <t>PROV-M061-005: Matrimonial Rights and Inheritance Ordinance s.22
PROV-M061-006: Matrimonial Rights and Inheritance Ordinance s.23</t>
        </is>
      </c>
      <c r="E451" s="17" t="inlineStr">
        <is>
          <t>[verified, support combined]</t>
        </is>
      </c>
      <c r="F451" s="21" t="n"/>
      <c r="G451" s="21" t="n"/>
      <c r="H451" s="21" t="n"/>
      <c r="I451" s="21" t="n"/>
      <c r="J451" s="21" t="n"/>
      <c r="K451" s="17">
        <f>IF(OR(A451="",B451=""),"",IF(AND(F451&lt;&gt;"",H451&lt;&gt;"",J451&lt;&gt;""),"Complete","Pending"))</f>
        <v/>
      </c>
    </row>
    <row r="452">
      <c r="A452" s="19" t="inlineStr">
        <is>
          <t>M061-Q01</t>
        </is>
      </c>
      <c r="B452" s="19" t="inlineStr">
        <is>
          <t>CL-M061-Q01-004</t>
        </is>
      </c>
      <c r="C452" s="17" t="inlineStr">
        <is>
          <t>[rule] Children are preferent to all others in the estate of a parent and take equally per capita, the issue of a predeceased child taking by representation; persons equally near in degree take per capita.</t>
        </is>
      </c>
      <c r="D452" s="17" t="inlineStr">
        <is>
          <t>PROV-M061-007: Matrimonial Rights and Inheritance Ordinance s.24
PROV-M061-011: Matrimonial Rights and Inheritance Ordinance s.30</t>
        </is>
      </c>
      <c r="E452" s="17" t="inlineStr">
        <is>
          <t>[verified, support combined]</t>
        </is>
      </c>
      <c r="F452" s="21" t="n"/>
      <c r="G452" s="21" t="n"/>
      <c r="H452" s="21" t="n"/>
      <c r="I452" s="21" t="n"/>
      <c r="J452" s="21" t="n"/>
      <c r="K452" s="17">
        <f>IF(OR(A452="",B452=""),"",IF(AND(F452&lt;&gt;"",H452&lt;&gt;"",J452&lt;&gt;""),"Complete","Pending"))</f>
        <v/>
      </c>
    </row>
    <row r="453">
      <c r="A453" s="19" t="inlineStr">
        <is>
          <t>M061-Q01</t>
        </is>
      </c>
      <c r="B453" s="19" t="inlineStr">
        <is>
          <t>CL-M061-Q01-005</t>
        </is>
      </c>
      <c r="C453" s="17" t="inlineStr">
        <is>
          <t>[rule] Where descendants fail and both parents have failed, the estate goes to the brothers and sisters of the whole or half blood and their issue by representation, and where all the half-siblings are related on one side only they take the whole, subject to a surviving ascendant on the other side.</t>
        </is>
      </c>
      <c r="D453" s="17" t="inlineStr">
        <is>
          <t>PROV-M061-009: Matrimonial Rights and Inheritance Ordinance s.26
PROV-M061-010: Matrimonial Rights and Inheritance Ordinance s.29</t>
        </is>
      </c>
      <c r="E453" s="17" t="inlineStr">
        <is>
          <t>[verified, support combined]</t>
        </is>
      </c>
      <c r="F453" s="21" t="n"/>
      <c r="G453" s="21" t="n"/>
      <c r="H453" s="21" t="n"/>
      <c r="I453" s="21" t="n"/>
      <c r="J453" s="21" t="n"/>
      <c r="K453" s="17">
        <f>IF(OR(A453="",B453=""),"",IF(AND(F453&lt;&gt;"",H453&lt;&gt;"",J453&lt;&gt;""),"Complete","Pending"))</f>
        <v/>
      </c>
    </row>
    <row r="454">
      <c r="A454" s="19" t="inlineStr">
        <is>
          <t>M061-Q01</t>
        </is>
      </c>
      <c r="B454" s="19" t="inlineStr">
        <is>
          <t>CL-M061-Q01-006</t>
        </is>
      </c>
      <c r="C454" s="17" t="inlineStr">
        <is>
          <t>[rule] Where descendants fail and only one parent survives, the surviving parent takes half and the full brothers and sisters, with the half-siblings related through the deceased parent and their issue by representation, take the other half.</t>
        </is>
      </c>
      <c r="D454" s="17" t="inlineStr">
        <is>
          <t>PROV-M061-008: Matrimonial Rights and Inheritance Ordinance s.25</t>
        </is>
      </c>
      <c r="E454" s="17" t="inlineStr">
        <is>
          <t>[verified, support direct]</t>
        </is>
      </c>
      <c r="F454" s="21" t="n"/>
      <c r="G454" s="21" t="n"/>
      <c r="H454" s="21" t="n"/>
      <c r="I454" s="21" t="n"/>
      <c r="J454" s="21" t="n"/>
      <c r="K454" s="17">
        <f>IF(OR(A454="",B454=""),"",IF(AND(F454&lt;&gt;"",H454&lt;&gt;"",J454&lt;&gt;""),"Complete","Pending"))</f>
        <v/>
      </c>
    </row>
    <row r="455">
      <c r="A455" s="19" t="inlineStr">
        <is>
          <t>M061-Q01</t>
        </is>
      </c>
      <c r="B455" s="19" t="inlineStr">
        <is>
          <t>CL-M061-Q01-007</t>
        </is>
      </c>
      <c r="C455" s="17" t="inlineStr">
        <is>
          <t>[application] Deed of Gift No.1100 of 12 January 2006, being a notarially attested deed, vested ownership of Lot A in Dinesh Gamage subject to the life interest reserved to Sujeewa Jayamini, and that life interest determined on her death on 21 April 2007, leaving Dinesh sole owner.</t>
        </is>
      </c>
      <c r="D455" s="17" t="inlineStr">
        <is>
          <t>PROV-M061-012: Prevention of Frauds Ordinance s.2 (1)
PROV-M061-901: Matrimonial Rights and Inheritance Ordinance s.36
Facts: BG-1, BG-2, BG-3</t>
        </is>
      </c>
      <c r="E455" s="17" t="inlineStr">
        <is>
          <t>[disputed, support inferential]</t>
        </is>
      </c>
      <c r="F455" s="21" t="n"/>
      <c r="G455" s="21" t="n"/>
      <c r="H455" s="21" t="n"/>
      <c r="I455" s="21" t="n"/>
      <c r="J455" s="21" t="n"/>
      <c r="K455" s="17">
        <f>IF(OR(A455="",B455=""),"",IF(AND(F455&lt;&gt;"",H455&lt;&gt;"",J455&lt;&gt;""),"Complete","Pending"))</f>
        <v/>
      </c>
    </row>
    <row r="456">
      <c r="A456" s="19" t="inlineStr">
        <is>
          <t>M061-Q01</t>
        </is>
      </c>
      <c r="B456" s="19" t="inlineStr">
        <is>
          <t>CL-M061-Q01-008</t>
        </is>
      </c>
      <c r="C456" s="17" t="inlineStr">
        <is>
          <t>[application] On the intestacy of Dinesh Gamage on 23 November 2009, Lot A devolved on his widow Lochana as to one-half and on his four children Neesha, Kasun, Kavindu and Piyumi as to the other half in equal per capita shares, his brother Iresh taking nothing.</t>
        </is>
      </c>
      <c r="D456" s="17" t="inlineStr">
        <is>
          <t>PROV-M061-005: Matrimonial Rights and Inheritance Ordinance s.22
PROV-M061-006: Matrimonial Rights and Inheritance Ordinance s.23
PROV-M061-007: Matrimonial Rights and Inheritance Ordinance s.24
PROV-M061-011: Matrimonial Rights and Inheritance Ordinance s.30
Facts: BG-4, BG-5</t>
        </is>
      </c>
      <c r="E456" s="17" t="inlineStr">
        <is>
          <t>[verified, support combined]</t>
        </is>
      </c>
      <c r="F456" s="21" t="n"/>
      <c r="G456" s="21" t="n"/>
      <c r="H456" s="21" t="n"/>
      <c r="I456" s="21" t="n"/>
      <c r="J456" s="21" t="n"/>
      <c r="K456" s="17">
        <f>IF(OR(A456="",B456=""),"",IF(AND(F456&lt;&gt;"",H456&lt;&gt;"",J456&lt;&gt;""),"Complete","Pending"))</f>
        <v/>
      </c>
    </row>
    <row r="457">
      <c r="A457" s="19" t="inlineStr">
        <is>
          <t>M061-Q01</t>
        </is>
      </c>
      <c r="B457" s="19" t="inlineStr">
        <is>
          <t>CL-M061-Q01-009</t>
        </is>
      </c>
      <c r="C457" s="17" t="inlineStr">
        <is>
          <t>[application] On the intestacy of Neesha Gamage on 20 May 2012, her husband Rohan Jayaweera took one-half of her share, and because she left no descendants and both her parents had predeceased her, the other half passed to her half-siblings Kasun, Kavindu and Piyumi, who as half-siblings on the father's side alone took the whole of that portion in equal shares.</t>
        </is>
      </c>
      <c r="D457" s="17" t="inlineStr">
        <is>
          <t>PROV-M061-005: Matrimonial Rights and Inheritance Ordinance s.22
PROV-M061-009: Matrimonial Rights and Inheritance Ordinance s.26
PROV-M061-010: Matrimonial Rights and Inheritance Ordinance s.29
PROV-M061-011: Matrimonial Rights and Inheritance Ordinance s.30
Facts: BG-5, BG-6, BG-7</t>
        </is>
      </c>
      <c r="E457" s="17" t="inlineStr">
        <is>
          <t>[verified, support combined]</t>
        </is>
      </c>
      <c r="F457" s="21" t="n"/>
      <c r="G457" s="21" t="n"/>
      <c r="H457" s="21" t="n"/>
      <c r="I457" s="21" t="n"/>
      <c r="J457" s="21" t="n"/>
      <c r="K457" s="17">
        <f>IF(OR(A457="",B457=""),"",IF(AND(F457&lt;&gt;"",H457&lt;&gt;"",J457&lt;&gt;""),"Complete","Pending"))</f>
        <v/>
      </c>
    </row>
    <row r="458">
      <c r="A458" s="19" t="inlineStr">
        <is>
          <t>M061-Q01</t>
        </is>
      </c>
      <c r="B458" s="19" t="inlineStr">
        <is>
          <t>CL-M061-Q01-010</t>
        </is>
      </c>
      <c r="C458" s="17" t="inlineStr">
        <is>
          <t>[application] On the intestacy of Kasun Gamage on 5 July 2015, he leaving no spouse and no issue, his surviving mother Lochana took half of his accumulated share and his full siblings Kavindu and Piyumi took the other half in equal shares, Neesha having already died without issue in 2012.</t>
        </is>
      </c>
      <c r="D458" s="17" t="inlineStr">
        <is>
          <t>PROV-M061-008: Matrimonial Rights and Inheritance Ordinance s.25
PROV-M061-011: Matrimonial Rights and Inheritance Ordinance s.30
Facts: BG-4, BG-7, BG-8</t>
        </is>
      </c>
      <c r="E458" s="17" t="inlineStr">
        <is>
          <t>[verified, support combined]</t>
        </is>
      </c>
      <c r="F458" s="21" t="n"/>
      <c r="G458" s="21" t="n"/>
      <c r="H458" s="21" t="n"/>
      <c r="I458" s="21" t="n"/>
      <c r="J458" s="21" t="n"/>
      <c r="K458" s="17">
        <f>IF(OR(A458="",B458=""),"",IF(AND(F458&lt;&gt;"",H458&lt;&gt;"",J458&lt;&gt;""),"Complete","Pending"))</f>
        <v/>
      </c>
    </row>
    <row r="459">
      <c r="A459" s="19" t="inlineStr">
        <is>
          <t>M061-Q01</t>
        </is>
      </c>
      <c r="B459" s="19" t="inlineStr">
        <is>
          <t>CL-M061-Q01-011</t>
        </is>
      </c>
      <c r="C459" s="17" t="inlineStr">
        <is>
          <t>[conclusion] The present owners of the land and house are Lochana Gamage, Kavindu Gamage, Piyumi Gamage and Rohan Jayaweera.</t>
        </is>
      </c>
      <c r="D459" s="17" t="inlineStr">
        <is>
          <t>PROV-M061-005: Matrimonial Rights and Inheritance Ordinance s.22
PROV-M061-007: Matrimonial Rights and Inheritance Ordinance s.24
PROV-M061-008: Matrimonial Rights and Inheritance Ordinance s.25
PROV-M061-009: Matrimonial Rights and Inheritance Ordinance s.26
PROV-M061-010: Matrimonial Rights and Inheritance Ordinance s.29
PROV-M061-011: Matrimonial Rights and Inheritance Ordinance s.30
Facts: BG-1, BG-2, BG-3, BG-4, BG-5, BG-6, BG-7, BG-8</t>
        </is>
      </c>
      <c r="E459" s="17" t="inlineStr">
        <is>
          <t>[verified, support combined]</t>
        </is>
      </c>
      <c r="F459" s="21" t="n"/>
      <c r="G459" s="21" t="n"/>
      <c r="H459" s="21" t="n"/>
      <c r="I459" s="21" t="n"/>
      <c r="J459" s="21" t="n"/>
      <c r="K459" s="17">
        <f>IF(OR(A459="",B459=""),"",IF(AND(F459&lt;&gt;"",H459&lt;&gt;"",J459&lt;&gt;""),"Complete","Pending"))</f>
        <v/>
      </c>
    </row>
    <row r="460">
      <c r="A460" s="19" t="inlineStr">
        <is>
          <t>M061-Q01</t>
        </is>
      </c>
      <c r="B460" s="19" t="inlineStr">
        <is>
          <t>CL-M061-Q01-012</t>
        </is>
      </c>
      <c r="C460" s="17" t="inlineStr">
        <is>
          <t>[conclusion] The pedigree is stated on the assumption that the general law and not Kandyan law, Muslim law or the Thesawalamai governs this family, and that no maternal grandparent of Neesha survived her.</t>
        </is>
      </c>
      <c r="D460" s="17" t="inlineStr">
        <is>
          <t>PROV-M061-001: Matrimonial Rights and Inheritance Ordinance s.2
PROV-M061-010: Matrimonial Rights and Inheritance Ordinance s.29</t>
        </is>
      </c>
      <c r="E460" s="17" t="inlineStr">
        <is>
          <t>[verified, support inferential]</t>
        </is>
      </c>
      <c r="F460" s="21" t="n"/>
      <c r="G460" s="21" t="n"/>
      <c r="H460" s="21" t="n"/>
      <c r="I460" s="21" t="n"/>
      <c r="J460" s="21" t="n"/>
      <c r="K460" s="17">
        <f>IF(OR(A460="",B460=""),"",IF(AND(F460&lt;&gt;"",H460&lt;&gt;"",J460&lt;&gt;""),"Complete","Pending"))</f>
        <v/>
      </c>
    </row>
    <row r="461">
      <c r="A461" s="19" t="inlineStr">
        <is>
          <t>M061-Q02</t>
        </is>
      </c>
      <c r="B461" s="19" t="inlineStr">
        <is>
          <t>CL-M061-Q02-001</t>
        </is>
      </c>
      <c r="C461" s="17" t="inlineStr">
        <is>
          <t>[rule] A surviving spouse inherits one-half of the intestate's property and the remaining half devolves first on descendants, who take equally per capita when equally near in degree.</t>
        </is>
      </c>
      <c r="D461" s="17" t="inlineStr">
        <is>
          <t>PROV-M061-005: Matrimonial Rights and Inheritance Ordinance s.22
PROV-M061-006: Matrimonial Rights and Inheritance Ordinance s.23
PROV-M061-007: Matrimonial Rights and Inheritance Ordinance s.24
PROV-M061-011: Matrimonial Rights and Inheritance Ordinance s.30</t>
        </is>
      </c>
      <c r="E461" s="17" t="inlineStr">
        <is>
          <t>[verified, support combined]</t>
        </is>
      </c>
      <c r="F461" s="21" t="n"/>
      <c r="G461" s="21" t="n"/>
      <c r="H461" s="21" t="n"/>
      <c r="I461" s="21" t="n"/>
      <c r="J461" s="21" t="n"/>
      <c r="K461" s="17">
        <f>IF(OR(A461="",B461=""),"",IF(AND(F461&lt;&gt;"",H461&lt;&gt;"",J461&lt;&gt;""),"Complete","Pending"))</f>
        <v/>
      </c>
    </row>
    <row r="462">
      <c r="A462" s="19" t="inlineStr">
        <is>
          <t>M061-Q02</t>
        </is>
      </c>
      <c r="B462" s="19" t="inlineStr">
        <is>
          <t>CL-M061-Q02-002</t>
        </is>
      </c>
      <c r="C462" s="17" t="inlineStr">
        <is>
          <t>[rule] Where an intestate leaves no descendants and both parents have failed, the collateral portion goes to brothers and sisters of the whole or half blood, and half-siblings related on one side only take the whole of it subject to a surviving ascendant on the other side.</t>
        </is>
      </c>
      <c r="D462" s="17" t="inlineStr">
        <is>
          <t>PROV-M061-009: Matrimonial Rights and Inheritance Ordinance s.26
PROV-M061-010: Matrimonial Rights and Inheritance Ordinance s.29</t>
        </is>
      </c>
      <c r="E462" s="17" t="inlineStr">
        <is>
          <t>[verified, support combined]</t>
        </is>
      </c>
      <c r="F462" s="21" t="n"/>
      <c r="G462" s="21" t="n"/>
      <c r="H462" s="21" t="n"/>
      <c r="I462" s="21" t="n"/>
      <c r="J462" s="21" t="n"/>
      <c r="K462" s="17">
        <f>IF(OR(A462="",B462=""),"",IF(AND(F462&lt;&gt;"",H462&lt;&gt;"",J462&lt;&gt;""),"Complete","Pending"))</f>
        <v/>
      </c>
    </row>
    <row r="463">
      <c r="A463" s="19" t="inlineStr">
        <is>
          <t>M061-Q02</t>
        </is>
      </c>
      <c r="B463" s="19" t="inlineStr">
        <is>
          <t>CL-M061-Q02-003</t>
        </is>
      </c>
      <c r="C463" s="17" t="inlineStr">
        <is>
          <t>[rule] Where an intestate leaves no descendants and one parent survives, that parent takes half and the full brothers and sisters take the other half.</t>
        </is>
      </c>
      <c r="D463" s="17" t="inlineStr">
        <is>
          <t>PROV-M061-008: Matrimonial Rights and Inheritance Ordinance s.25</t>
        </is>
      </c>
      <c r="E463" s="17" t="inlineStr">
        <is>
          <t>[verified, support direct]</t>
        </is>
      </c>
      <c r="F463" s="21" t="n"/>
      <c r="G463" s="21" t="n"/>
      <c r="H463" s="21" t="n"/>
      <c r="I463" s="21" t="n"/>
      <c r="J463" s="21" t="n"/>
      <c r="K463" s="17">
        <f>IF(OR(A463="",B463=""),"",IF(AND(F463&lt;&gt;"",H463&lt;&gt;"",J463&lt;&gt;""),"Complete","Pending"))</f>
        <v/>
      </c>
    </row>
    <row r="464">
      <c r="A464" s="19" t="inlineStr">
        <is>
          <t>M061-Q02</t>
        </is>
      </c>
      <c r="B464" s="19" t="inlineStr">
        <is>
          <t>CL-M061-Q02-004</t>
        </is>
      </c>
      <c r="C464" s="17" t="inlineStr">
        <is>
          <t>[application] On the intestacy of Dinesh Gamage in 2009 Lochana took 1/2 of Lot A and Neesha, Kasun, Kavindu and Piyumi took 1/8 each.</t>
        </is>
      </c>
      <c r="D464" s="17" t="inlineStr">
        <is>
          <t>PROV-M061-005: Matrimonial Rights and Inheritance Ordinance s.22
PROV-M061-007: Matrimonial Rights and Inheritance Ordinance s.24
PROV-M061-011: Matrimonial Rights and Inheritance Ordinance s.30
Facts: BG-4, BG-5</t>
        </is>
      </c>
      <c r="E464" s="17" t="inlineStr">
        <is>
          <t>[verified, support combined]</t>
        </is>
      </c>
      <c r="F464" s="21" t="n"/>
      <c r="G464" s="21" t="n"/>
      <c r="H464" s="21" t="n"/>
      <c r="I464" s="21" t="n"/>
      <c r="J464" s="21" t="n"/>
      <c r="K464" s="17">
        <f>IF(OR(A464="",B464=""),"",IF(AND(F464&lt;&gt;"",H464&lt;&gt;"",J464&lt;&gt;""),"Complete","Pending"))</f>
        <v/>
      </c>
    </row>
    <row r="465">
      <c r="A465" s="19" t="inlineStr">
        <is>
          <t>M061-Q02</t>
        </is>
      </c>
      <c r="B465" s="19" t="inlineStr">
        <is>
          <t>CL-M061-Q02-005</t>
        </is>
      </c>
      <c r="C465" s="17" t="inlineStr">
        <is>
          <t>[application] On the intestacy of Neesha Gamage in 2012 her husband Rohan Jayaweera took 1/16 of Lot A and her paternal half-siblings Kasun, Kavindu and Piyumi took 1/48 each, so that each of the three then held 7/48.</t>
        </is>
      </c>
      <c r="D465" s="17" t="inlineStr">
        <is>
          <t>PROV-M061-005: Matrimonial Rights and Inheritance Ordinance s.22
PROV-M061-009: Matrimonial Rights and Inheritance Ordinance s.26
PROV-M061-010: Matrimonial Rights and Inheritance Ordinance s.29
PROV-M061-011: Matrimonial Rights and Inheritance Ordinance s.30
Facts: BG-5, BG-6, BG-7</t>
        </is>
      </c>
      <c r="E465" s="17" t="inlineStr">
        <is>
          <t>[verified, support combined]</t>
        </is>
      </c>
      <c r="F465" s="21" t="n"/>
      <c r="G465" s="21" t="n"/>
      <c r="H465" s="21" t="n"/>
      <c r="I465" s="21" t="n"/>
      <c r="J465" s="21" t="n"/>
      <c r="K465" s="17">
        <f>IF(OR(A465="",B465=""),"",IF(AND(F465&lt;&gt;"",H465&lt;&gt;"",J465&lt;&gt;""),"Complete","Pending"))</f>
        <v/>
      </c>
    </row>
    <row r="466">
      <c r="A466" s="19" t="inlineStr">
        <is>
          <t>M061-Q02</t>
        </is>
      </c>
      <c r="B466" s="19" t="inlineStr">
        <is>
          <t>CL-M061-Q02-006</t>
        </is>
      </c>
      <c r="C466" s="17" t="inlineStr">
        <is>
          <t>[application] On the intestacy of Kasun Gamage in 2015 his mother Lochana took 7/96 of Lot A and his full siblings Kavindu and Piyumi took 7/192 each.</t>
        </is>
      </c>
      <c r="D466" s="17" t="inlineStr">
        <is>
          <t>PROV-M061-008: Matrimonial Rights and Inheritance Ordinance s.25
PROV-M061-011: Matrimonial Rights and Inheritance Ordinance s.30
Facts: BG-4, BG-8</t>
        </is>
      </c>
      <c r="E466" s="17" t="inlineStr">
        <is>
          <t>[verified, support combined]</t>
        </is>
      </c>
      <c r="F466" s="21" t="n"/>
      <c r="G466" s="21" t="n"/>
      <c r="H466" s="21" t="n"/>
      <c r="I466" s="21" t="n"/>
      <c r="J466" s="21" t="n"/>
      <c r="K466" s="17">
        <f>IF(OR(A466="",B466=""),"",IF(AND(F466&lt;&gt;"",H466&lt;&gt;"",J466&lt;&gt;""),"Complete","Pending"))</f>
        <v/>
      </c>
    </row>
    <row r="467">
      <c r="A467" s="19" t="inlineStr">
        <is>
          <t>M061-Q02</t>
        </is>
      </c>
      <c r="B467" s="19" t="inlineStr">
        <is>
          <t>CL-M061-Q02-007</t>
        </is>
      </c>
      <c r="C467" s="17" t="inlineStr">
        <is>
          <t>[conclusion] Lochana Gamage presently owns 55/96, that is 110/192, of Lot A.</t>
        </is>
      </c>
      <c r="D467" s="17" t="inlineStr">
        <is>
          <t>PROV-M061-005: Matrimonial Rights and Inheritance Ordinance s.22
PROV-M061-008: Matrimonial Rights and Inheritance Ordinance s.25
Facts: BG-4, BG-8</t>
        </is>
      </c>
      <c r="E467" s="17" t="inlineStr">
        <is>
          <t>[verified, support combined]</t>
        </is>
      </c>
      <c r="F467" s="21" t="n"/>
      <c r="G467" s="21" t="n"/>
      <c r="H467" s="21" t="n"/>
      <c r="I467" s="21" t="n"/>
      <c r="J467" s="21" t="n"/>
      <c r="K467" s="17">
        <f>IF(OR(A467="",B467=""),"",IF(AND(F467&lt;&gt;"",H467&lt;&gt;"",J467&lt;&gt;""),"Complete","Pending"))</f>
        <v/>
      </c>
    </row>
    <row r="468">
      <c r="A468" s="19" t="inlineStr">
        <is>
          <t>M061-Q02</t>
        </is>
      </c>
      <c r="B468" s="19" t="inlineStr">
        <is>
          <t>CL-M061-Q02-008</t>
        </is>
      </c>
      <c r="C468" s="17" t="inlineStr">
        <is>
          <t>[conclusion] Kavindu Gamage and Piyumi Gamage each presently own 35/192 of Lot A.</t>
        </is>
      </c>
      <c r="D468" s="17" t="inlineStr">
        <is>
          <t>PROV-M061-007: Matrimonial Rights and Inheritance Ordinance s.24
PROV-M061-008: Matrimonial Rights and Inheritance Ordinance s.25
PROV-M061-009: Matrimonial Rights and Inheritance Ordinance s.26
PROV-M061-010: Matrimonial Rights and Inheritance Ordinance s.29
PROV-M061-011: Matrimonial Rights and Inheritance Ordinance s.30
Facts: BG-4, BG-7, BG-8</t>
        </is>
      </c>
      <c r="E468" s="17" t="inlineStr">
        <is>
          <t>[verified, support combined]</t>
        </is>
      </c>
      <c r="F468" s="21" t="n"/>
      <c r="G468" s="21" t="n"/>
      <c r="H468" s="21" t="n"/>
      <c r="I468" s="21" t="n"/>
      <c r="J468" s="21" t="n"/>
      <c r="K468" s="17">
        <f>IF(OR(A468="",B468=""),"",IF(AND(F468&lt;&gt;"",H468&lt;&gt;"",J468&lt;&gt;""),"Complete","Pending"))</f>
        <v/>
      </c>
    </row>
    <row r="469">
      <c r="A469" s="19" t="inlineStr">
        <is>
          <t>M061-Q02</t>
        </is>
      </c>
      <c r="B469" s="19" t="inlineStr">
        <is>
          <t>CL-M061-Q02-009</t>
        </is>
      </c>
      <c r="C469" s="17" t="inlineStr">
        <is>
          <t>[conclusion] Rohan Jayaweera presently owns 1/16, that is 12/192, of Lot A.</t>
        </is>
      </c>
      <c r="D469" s="17" t="inlineStr">
        <is>
          <t>PROV-M061-005: Matrimonial Rights and Inheritance Ordinance s.22
Facts: BG-7</t>
        </is>
      </c>
      <c r="E469" s="17" t="inlineStr">
        <is>
          <t>[verified, support direct]</t>
        </is>
      </c>
      <c r="F469" s="21" t="n"/>
      <c r="G469" s="21" t="n"/>
      <c r="H469" s="21" t="n"/>
      <c r="I469" s="21" t="n"/>
      <c r="J469" s="21" t="n"/>
      <c r="K469" s="17">
        <f>IF(OR(A469="",B469=""),"",IF(AND(F469&lt;&gt;"",H469&lt;&gt;"",J469&lt;&gt;""),"Complete","Pending"))</f>
        <v/>
      </c>
    </row>
    <row r="470">
      <c r="A470" s="19" t="inlineStr">
        <is>
          <t>M061-Q02</t>
        </is>
      </c>
      <c r="B470" s="19" t="inlineStr">
        <is>
          <t>CL-M061-Q02-010</t>
        </is>
      </c>
      <c r="C470" s="17" t="inlineStr">
        <is>
          <t>[conclusion] The four shares of 110/192, 35/192, 35/192 and 12/192 exhaust the whole of Lot A, and they assume that the general law applies and that no maternal ascendant of Neesha Gamage survived her.</t>
        </is>
      </c>
      <c r="D470" s="17" t="inlineStr">
        <is>
          <t>PROV-M061-001: Matrimonial Rights and Inheritance Ordinance s.2
PROV-M061-010: Matrimonial Rights and Inheritance Ordinance s.29
Facts: BG-7</t>
        </is>
      </c>
      <c r="E470" s="17" t="inlineStr">
        <is>
          <t>[verified, support inferential]</t>
        </is>
      </c>
      <c r="F470" s="21" t="n"/>
      <c r="G470" s="21" t="n"/>
      <c r="H470" s="21" t="n"/>
      <c r="I470" s="21" t="n"/>
      <c r="J470" s="21" t="n"/>
      <c r="K470" s="17">
        <f>IF(OR(A470="",B470=""),"",IF(AND(F470&lt;&gt;"",H470&lt;&gt;"",J470&lt;&gt;""),"Complete","Pending"))</f>
        <v/>
      </c>
    </row>
    <row r="471">
      <c r="A471" s="19" t="inlineStr">
        <is>
          <t>M064-Q01</t>
        </is>
      </c>
      <c r="B471" s="19" t="inlineStr">
        <is>
          <t>CL-M064-Q01-001</t>
        </is>
      </c>
      <c r="C471" s="17" t="inlineStr">
        <is>
          <t>[rule] A notary is under a statutory duty not to divulge the secrets confided to him or of which he becomes possessed in the execution of his office.</t>
        </is>
      </c>
      <c r="D471" s="17" t="inlineStr">
        <is>
          <t>PROV-M064-001: Notaries Ordinance s.31 rule (1)</t>
        </is>
      </c>
      <c r="E471" s="17" t="inlineStr">
        <is>
          <t>[verified, support direct]</t>
        </is>
      </c>
      <c r="F471" s="21" t="n"/>
      <c r="G471" s="21" t="n"/>
      <c r="H471" s="21" t="n"/>
      <c r="I471" s="21" t="n"/>
      <c r="J471" s="21" t="n"/>
      <c r="K471" s="17">
        <f>IF(OR(A471="",B471=""),"",IF(AND(F471&lt;&gt;"",H471&lt;&gt;"",J471&lt;&gt;""),"Complete","Pending"))</f>
        <v/>
      </c>
    </row>
    <row r="472">
      <c r="A472" s="19" t="inlineStr">
        <is>
          <t>M064-Q01</t>
        </is>
      </c>
      <c r="B472" s="19" t="inlineStr">
        <is>
          <t>CL-M064-Q01-002</t>
        </is>
      </c>
      <c r="C472" s="17" t="inlineStr">
        <is>
          <t>[rule] That duty admits only two exceptions: the express permission of the notary's employer, or a legal requirement to disclose.</t>
        </is>
      </c>
      <c r="D472" s="17" t="inlineStr">
        <is>
          <t>PROV-M064-001: Notaries Ordinance s.31 rule (1)</t>
        </is>
      </c>
      <c r="E472" s="17" t="inlineStr">
        <is>
          <t>[verified, support direct]</t>
        </is>
      </c>
      <c r="F472" s="21" t="n"/>
      <c r="G472" s="21" t="n"/>
      <c r="H472" s="21" t="n"/>
      <c r="I472" s="21" t="n"/>
      <c r="J472" s="21" t="n"/>
      <c r="K472" s="17">
        <f>IF(OR(A472="",B472=""),"",IF(AND(F472&lt;&gt;"",H472&lt;&gt;"",J472&lt;&gt;""),"Complete","Pending"))</f>
        <v/>
      </c>
    </row>
    <row r="473">
      <c r="A473" s="19" t="inlineStr">
        <is>
          <t>M064-Q01</t>
        </is>
      </c>
      <c r="B473" s="19" t="inlineStr">
        <is>
          <t>CL-M064-Q01-003</t>
        </is>
      </c>
      <c r="C473" s="17" t="inlineStr">
        <is>
          <t>[rule] Breach of the duty of secrecy exposes the notary to a criminal penalty in addition to civil liability, and gross or repeated breach of the notarial rules can ground an inquiry leading to suspension or cancellation of his warrant.</t>
        </is>
      </c>
      <c r="D473" s="17" t="inlineStr">
        <is>
          <t>PROV-M064-002: Notaries Ordinance s.34 (1)(a)
PROV-M064-003: Notaries Ordinance s.21 (1)(b) and (1)(c)</t>
        </is>
      </c>
      <c r="E473" s="17" t="inlineStr">
        <is>
          <t>[disputed, support combined]</t>
        </is>
      </c>
      <c r="F473" s="21" t="n"/>
      <c r="G473" s="21" t="n"/>
      <c r="H473" s="21" t="n"/>
      <c r="I473" s="21" t="n"/>
      <c r="J473" s="21" t="n"/>
      <c r="K473" s="17">
        <f>IF(OR(A473="",B473=""),"",IF(AND(F473&lt;&gt;"",H473&lt;&gt;"",J473&lt;&gt;""),"Complete","Pending"))</f>
        <v/>
      </c>
    </row>
    <row r="474">
      <c r="A474" s="19" t="inlineStr">
        <is>
          <t>M064-Q01</t>
        </is>
      </c>
      <c r="B474" s="19" t="inlineStr">
        <is>
          <t>CL-M064-Q01-004</t>
        </is>
      </c>
      <c r="C474" s="17" t="inlineStr">
        <is>
          <t>[application] The fact that you attested the father's will and the contents of that will are secrets you became possessed of in the execution of your office.</t>
        </is>
      </c>
      <c r="D474" s="17" t="inlineStr">
        <is>
          <t>PROV-M064-001: Notaries Ordinance s.31 rule (1)
Facts: FACT-M064-Q01-001, BG-1</t>
        </is>
      </c>
      <c r="E474" s="17" t="inlineStr">
        <is>
          <t>[verified, support combined]</t>
        </is>
      </c>
      <c r="F474" s="21" t="n"/>
      <c r="G474" s="21" t="n"/>
      <c r="H474" s="21" t="n"/>
      <c r="I474" s="21" t="n"/>
      <c r="J474" s="21" t="n"/>
      <c r="K474" s="17">
        <f>IF(OR(A474="",B474=""),"",IF(AND(F474&lt;&gt;"",H474&lt;&gt;"",J474&lt;&gt;""),"Complete","Pending"))</f>
        <v/>
      </c>
    </row>
    <row r="475">
      <c r="A475" s="19" t="inlineStr">
        <is>
          <t>M064-Q01</t>
        </is>
      </c>
      <c r="B475" s="19" t="inlineStr">
        <is>
          <t>CL-M064-Q01-005</t>
        </is>
      </c>
      <c r="C475" s="17" t="inlineStr">
        <is>
          <t>[application] The employer whose express permission could release you is the testator, the father on whose instructions the will was drawn and executed, and he is alive, of sound mind and has given no such permission.</t>
        </is>
      </c>
      <c r="D475" s="17" t="inlineStr">
        <is>
          <t>PROV-M064-001: Notaries Ordinance s.31 rule (1)
Facts: FACT-M064-Q01-002, FACT-M064-Q01-003</t>
        </is>
      </c>
      <c r="E475" s="17" t="inlineStr">
        <is>
          <t>[verified, support combined]</t>
        </is>
      </c>
      <c r="F475" s="21" t="n"/>
      <c r="G475" s="21" t="n"/>
      <c r="H475" s="21" t="n"/>
      <c r="I475" s="21" t="n"/>
      <c r="J475" s="21" t="n"/>
      <c r="K475" s="17">
        <f>IF(OR(A475="",B475=""),"",IF(AND(F475&lt;&gt;"",H475&lt;&gt;"",J475&lt;&gt;""),"Complete","Pending"))</f>
        <v/>
      </c>
    </row>
    <row r="476">
      <c r="A476" s="19" t="inlineStr">
        <is>
          <t>M064-Q01</t>
        </is>
      </c>
      <c r="B476" s="19" t="inlineStr">
        <is>
          <t>CL-M064-Q01-006</t>
        </is>
      </c>
      <c r="C476" s="17" t="inlineStr">
        <is>
          <t>[application] Nothing requires you by law to disclose the will or its contents to the son, because no court or officer acting under any written law has called for them.</t>
        </is>
      </c>
      <c r="D476" s="17" t="inlineStr">
        <is>
          <t>PROV-M064-001: Notaries Ordinance s.31 rule (1)
Facts: FACT-M064-Q01-004</t>
        </is>
      </c>
      <c r="E476" s="17" t="inlineStr">
        <is>
          <t>[verified, support combined]</t>
        </is>
      </c>
      <c r="F476" s="21" t="n"/>
      <c r="G476" s="21" t="n"/>
      <c r="H476" s="21" t="n"/>
      <c r="I476" s="21" t="n"/>
      <c r="J476" s="21" t="n"/>
      <c r="K476" s="17">
        <f>IF(OR(A476="",B476=""),"",IF(AND(F476&lt;&gt;"",H476&lt;&gt;"",J476&lt;&gt;""),"Complete","Pending"))</f>
        <v/>
      </c>
    </row>
    <row r="477">
      <c r="A477" s="19" t="inlineStr">
        <is>
          <t>M064-Q01</t>
        </is>
      </c>
      <c r="B477" s="19" t="inlineStr">
        <is>
          <t>CL-M064-Q01-007</t>
        </is>
      </c>
      <c r="C477" s="17" t="inlineStr">
        <is>
          <t>[application] Being the testator's son does not put the client in the position of the employer, and he is neither an executant nor a named executor of the will, so his relationship gives him no claim on the information.</t>
        </is>
      </c>
      <c r="D477" s="17" t="inlineStr">
        <is>
          <t>PROV-M064-001: Notaries Ordinance s.31 rule (1)
Facts: FACT-M064-Q01-005, BG-1</t>
        </is>
      </c>
      <c r="E477" s="17" t="inlineStr">
        <is>
          <t>[verified, support inferential]</t>
        </is>
      </c>
      <c r="F477" s="21" t="n"/>
      <c r="G477" s="21" t="n"/>
      <c r="H477" s="21" t="n"/>
      <c r="I477" s="21" t="n"/>
      <c r="J477" s="21" t="n"/>
      <c r="K477" s="17">
        <f>IF(OR(A477="",B477=""),"",IF(AND(F477&lt;&gt;"",H477&lt;&gt;"",J477&lt;&gt;""),"Complete","Pending"))</f>
        <v/>
      </c>
    </row>
    <row r="478">
      <c r="A478" s="19" t="inlineStr">
        <is>
          <t>M064-Q01</t>
        </is>
      </c>
      <c r="B478" s="19" t="inlineStr">
        <is>
          <t>CL-M064-Q01-008</t>
        </is>
      </c>
      <c r="C478" s="17" t="inlineStr">
        <is>
          <t>[conclusion] You should not tell the client about the will, and you should not confirm or deny that you attested it; you may speak about it only if the father expressly permits it or the law requires it.</t>
        </is>
      </c>
      <c r="D478" s="17" t="inlineStr">
        <is>
          <t>PROV-M064-001: Notaries Ordinance s.31 rule (1)
Facts: FACT-M064-Q01-001, FACT-M064-Q01-003, FACT-M064-Q01-004</t>
        </is>
      </c>
      <c r="E478" s="17" t="inlineStr">
        <is>
          <t>[verified, support direct]</t>
        </is>
      </c>
      <c r="F478" s="21" t="n"/>
      <c r="G478" s="21" t="n"/>
      <c r="H478" s="21" t="n"/>
      <c r="I478" s="21" t="n"/>
      <c r="J478" s="21" t="n"/>
      <c r="K478" s="17">
        <f>IF(OR(A478="",B478=""),"",IF(AND(F478&lt;&gt;"",H478&lt;&gt;"",J478&lt;&gt;""),"Complete","Pending"))</f>
        <v/>
      </c>
    </row>
    <row r="479">
      <c r="A479" s="19" t="inlineStr">
        <is>
          <t>M065-Q01</t>
        </is>
      </c>
      <c r="B479" s="19" t="inlineStr">
        <is>
          <t>CL-M065-Q01-001</t>
        </is>
      </c>
      <c r="C479" s="17" t="inlineStr">
        <is>
          <t>[rule] A lease of immovable property for a period exceeding one month must be in writing and notarially attested to be of force in law.</t>
        </is>
      </c>
      <c r="D479" s="17" t="inlineStr">
        <is>
          <t>PROV-M065-008: Prevention of Frauds Ordinance s.2 (1)</t>
        </is>
      </c>
      <c r="E479" s="17" t="inlineStr">
        <is>
          <t>[verified, support direct]</t>
        </is>
      </c>
      <c r="F479" s="21" t="n"/>
      <c r="G479" s="21" t="n"/>
      <c r="H479" s="21" t="n"/>
      <c r="I479" s="21" t="n"/>
      <c r="J479" s="21" t="n"/>
      <c r="K479" s="17">
        <f>IF(OR(A479="",B479=""),"",IF(AND(F479&lt;&gt;"",H479&lt;&gt;"",J479&lt;&gt;""),"Complete","Pending"))</f>
        <v/>
      </c>
    </row>
    <row r="480">
      <c r="A480" s="19" t="inlineStr">
        <is>
          <t>M065-Q01</t>
        </is>
      </c>
      <c r="B480" s="19" t="inlineStr">
        <is>
          <t>CL-M065-Q01-002</t>
        </is>
      </c>
      <c r="C480" s="17" t="inlineStr">
        <is>
          <t>[rule] A notary may not authenticate or attest any deed in an area other than that in which he is authorised to practise.</t>
        </is>
      </c>
      <c r="D480" s="17" t="inlineStr">
        <is>
          <t>PROV-M065-003: Notaries Ordinance s.31 rule (22)</t>
        </is>
      </c>
      <c r="E480" s="17" t="inlineStr">
        <is>
          <t>[verified, support direct]</t>
        </is>
      </c>
      <c r="F480" s="21" t="n"/>
      <c r="G480" s="21" t="n"/>
      <c r="H480" s="21" t="n"/>
      <c r="I480" s="21" t="n"/>
      <c r="J480" s="21" t="n"/>
      <c r="K480" s="17">
        <f>IF(OR(A480="",B480=""),"",IF(AND(F480&lt;&gt;"",H480&lt;&gt;"",J480&lt;&gt;""),"Complete","Pending"))</f>
        <v/>
      </c>
    </row>
    <row r="481">
      <c r="A481" s="19" t="inlineStr">
        <is>
          <t>M065-Q01</t>
        </is>
      </c>
      <c r="B481" s="19" t="inlineStr">
        <is>
          <t>CL-M065-Q01-003</t>
        </is>
      </c>
      <c r="C481" s="17" t="inlineStr">
        <is>
          <t>[rule] A notary may not attest a deed unless the executant and the witnesses signed it in his presence and in the presence of one another and he signed it in their presence, and at least two witnesses must subscribe their signatures in letters.</t>
        </is>
      </c>
      <c r="D481" s="17" t="inlineStr">
        <is>
          <t>PROV-M065-005: Notaries Ordinance s.31 rule (12)
PROV-M065-006: Notaries Ordinance s.31 rule (8)</t>
        </is>
      </c>
      <c r="E481" s="17" t="inlineStr">
        <is>
          <t>[verified, support combined]</t>
        </is>
      </c>
      <c r="F481" s="21" t="n"/>
      <c r="G481" s="21" t="n"/>
      <c r="H481" s="21" t="n"/>
      <c r="I481" s="21" t="n"/>
      <c r="J481" s="21" t="n"/>
      <c r="K481" s="17">
        <f>IF(OR(A481="",B481=""),"",IF(AND(F481&lt;&gt;"",H481&lt;&gt;"",J481&lt;&gt;""),"Complete","Pending"))</f>
        <v/>
      </c>
    </row>
    <row r="482">
      <c r="A482" s="19" t="inlineStr">
        <is>
          <t>M065-Q01</t>
        </is>
      </c>
      <c r="B482" s="19" t="inlineStr">
        <is>
          <t>CL-M065-Q01-004</t>
        </is>
      </c>
      <c r="C482" s="17" t="inlineStr">
        <is>
          <t>[rule] One deed may be executed or acknowledged before more than one notary, the first attesting notary complying with the whole of rule (20) and every other attesting notary with paragraphs (a) to (e) and, as to erasures in the signatures he attested and his serial number, paragraph (g).</t>
        </is>
      </c>
      <c r="D482" s="17" t="inlineStr">
        <is>
          <t>PROV-M065-001: Notaries Ordinance s.31 rule (25)(a)</t>
        </is>
      </c>
      <c r="E482" s="17" t="inlineStr">
        <is>
          <t>[verified, support direct]</t>
        </is>
      </c>
      <c r="F482" s="21" t="n"/>
      <c r="G482" s="21" t="n"/>
      <c r="H482" s="21" t="n"/>
      <c r="I482" s="21" t="n"/>
      <c r="J482" s="21" t="n"/>
      <c r="K482" s="17">
        <f>IF(OR(A482="",B482=""),"",IF(AND(F482&lt;&gt;"",H482&lt;&gt;"",J482&lt;&gt;""),"Complete","Pending"))</f>
        <v/>
      </c>
    </row>
    <row r="483">
      <c r="A483" s="19" t="inlineStr">
        <is>
          <t>M065-Q01</t>
        </is>
      </c>
      <c r="B483" s="19" t="inlineStr">
        <is>
          <t>CL-M065-Q01-005</t>
        </is>
      </c>
      <c r="C483" s="17" t="inlineStr">
        <is>
          <t>[rule] Where the parties to a deed do not sign at the same time and place, the deed is deemed executed for the purposes of rules (6), (7), (23) and (25) when it is first signed by a party.</t>
        </is>
      </c>
      <c r="D483" s="17" t="inlineStr">
        <is>
          <t>PROV-M065-002: Notaries Ordinance s.32 (2)</t>
        </is>
      </c>
      <c r="E483" s="17" t="inlineStr">
        <is>
          <t>[verified, support direct]</t>
        </is>
      </c>
      <c r="F483" s="21" t="n"/>
      <c r="G483" s="21" t="n"/>
      <c r="H483" s="21" t="n"/>
      <c r="I483" s="21" t="n"/>
      <c r="J483" s="21" t="n"/>
      <c r="K483" s="17">
        <f>IF(OR(A483="",B483=""),"",IF(AND(F483&lt;&gt;"",H483&lt;&gt;"",J483&lt;&gt;""),"Complete","Pending"))</f>
        <v/>
      </c>
    </row>
    <row r="484">
      <c r="A484" s="19" t="inlineStr">
        <is>
          <t>M065-Q01</t>
        </is>
      </c>
      <c r="B484" s="19" t="inlineStr">
        <is>
          <t>CL-M065-Q01-006</t>
        </is>
      </c>
      <c r="C484" s="17" t="inlineStr">
        <is>
          <t>[rule] Each attesting notary numbers the deed in his own consecutive series, the first notary preserves the protocol and every other notary supplies himself with a certified copy that is deemed to be his protocol.</t>
        </is>
      </c>
      <c r="D484" s="17" t="inlineStr">
        <is>
          <t>PROV-M065-009: Notaries Ordinance s.31 rule (25)(b) and (c)</t>
        </is>
      </c>
      <c r="E484" s="17" t="inlineStr">
        <is>
          <t>[verified, support direct]</t>
        </is>
      </c>
      <c r="F484" s="21" t="n"/>
      <c r="G484" s="21" t="n"/>
      <c r="H484" s="21" t="n"/>
      <c r="I484" s="21" t="n"/>
      <c r="J484" s="21" t="n"/>
      <c r="K484" s="17">
        <f>IF(OR(A484="",B484=""),"",IF(AND(F484&lt;&gt;"",H484&lt;&gt;"",J484&lt;&gt;""),"Complete","Pending"))</f>
        <v/>
      </c>
    </row>
    <row r="485">
      <c r="A485" s="19" t="inlineStr">
        <is>
          <t>M065-Q01</t>
        </is>
      </c>
      <c r="B485" s="19" t="inlineStr">
        <is>
          <t>CL-M065-Q01-007</t>
        </is>
      </c>
      <c r="C485" s="17" t="inlineStr">
        <is>
          <t>[rule] A notary may not attest a deed drawn by another person unless a certificate signed by the notary who drew it is endorsed on the deed.</t>
        </is>
      </c>
      <c r="D485" s="17" t="inlineStr">
        <is>
          <t>PROV-M065-004: Notaries Ordinance s.31 rule (2)</t>
        </is>
      </c>
      <c r="E485" s="17" t="inlineStr">
        <is>
          <t>[verified, support direct]</t>
        </is>
      </c>
      <c r="F485" s="21" t="n"/>
      <c r="G485" s="21" t="n"/>
      <c r="H485" s="21" t="n"/>
      <c r="I485" s="21" t="n"/>
      <c r="J485" s="21" t="n"/>
      <c r="K485" s="17">
        <f>IF(OR(A485="",B485=""),"",IF(AND(F485&lt;&gt;"",H485&lt;&gt;"",J485&lt;&gt;""),"Complete","Pending"))</f>
        <v/>
      </c>
    </row>
    <row r="486">
      <c r="A486" s="19" t="inlineStr">
        <is>
          <t>M065-Q01</t>
        </is>
      </c>
      <c r="B486" s="19" t="inlineStr">
        <is>
          <t>CL-M065-Q01-008</t>
        </is>
      </c>
      <c r="C486" s="17" t="inlineStr">
        <is>
          <t>[rule] A company enters an obligation that the law requires to be notarially attested by signing under the name of the company by two directors, or by its sole director, or by a person authorised by its articles, or by an attorney appointed by it, and by the deed being notarially executed.</t>
        </is>
      </c>
      <c r="D486" s="17" t="inlineStr">
        <is>
          <t>PROV-M065-007: Companies Act s.19 (1)(a)</t>
        </is>
      </c>
      <c r="E486" s="17" t="inlineStr">
        <is>
          <t>[verified, support direct]</t>
        </is>
      </c>
      <c r="F486" s="21" t="n"/>
      <c r="G486" s="21" t="n"/>
      <c r="H486" s="21" t="n"/>
      <c r="I486" s="21" t="n"/>
      <c r="J486" s="21" t="n"/>
      <c r="K486" s="17">
        <f>IF(OR(A486="",B486=""),"",IF(AND(F486&lt;&gt;"",H486&lt;&gt;"",J486&lt;&gt;""),"Complete","Pending"))</f>
        <v/>
      </c>
    </row>
    <row r="487">
      <c r="A487" s="19" t="inlineStr">
        <is>
          <t>M065-Q01</t>
        </is>
      </c>
      <c r="B487" s="19" t="inlineStr">
        <is>
          <t>CL-M065-Q01-009</t>
        </is>
      </c>
      <c r="C487" s="17" t="inlineStr">
        <is>
          <t>[application] Because Anil Fernando is authorised to practise in Colombo and Ruwan Perera in Galle, neither of them can attest both parties' signatures unless one party travels to the other's area.</t>
        </is>
      </c>
      <c r="D487" s="17" t="inlineStr">
        <is>
          <t>PROV-M065-003: Notaries Ordinance s.31 rule (22)
PROV-M065-005: Notaries Ordinance s.31 rule (12)
Facts: BG-1, BG-2, BG-3, BG-5</t>
        </is>
      </c>
      <c r="E487" s="17" t="inlineStr">
        <is>
          <t>[verified, support combined]</t>
        </is>
      </c>
      <c r="F487" s="21" t="n"/>
      <c r="G487" s="21" t="n"/>
      <c r="H487" s="21" t="n"/>
      <c r="I487" s="21" t="n"/>
      <c r="J487" s="21" t="n"/>
      <c r="K487" s="17">
        <f>IF(OR(A487="",B487=""),"",IF(AND(F487&lt;&gt;"",H487&lt;&gt;"",J487&lt;&gt;""),"Complete","Pending"))</f>
        <v/>
      </c>
    </row>
    <row r="488">
      <c r="A488" s="19" t="inlineStr">
        <is>
          <t>M065-Q01</t>
        </is>
      </c>
      <c r="B488" s="19" t="inlineStr">
        <is>
          <t>CL-M065-Q01-010</t>
        </is>
      </c>
      <c r="C488" s="17" t="inlineStr">
        <is>
          <t>[application] Ruwan Perera should draft the lease in Galle and endorse on it his certificate that he drew it, so that Anil Fernando may lawfully attest the same deed in Colombo.</t>
        </is>
      </c>
      <c r="D488" s="17" t="inlineStr">
        <is>
          <t>PROV-M065-004: Notaries Ordinance s.31 rule (2)
Facts: BG-2, BG-4</t>
        </is>
      </c>
      <c r="E488" s="17" t="inlineStr">
        <is>
          <t>[verified, support direct]</t>
        </is>
      </c>
      <c r="F488" s="21" t="n"/>
      <c r="G488" s="21" t="n"/>
      <c r="H488" s="21" t="n"/>
      <c r="I488" s="21" t="n"/>
      <c r="J488" s="21" t="n"/>
      <c r="K488" s="17">
        <f>IF(OR(A488="",B488=""),"",IF(AND(F488&lt;&gt;"",H488&lt;&gt;"",J488&lt;&gt;""),"Complete","Pending"))</f>
        <v/>
      </c>
    </row>
    <row r="489">
      <c r="A489" s="19" t="inlineStr">
        <is>
          <t>M065-Q01</t>
        </is>
      </c>
      <c r="B489" s="19" t="inlineStr">
        <is>
          <t>CL-M065-Q01-011</t>
        </is>
      </c>
      <c r="C489" s="17" t="inlineStr">
        <is>
          <t>[application] Russel Perera signs in Galle before Ruwan Perera and two witnesses, who sign in his presence and in the presence of one another, and Ruwan Perera attests as the first notary in compliance with the whole of rule (20).</t>
        </is>
      </c>
      <c r="D489" s="17" t="inlineStr">
        <is>
          <t>PROV-M065-001: Notaries Ordinance s.31 rule (25)(a)
PROV-M065-005: Notaries Ordinance s.31 rule (12)
PROV-M065-006: Notaries Ordinance s.31 rule (8)
Facts: BG-1, BG-4, BG-5</t>
        </is>
      </c>
      <c r="E489" s="17" t="inlineStr">
        <is>
          <t>[verified, support combined]</t>
        </is>
      </c>
      <c r="F489" s="21" t="n"/>
      <c r="G489" s="21" t="n"/>
      <c r="H489" s="21" t="n"/>
      <c r="I489" s="21" t="n"/>
      <c r="J489" s="21" t="n"/>
      <c r="K489" s="17">
        <f>IF(OR(A489="",B489=""),"",IF(AND(F489&lt;&gt;"",H489&lt;&gt;"",J489&lt;&gt;""),"Complete","Pending"))</f>
        <v/>
      </c>
    </row>
    <row r="490">
      <c r="A490" s="19" t="inlineStr">
        <is>
          <t>M065-Q01</t>
        </is>
      </c>
      <c r="B490" s="19" t="inlineStr">
        <is>
          <t>CL-M065-Q01-012</t>
        </is>
      </c>
      <c r="C490" s="17" t="inlineStr">
        <is>
          <t>[application] The company then signs the same deed in Colombo under the name of the company in the manner allowed by Companies Act section 19(1)(a), before Anil Fernando and two witnesses, and Anil Fernando attests as the second notary with the lighter duties rule (25)(a) imposes on him.</t>
        </is>
      </c>
      <c r="D490" s="17" t="inlineStr">
        <is>
          <t>PROV-M065-007: Companies Act s.19 (1)(a)
PROV-M065-001: Notaries Ordinance s.31 rule (25)(a)
PROV-M065-002: Notaries Ordinance s.32 (2)
Facts: BG-2, BG-3</t>
        </is>
      </c>
      <c r="E490" s="17" t="inlineStr">
        <is>
          <t>[verified, support combined]</t>
        </is>
      </c>
      <c r="F490" s="21" t="n"/>
      <c r="G490" s="21" t="n"/>
      <c r="H490" s="21" t="n"/>
      <c r="I490" s="21" t="n"/>
      <c r="J490" s="21" t="n"/>
      <c r="K490" s="17">
        <f>IF(OR(A490="",B490=""),"",IF(AND(F490&lt;&gt;"",H490&lt;&gt;"",J490&lt;&gt;""),"Complete","Pending"))</f>
        <v/>
      </c>
    </row>
    <row r="491">
      <c r="A491" s="19" t="inlineStr">
        <is>
          <t>M065-Q01</t>
        </is>
      </c>
      <c r="B491" s="19" t="inlineStr">
        <is>
          <t>CL-M065-Q01-013</t>
        </is>
      </c>
      <c r="C491" s="17" t="inlineStr">
        <is>
          <t>[application] Ruwan Perera, as the notary who first attests, transmits the duplicate to the Registrar of Lands of the district in which he resides, and Anil Fernando need not transmit one.</t>
        </is>
      </c>
      <c r="D491" s="17" t="inlineStr">
        <is>
          <t>PROV-M065-010: Notaries Ordinance s.31 rule (28)
Facts: BG-1, BG-4</t>
        </is>
      </c>
      <c r="E491" s="17" t="inlineStr">
        <is>
          <t>[verified, support direct]</t>
        </is>
      </c>
      <c r="F491" s="21" t="n"/>
      <c r="G491" s="21" t="n"/>
      <c r="H491" s="21" t="n"/>
      <c r="I491" s="21" t="n"/>
      <c r="J491" s="21" t="n"/>
      <c r="K491" s="17">
        <f>IF(OR(A491="",B491=""),"",IF(AND(F491&lt;&gt;"",H491&lt;&gt;"",J491&lt;&gt;""),"Complete","Pending"))</f>
        <v/>
      </c>
    </row>
    <row r="492">
      <c r="A492" s="19" t="inlineStr">
        <is>
          <t>M065-Q01</t>
        </is>
      </c>
      <c r="B492" s="19" t="inlineStr">
        <is>
          <t>CL-M065-Q01-014</t>
        </is>
      </c>
      <c r="C492" s="17" t="inlineStr">
        <is>
          <t>[conclusion] The lease can therefore be executed as a single deed signed at different times and places before two notaries, Ruwan Perera attesting in Galle and Anil Fernando attesting in Colombo, so that Russel Perera need not travel to Colombo.</t>
        </is>
      </c>
      <c r="D492" s="17" t="inlineStr">
        <is>
          <t>PROV-M065-001: Notaries Ordinance s.31 rule (25)(a)
PROV-M065-002: Notaries Ordinance s.32 (2)
PROV-M065-003: Notaries Ordinance s.31 rule (22)
Facts: BG-1, BG-2, BG-3, BG-4, BG-5</t>
        </is>
      </c>
      <c r="E492" s="17" t="inlineStr">
        <is>
          <t>[verified, support combined]</t>
        </is>
      </c>
      <c r="F492" s="21" t="n"/>
      <c r="G492" s="21" t="n"/>
      <c r="H492" s="21" t="n"/>
      <c r="I492" s="21" t="n"/>
      <c r="J492" s="21" t="n"/>
      <c r="K492" s="17">
        <f>IF(OR(A492="",B492=""),"",IF(AND(F492&lt;&gt;"",H492&lt;&gt;"",J492&lt;&gt;""),"Complete","Pending"))</f>
        <v/>
      </c>
    </row>
    <row r="493">
      <c r="A493" s="19" t="inlineStr">
        <is>
          <t>M068-Q02</t>
        </is>
      </c>
      <c r="B493" s="19" t="inlineStr">
        <is>
          <t>CL-M068-Q02-001</t>
        </is>
      </c>
      <c r="C493" s="17" t="inlineStr">
        <is>
          <t>[rule] Inheritance ab intestato to immovable property in Sri Lanka is governed by the Matrimonial Rights and Inheritance Ordinance, whatever the deceased's domicile.</t>
        </is>
      </c>
      <c r="D493" s="17" t="inlineStr">
        <is>
          <t>PROV-M068-002: Matrimonial Rights and Inheritance Ordinance s.21 (1)</t>
        </is>
      </c>
      <c r="E493" s="17" t="inlineStr">
        <is>
          <t>[verified, support direct]</t>
        </is>
      </c>
      <c r="F493" s="21" t="n"/>
      <c r="G493" s="21" t="n"/>
      <c r="H493" s="21" t="n"/>
      <c r="I493" s="21" t="n"/>
      <c r="J493" s="21" t="n"/>
      <c r="K493" s="17">
        <f>IF(OR(A493="",B493=""),"",IF(AND(F493&lt;&gt;"",H493&lt;&gt;"",J493&lt;&gt;""),"Complete","Pending"))</f>
        <v/>
      </c>
    </row>
    <row r="494">
      <c r="A494" s="19" t="inlineStr">
        <is>
          <t>M068-Q02</t>
        </is>
      </c>
      <c r="B494" s="19" t="inlineStr">
        <is>
          <t>CL-M068-Q02-002</t>
        </is>
      </c>
      <c r="C494" s="17" t="inlineStr">
        <is>
          <t>[rule] A surviving spouse inherits one-half of the property of a person dying intestate.</t>
        </is>
      </c>
      <c r="D494" s="17" t="inlineStr">
        <is>
          <t>PROV-M068-003: Matrimonial Rights and Inheritance Ordinance s.22</t>
        </is>
      </c>
      <c r="E494" s="17" t="inlineStr">
        <is>
          <t>[verified, support direct]</t>
        </is>
      </c>
      <c r="F494" s="21" t="n"/>
      <c r="G494" s="21" t="n"/>
      <c r="H494" s="21" t="n"/>
      <c r="I494" s="21" t="n"/>
      <c r="J494" s="21" t="n"/>
      <c r="K494" s="17">
        <f>IF(OR(A494="",B494=""),"",IF(AND(F494&lt;&gt;"",H494&lt;&gt;"",J494&lt;&gt;""),"Complete","Pending"))</f>
        <v/>
      </c>
    </row>
    <row r="495">
      <c r="A495" s="19" t="inlineStr">
        <is>
          <t>M068-Q02</t>
        </is>
      </c>
      <c r="B495" s="19" t="inlineStr">
        <is>
          <t>CL-M068-Q02-003</t>
        </is>
      </c>
      <c r="C495" s="17" t="inlineStr">
        <is>
          <t>[rule] Subject to the surviving spouse's half, inheritance devolves in the order descendants, ascendants, collaterals, descendants being preferent to all others.</t>
        </is>
      </c>
      <c r="D495" s="17" t="inlineStr">
        <is>
          <t>PROV-M068-004: Matrimonial Rights and Inheritance Ordinance s.23
PROV-M068-005: Matrimonial Rights and Inheritance Ordinance s.24</t>
        </is>
      </c>
      <c r="E495" s="17" t="inlineStr">
        <is>
          <t>[verified, support combined]</t>
        </is>
      </c>
      <c r="F495" s="21" t="n"/>
      <c r="G495" s="21" t="n"/>
      <c r="H495" s="21" t="n"/>
      <c r="I495" s="21" t="n"/>
      <c r="J495" s="21" t="n"/>
      <c r="K495" s="17">
        <f>IF(OR(A495="",B495=""),"",IF(AND(F495&lt;&gt;"",H495&lt;&gt;"",J495&lt;&gt;""),"Complete","Pending"))</f>
        <v/>
      </c>
    </row>
    <row r="496">
      <c r="A496" s="19" t="inlineStr">
        <is>
          <t>M068-Q02</t>
        </is>
      </c>
      <c r="B496" s="19" t="inlineStr">
        <is>
          <t>CL-M068-Q02-004</t>
        </is>
      </c>
      <c r="C496" s="17" t="inlineStr">
        <is>
          <t>[rule] Where descendants fail and only one parent survives, the surviving parent takes half and the full siblings together with the half-siblings related through the deceased parent take the other half.</t>
        </is>
      </c>
      <c r="D496" s="17" t="inlineStr">
        <is>
          <t>PROV-M068-006: Matrimonial Rights and Inheritance Ordinance s.25</t>
        </is>
      </c>
      <c r="E496" s="17" t="inlineStr">
        <is>
          <t>[verified, support direct]</t>
        </is>
      </c>
      <c r="F496" s="21" t="n"/>
      <c r="G496" s="21" t="n"/>
      <c r="H496" s="21" t="n"/>
      <c r="I496" s="21" t="n"/>
      <c r="J496" s="21" t="n"/>
      <c r="K496" s="17">
        <f>IF(OR(A496="",B496=""),"",IF(AND(F496&lt;&gt;"",H496&lt;&gt;"",J496&lt;&gt;""),"Complete","Pending"))</f>
        <v/>
      </c>
    </row>
    <row r="497">
      <c r="A497" s="19" t="inlineStr">
        <is>
          <t>M068-Q02</t>
        </is>
      </c>
      <c r="B497" s="19" t="inlineStr">
        <is>
          <t>CL-M068-Q02-005</t>
        </is>
      </c>
      <c r="C497" s="17" t="inlineStr">
        <is>
          <t>[rule] Half-siblings related to the intestate only through the surviving parent are not admitted to the collateral half under section 25.</t>
        </is>
      </c>
      <c r="D497" s="17" t="inlineStr">
        <is>
          <t>PROV-M068-006: Matrimonial Rights and Inheritance Ordinance s.25</t>
        </is>
      </c>
      <c r="E497" s="17" t="inlineStr">
        <is>
          <t>[verified, support direct]</t>
        </is>
      </c>
      <c r="F497" s="21" t="n"/>
      <c r="G497" s="21" t="n"/>
      <c r="H497" s="21" t="n"/>
      <c r="I497" s="21" t="n"/>
      <c r="J497" s="21" t="n"/>
      <c r="K497" s="17">
        <f>IF(OR(A497="",B497=""),"",IF(AND(F497&lt;&gt;"",H497&lt;&gt;"",J497&lt;&gt;""),"Complete","Pending"))</f>
        <v/>
      </c>
    </row>
    <row r="498">
      <c r="A498" s="19" t="inlineStr">
        <is>
          <t>M068-Q02</t>
        </is>
      </c>
      <c r="B498" s="19" t="inlineStr">
        <is>
          <t>CL-M068-Q02-006</t>
        </is>
      </c>
      <c r="C498" s="17" t="inlineStr">
        <is>
          <t>[rule] Where the qualifying half-siblings are all of one side, the full siblings take one-half of the collateral portion in the first place and divide the other half with the half-siblings, those equally near in degree taking per capita.</t>
        </is>
      </c>
      <c r="D498" s="17" t="inlineStr">
        <is>
          <t>PROV-M068-007: Matrimonial Rights and Inheritance Ordinance s.27
PROV-M068-008: Matrimonial Rights and Inheritance Ordinance s.30</t>
        </is>
      </c>
      <c r="E498" s="17" t="inlineStr">
        <is>
          <t>[verified, support combined]</t>
        </is>
      </c>
      <c r="F498" s="21" t="n"/>
      <c r="G498" s="21" t="n"/>
      <c r="H498" s="21" t="n"/>
      <c r="I498" s="21" t="n"/>
      <c r="J498" s="21" t="n"/>
      <c r="K498" s="17">
        <f>IF(OR(A498="",B498=""),"",IF(AND(F498&lt;&gt;"",H498&lt;&gt;"",J498&lt;&gt;""),"Complete","Pending"))</f>
        <v/>
      </c>
    </row>
    <row r="499">
      <c r="A499" s="19" t="inlineStr">
        <is>
          <t>M068-Q02</t>
        </is>
      </c>
      <c r="B499" s="19" t="inlineStr">
        <is>
          <t>CL-M068-Q02-007</t>
        </is>
      </c>
      <c r="C499" s="17" t="inlineStr">
        <is>
          <t>[application] Sunil Peiris left no children, so the descendant class fails and his widow Kusum Peiris takes one-half of Lot B and of the undivided one-third share of Lot R.</t>
        </is>
      </c>
      <c r="D499" s="17" t="inlineStr">
        <is>
          <t>PROV-M068-003: Matrimonial Rights and Inheritance Ordinance s.22
PROV-M068-005: Matrimonial Rights and Inheritance Ordinance s.24
Facts: BG-2</t>
        </is>
      </c>
      <c r="E499" s="17" t="inlineStr">
        <is>
          <t>[verified, support combined]</t>
        </is>
      </c>
      <c r="F499" s="21" t="n"/>
      <c r="G499" s="21" t="n"/>
      <c r="H499" s="21" t="n"/>
      <c r="I499" s="21" t="n"/>
      <c r="J499" s="21" t="n"/>
      <c r="K499" s="17">
        <f>IF(OR(A499="",B499=""),"",IF(AND(F499&lt;&gt;"",H499&lt;&gt;"",J499&lt;&gt;""),"Complete","Pending"))</f>
        <v/>
      </c>
    </row>
    <row r="500">
      <c r="A500" s="19" t="inlineStr">
        <is>
          <t>M068-Q02</t>
        </is>
      </c>
      <c r="B500" s="19" t="inlineStr">
        <is>
          <t>CL-M068-Q02-008</t>
        </is>
      </c>
      <c r="C500" s="17" t="inlineStr">
        <is>
          <t>[application] Because Charles Peiris predeceased Sunil and Pushpa Peiris survived him, Pushpa takes one-fourth of the estate as the surviving parent.</t>
        </is>
      </c>
      <c r="D500" s="17" t="inlineStr">
        <is>
          <t>PROV-M068-006: Matrimonial Rights and Inheritance Ordinance s.25
Facts: BG-3</t>
        </is>
      </c>
      <c r="E500" s="17" t="inlineStr">
        <is>
          <t>[verified, support combined]</t>
        </is>
      </c>
      <c r="F500" s="21" t="n"/>
      <c r="G500" s="21" t="n"/>
      <c r="H500" s="21" t="n"/>
      <c r="I500" s="21" t="n"/>
      <c r="J500" s="21" t="n"/>
      <c r="K500" s="17">
        <f>IF(OR(A500="",B500=""),"",IF(AND(F500&lt;&gt;"",H500&lt;&gt;"",J500&lt;&gt;""),"Complete","Pending"))</f>
        <v/>
      </c>
    </row>
    <row r="501">
      <c r="A501" s="19" t="inlineStr">
        <is>
          <t>M068-Q02</t>
        </is>
      </c>
      <c r="B501" s="19" t="inlineStr">
        <is>
          <t>CL-M068-Q02-009</t>
        </is>
      </c>
      <c r="C501" s="17" t="inlineStr">
        <is>
          <t>[application] Kanthi and Manel are Sunil's full sisters and Upul and Wimal are half-brothers by the side of the deceased father Charles, so those four share the remaining one-fourth, while Keerthi Perera, related only through the surviving mother, is excluded.</t>
        </is>
      </c>
      <c r="D501" s="17" t="inlineStr">
        <is>
          <t>PROV-M068-006: Matrimonial Rights and Inheritance Ordinance s.25
Facts: BG-3</t>
        </is>
      </c>
      <c r="E501" s="17" t="inlineStr">
        <is>
          <t>[verified, support combined]</t>
        </is>
      </c>
      <c r="F501" s="21" t="n"/>
      <c r="G501" s="21" t="n"/>
      <c r="H501" s="21" t="n"/>
      <c r="I501" s="21" t="n"/>
      <c r="J501" s="21" t="n"/>
      <c r="K501" s="17">
        <f>IF(OR(A501="",B501=""),"",IF(AND(F501&lt;&gt;"",H501&lt;&gt;"",J501&lt;&gt;""),"Complete","Pending"))</f>
        <v/>
      </c>
    </row>
    <row r="502">
      <c r="A502" s="19" t="inlineStr">
        <is>
          <t>M068-Q02</t>
        </is>
      </c>
      <c r="B502" s="19" t="inlineStr">
        <is>
          <t>CL-M068-Q02-010</t>
        </is>
      </c>
      <c r="C502" s="17" t="inlineStr">
        <is>
          <t>[application] Applying section 27 to that one-fourth, Kanthi and Manel take one-eighth between them and the other one-eighth is divided per capita among Kanthi, Manel, Upul and Wimal.</t>
        </is>
      </c>
      <c r="D502" s="17" t="inlineStr">
        <is>
          <t>PROV-M068-007: Matrimonial Rights and Inheritance Ordinance s.27
PROV-M068-008: Matrimonial Rights and Inheritance Ordinance s.30
Facts: BG-3</t>
        </is>
      </c>
      <c r="E502" s="17" t="inlineStr">
        <is>
          <t>[verified, support combined]</t>
        </is>
      </c>
      <c r="F502" s="21" t="n"/>
      <c r="G502" s="21" t="n"/>
      <c r="H502" s="21" t="n"/>
      <c r="I502" s="21" t="n"/>
      <c r="J502" s="21" t="n"/>
      <c r="K502" s="17">
        <f>IF(OR(A502="",B502=""),"",IF(AND(F502&lt;&gt;"",H502&lt;&gt;"",J502&lt;&gt;""),"Complete","Pending"))</f>
        <v/>
      </c>
    </row>
    <row r="503">
      <c r="A503" s="19" t="inlineStr">
        <is>
          <t>M068-Q02</t>
        </is>
      </c>
      <c r="B503" s="19" t="inlineStr">
        <is>
          <t>CL-M068-Q02-011</t>
        </is>
      </c>
      <c r="C503" s="17" t="inlineStr">
        <is>
          <t>[conclusion] The shares are Kusum Peiris one-half, Pushpa Peiris one-fourth, Kanthi three thirty-seconds, Manel three thirty-seconds, Upul one thirty-second and Wimal one thirty-second, and Keerthi Perera nothing.</t>
        </is>
      </c>
      <c r="D503" s="17" t="inlineStr">
        <is>
          <t>PROV-M068-003: Matrimonial Rights and Inheritance Ordinance s.22
PROV-M068-006: Matrimonial Rights and Inheritance Ordinance s.25
PROV-M068-007: Matrimonial Rights and Inheritance Ordinance s.27
PROV-M068-008: Matrimonial Rights and Inheritance Ordinance s.30
Facts: BG-2, BG-3</t>
        </is>
      </c>
      <c r="E503" s="17" t="inlineStr">
        <is>
          <t>[verified, support combined]</t>
        </is>
      </c>
      <c r="F503" s="21" t="n"/>
      <c r="G503" s="21" t="n"/>
      <c r="H503" s="21" t="n"/>
      <c r="I503" s="21" t="n"/>
      <c r="J503" s="21" t="n"/>
      <c r="K503" s="17">
        <f>IF(OR(A503="",B503=""),"",IF(AND(F503&lt;&gt;"",H503&lt;&gt;"",J503&lt;&gt;""),"Complete","Pending"))</f>
        <v/>
      </c>
    </row>
    <row r="504">
      <c r="A504" s="19" t="inlineStr">
        <is>
          <t>M068-Q02</t>
        </is>
      </c>
      <c r="B504" s="19" t="inlineStr">
        <is>
          <t>CL-M068-Q02-012</t>
        </is>
      </c>
      <c r="C504" s="17" t="inlineStr">
        <is>
          <t>[conclusion] All six heirs must join in a conveyance if the purchaser is to obtain the entirety of Lot B and of the undivided one-third share of Lot R.</t>
        </is>
      </c>
      <c r="D504" s="17" t="inlineStr">
        <is>
          <t>PROV-M068-003: Matrimonial Rights and Inheritance Ordinance s.22
PROV-M068-006: Matrimonial Rights and Inheritance Ordinance s.25
Facts: BG-1, BG-2</t>
        </is>
      </c>
      <c r="E504" s="17" t="inlineStr">
        <is>
          <t>[verified, support combined]</t>
        </is>
      </c>
      <c r="F504" s="21" t="n"/>
      <c r="G504" s="21" t="n"/>
      <c r="H504" s="21" t="n"/>
      <c r="I504" s="21" t="n"/>
      <c r="J504" s="21" t="n"/>
      <c r="K504" s="17">
        <f>IF(OR(A504="",B504=""),"",IF(AND(F504&lt;&gt;"",H504&lt;&gt;"",J504&lt;&gt;""),"Complete","Pending"))</f>
        <v/>
      </c>
    </row>
    <row r="505">
      <c r="A505" s="19" t="inlineStr">
        <is>
          <t>M071-Q01</t>
        </is>
      </c>
      <c r="B505" s="19" t="inlineStr">
        <is>
          <t>CL-M071-Q01-001</t>
        </is>
      </c>
      <c r="C505" s="17" t="inlineStr">
        <is>
          <t>[rule] A notary may not authenticate or attest a deed unless the executant and the witnesses signed it in his presence and in the presence of one another and he signed it in their presence.</t>
        </is>
      </c>
      <c r="D505" s="17" t="inlineStr">
        <is>
          <t>PROV-M071-001: Notaries Ordinance s.31 rule (12)</t>
        </is>
      </c>
      <c r="E505" s="17" t="inlineStr">
        <is>
          <t>[verified, support direct]</t>
        </is>
      </c>
      <c r="F505" s="21" t="n"/>
      <c r="G505" s="21" t="n"/>
      <c r="H505" s="21" t="n"/>
      <c r="I505" s="21" t="n"/>
      <c r="J505" s="21" t="n"/>
      <c r="K505" s="17">
        <f>IF(OR(A505="",B505=""),"",IF(AND(F505&lt;&gt;"",H505&lt;&gt;"",J505&lt;&gt;""),"Complete","Pending"))</f>
        <v/>
      </c>
    </row>
    <row r="506">
      <c r="A506" s="19" t="inlineStr">
        <is>
          <t>M071-Q01</t>
        </is>
      </c>
      <c r="B506" s="19" t="inlineStr">
        <is>
          <t>CL-M071-Q01-002</t>
        </is>
      </c>
      <c r="C506" s="17" t="inlineStr">
        <is>
          <t>[rule] At least two witnesses must subscribe their signatures in letters to a deed the notary attests.</t>
        </is>
      </c>
      <c r="D506" s="17" t="inlineStr">
        <is>
          <t>PROV-M071-014: Notaries Ordinance s.31 rule (8)</t>
        </is>
      </c>
      <c r="E506" s="17" t="inlineStr">
        <is>
          <t>[verified, support direct]</t>
        </is>
      </c>
      <c r="F506" s="21" t="n"/>
      <c r="G506" s="21" t="n"/>
      <c r="H506" s="21" t="n"/>
      <c r="I506" s="21" t="n"/>
      <c r="J506" s="21" t="n"/>
      <c r="K506" s="17">
        <f>IF(OR(A506="",B506=""),"",IF(AND(F506&lt;&gt;"",H506&lt;&gt;"",J506&lt;&gt;""),"Complete","Pending"))</f>
        <v/>
      </c>
    </row>
    <row r="507">
      <c r="A507" s="19" t="inlineStr">
        <is>
          <t>M071-Q01</t>
        </is>
      </c>
      <c r="B507" s="19" t="inlineStr">
        <is>
          <t>CL-M071-Q01-003</t>
        </is>
      </c>
      <c r="C507" s="17" t="inlineStr">
        <is>
          <t>[rule] A notary may not attest a deed in any area other than the area in which he is authorised to practise, that area being fixed by his warrant and extending to the judicial zone in which he resides.</t>
        </is>
      </c>
      <c r="D507" s="17" t="inlineStr">
        <is>
          <t>PROV-M071-002: Notaries Ordinance s.31 rule (22)
PROV-M071-020: Notaries Ordinance s.9
PROV-M071-021: Notaries Ordinance s.4A</t>
        </is>
      </c>
      <c r="E507" s="17" t="inlineStr">
        <is>
          <t>[verified, support combined]</t>
        </is>
      </c>
      <c r="F507" s="21" t="n"/>
      <c r="G507" s="21" t="n"/>
      <c r="H507" s="21" t="n"/>
      <c r="I507" s="21" t="n"/>
      <c r="J507" s="21" t="n"/>
      <c r="K507" s="17">
        <f>IF(OR(A507="",B507=""),"",IF(AND(F507&lt;&gt;"",H507&lt;&gt;"",J507&lt;&gt;""),"Complete","Pending"))</f>
        <v/>
      </c>
    </row>
    <row r="508">
      <c r="A508" s="19" t="inlineStr">
        <is>
          <t>M071-Q01</t>
        </is>
      </c>
      <c r="B508" s="19" t="inlineStr">
        <is>
          <t>CL-M071-Q01-004</t>
        </is>
      </c>
      <c r="C508" s="17" t="inlineStr">
        <is>
          <t>[rule] The Ordinance permits one deed to be executed or acknowledged before more than one notary, and allocates the attestation duties between the notary who first attests and every other attesting notary.</t>
        </is>
      </c>
      <c r="D508" s="17" t="inlineStr">
        <is>
          <t>PROV-M071-003: Notaries Ordinance s.31 rule (25)(a)
PROV-M071-012: Notaries Ordinance s.31 rule (20) chapeau and (a)</t>
        </is>
      </c>
      <c r="E508" s="17" t="inlineStr">
        <is>
          <t>[verified, support direct]</t>
        </is>
      </c>
      <c r="F508" s="21" t="n"/>
      <c r="G508" s="21" t="n"/>
      <c r="H508" s="21" t="n"/>
      <c r="I508" s="21" t="n"/>
      <c r="J508" s="21" t="n"/>
      <c r="K508" s="17">
        <f>IF(OR(A508="",B508=""),"",IF(AND(F508&lt;&gt;"",H508&lt;&gt;"",J508&lt;&gt;""),"Complete","Pending"))</f>
        <v/>
      </c>
    </row>
    <row r="509">
      <c r="A509" s="19" t="inlineStr">
        <is>
          <t>M071-Q01</t>
        </is>
      </c>
      <c r="B509" s="19" t="inlineStr">
        <is>
          <t>CL-M071-Q01-005</t>
        </is>
      </c>
      <c r="C509" s="17" t="inlineStr">
        <is>
          <t>[rule] Each attesting notary numbers the deed in his own consecutive series, the first attesting notary keeps the protocol and the other notary supplies himself with a certified copy which is deemed his protocol, and every attesting notary must otherwise comply with section 31 as far as possible.</t>
        </is>
      </c>
      <c r="D509" s="17" t="inlineStr">
        <is>
          <t>PROV-M071-004: Notaries Ordinance s.31 rule (25)(b)
PROV-M071-005: Notaries Ordinance s.31 rule (25)(c)-(d)
PROV-M071-015: Notaries Ordinance s.31 rule (23)
PROV-M071-016: Notaries Ordinance s.31 rule (24)</t>
        </is>
      </c>
      <c r="E509" s="17" t="inlineStr">
        <is>
          <t>[verified, support combined]</t>
        </is>
      </c>
      <c r="F509" s="21" t="n"/>
      <c r="G509" s="21" t="n"/>
      <c r="H509" s="21" t="n"/>
      <c r="I509" s="21" t="n"/>
      <c r="J509" s="21" t="n"/>
      <c r="K509" s="17">
        <f>IF(OR(A509="",B509=""),"",IF(AND(F509&lt;&gt;"",H509&lt;&gt;"",J509&lt;&gt;""),"Complete","Pending"))</f>
        <v/>
      </c>
    </row>
    <row r="510">
      <c r="A510" s="19" t="inlineStr">
        <is>
          <t>M071-Q01</t>
        </is>
      </c>
      <c r="B510" s="19" t="inlineStr">
        <is>
          <t>CL-M071-Q01-006</t>
        </is>
      </c>
      <c r="C510" s="17" t="inlineStr">
        <is>
          <t>[rule] Where two or more parties do not sign at the same time and place, the deed is deemed executed at the first signing for rules (6), (7), (23) and (25), is deemed executed on each occasion of signing for rules (18) and (20), and the bar on erasure, alteration or interpolation applies from the first signing.</t>
        </is>
      </c>
      <c r="D510" s="17" t="inlineStr">
        <is>
          <t>PROV-M071-006: Notaries Ordinance s.32 (2) chapeau and (i)
PROV-M071-007: Notaries Ordinance s.32 (2)(ii)-(iii)
PROV-M071-901: Notaries Ordinance s.31 rule (19)</t>
        </is>
      </c>
      <c r="E510" s="17" t="inlineStr">
        <is>
          <t>[verified, support direct]</t>
        </is>
      </c>
      <c r="F510" s="21" t="n"/>
      <c r="G510" s="21" t="n"/>
      <c r="H510" s="21" t="n"/>
      <c r="I510" s="21" t="n"/>
      <c r="J510" s="21" t="n"/>
      <c r="K510" s="17">
        <f>IF(OR(A510="",B510=""),"",IF(AND(F510&lt;&gt;"",H510&lt;&gt;"",J510&lt;&gt;""),"Complete","Pending"))</f>
        <v/>
      </c>
    </row>
    <row r="511">
      <c r="A511" s="19" t="inlineStr">
        <is>
          <t>M071-Q01</t>
        </is>
      </c>
      <c r="B511" s="19" t="inlineStr">
        <is>
          <t>CL-M071-Q01-007</t>
        </is>
      </c>
      <c r="C511" s="17" t="inlineStr">
        <is>
          <t>[rule] Each notary must insert in letters the day, month and year and the place of the execution before him, and must state in his attestation that the party and the witnesses signed in his presence and in the presence of one another, together with the date, the place and the attesting witnesses.</t>
        </is>
      </c>
      <c r="D511" s="17" t="inlineStr">
        <is>
          <t>PROV-M071-011: Notaries Ordinance s.31 rule (18)
PROV-M071-012: Notaries Ordinance s.31 rule (20) chapeau and (a)
PROV-M071-013: Notaries Ordinance s.31 rule (20)(c)</t>
        </is>
      </c>
      <c r="E511" s="17" t="inlineStr">
        <is>
          <t>[verified, support combined]</t>
        </is>
      </c>
      <c r="F511" s="21" t="n"/>
      <c r="G511" s="21" t="n"/>
      <c r="H511" s="21" t="n"/>
      <c r="I511" s="21" t="n"/>
      <c r="J511" s="21" t="n"/>
      <c r="K511" s="17">
        <f>IF(OR(A511="",B511=""),"",IF(AND(F511&lt;&gt;"",H511&lt;&gt;"",J511&lt;&gt;""),"Complete","Pending"))</f>
        <v/>
      </c>
    </row>
    <row r="512">
      <c r="A512" s="19" t="inlineStr">
        <is>
          <t>M071-Q01</t>
        </is>
      </c>
      <c r="B512" s="19" t="inlineStr">
        <is>
          <t>CL-M071-Q01-008</t>
        </is>
      </c>
      <c r="C512" s="17" t="inlineStr">
        <is>
          <t>[rule] Where a deed is executed by two or more parties before more than one notary the duplicate is transmitted to the Registrar of Lands by the notary who first attests it and the other notary need not transmit one, and a certified copy must also go to the Registrar of Lands of the district in which the land lies if that is a different district.</t>
        </is>
      </c>
      <c r="D512" s="17" t="inlineStr">
        <is>
          <t>PROV-M071-008: Notaries Ordinance s.31 rule (28)
PROV-M071-017: Notaries Ordinance s.31 rule (29)</t>
        </is>
      </c>
      <c r="E512" s="17" t="inlineStr">
        <is>
          <t>[verified, support combined]</t>
        </is>
      </c>
      <c r="F512" s="21" t="n"/>
      <c r="G512" s="21" t="n"/>
      <c r="H512" s="21" t="n"/>
      <c r="I512" s="21" t="n"/>
      <c r="J512" s="21" t="n"/>
      <c r="K512" s="17">
        <f>IF(OR(A512="",B512=""),"",IF(AND(F512&lt;&gt;"",H512&lt;&gt;"",J512&lt;&gt;""),"Complete","Pending"))</f>
        <v/>
      </c>
    </row>
    <row r="513">
      <c r="A513" s="19" t="inlineStr">
        <is>
          <t>M071-Q01</t>
        </is>
      </c>
      <c r="B513" s="19" t="inlineStr">
        <is>
          <t>CL-M071-Q01-009</t>
        </is>
      </c>
      <c r="C513" s="17" t="inlineStr">
        <is>
          <t>[rule] A deed signed by only some of the parties must still be included in the notary's monthly list and produced if the Registrar of Lands calls for it, and if all parties have not signed within three months of the first signature the notary may be required to deliver the duplicate to the registrar.</t>
        </is>
      </c>
      <c r="D513" s="17" t="inlineStr">
        <is>
          <t>PROV-M071-009: Notaries Ordinance s.31 rule (26)(c)(i)
PROV-M071-010: Notaries Ordinance s.31 rule (26)(c)(ii)</t>
        </is>
      </c>
      <c r="E513" s="17" t="inlineStr">
        <is>
          <t>[verified, support direct]</t>
        </is>
      </c>
      <c r="F513" s="21" t="n"/>
      <c r="G513" s="21" t="n"/>
      <c r="H513" s="21" t="n"/>
      <c r="I513" s="21" t="n"/>
      <c r="J513" s="21" t="n"/>
      <c r="K513" s="17">
        <f>IF(OR(A513="",B513=""),"",IF(AND(F513&lt;&gt;"",H513&lt;&gt;"",J513&lt;&gt;""),"Complete","Pending"))</f>
        <v/>
      </c>
    </row>
    <row r="514">
      <c r="A514" s="19" t="inlineStr">
        <is>
          <t>M071-Q01</t>
        </is>
      </c>
      <c r="B514" s="19" t="inlineStr">
        <is>
          <t>CL-M071-Q01-010</t>
        </is>
      </c>
      <c r="C514" s="17" t="inlineStr">
        <is>
          <t>[application] Nimal Perera cannot attest the bedridden father's signature, because that signature will be placed in Kandy before another notary and not in Nimal Perera's presence.</t>
        </is>
      </c>
      <c r="D514" s="17" t="inlineStr">
        <is>
          <t>PROV-M071-001: Notaries Ordinance s.31 rule (12)
Facts: BG-1, BG-2, BG-3</t>
        </is>
      </c>
      <c r="E514" s="17" t="inlineStr">
        <is>
          <t>[verified, support direct]</t>
        </is>
      </c>
      <c r="F514" s="21" t="n"/>
      <c r="G514" s="21" t="n"/>
      <c r="H514" s="21" t="n"/>
      <c r="I514" s="21" t="n"/>
      <c r="J514" s="21" t="n"/>
      <c r="K514" s="17">
        <f>IF(OR(A514="",B514=""),"",IF(AND(F514&lt;&gt;"",H514&lt;&gt;"",J514&lt;&gt;""),"Complete","Pending"))</f>
        <v/>
      </c>
    </row>
    <row r="515">
      <c r="A515" s="19" t="inlineStr">
        <is>
          <t>M071-Q01</t>
        </is>
      </c>
      <c r="B515" s="19" t="inlineStr">
        <is>
          <t>CL-M071-Q01-011</t>
        </is>
      </c>
      <c r="C515" s="17" t="inlineStr">
        <is>
          <t>[application] Nimal Perera cannot cure this by travelling to Kandy himself, because he practises in Colombo and may not attest outside the area in which he is authorised to practise.</t>
        </is>
      </c>
      <c r="D515" s="17" t="inlineStr">
        <is>
          <t>PROV-M071-002: Notaries Ordinance s.31 rule (22)
PROV-M071-020: Notaries Ordinance s.9
PROV-M071-021: Notaries Ordinance s.4A
Facts: BG-1, BG-2</t>
        </is>
      </c>
      <c r="E515" s="17" t="inlineStr">
        <is>
          <t>[verified, support combined]</t>
        </is>
      </c>
      <c r="F515" s="21" t="n"/>
      <c r="G515" s="21" t="n"/>
      <c r="H515" s="21" t="n"/>
      <c r="I515" s="21" t="n"/>
      <c r="J515" s="21" t="n"/>
      <c r="K515" s="17">
        <f>IF(OR(A515="",B515=""),"",IF(AND(F515&lt;&gt;"",H515&lt;&gt;"",J515&lt;&gt;""),"Complete","Pending"))</f>
        <v/>
      </c>
    </row>
    <row r="516">
      <c r="A516" s="19" t="inlineStr">
        <is>
          <t>M071-Q01</t>
        </is>
      </c>
      <c r="B516" s="19" t="inlineStr">
        <is>
          <t>CL-M071-Q01-012</t>
        </is>
      </c>
      <c r="C516" s="17" t="inlineStr">
        <is>
          <t>[application] The deed may be attested by the Kandy notary as to the father's execution in Kandy and by Nimal Perera as to the two brothers' execution in Colombo, each with two witnesses signing in the presence of the attesting notary and of one another.</t>
        </is>
      </c>
      <c r="D516" s="17" t="inlineStr">
        <is>
          <t>PROV-M071-003: Notaries Ordinance s.31 rule (25)(a)
PROV-M071-001: Notaries Ordinance s.31 rule (12)
PROV-M071-014: Notaries Ordinance s.31 rule (8)
Facts: BG-2, BG-3, BG-4</t>
        </is>
      </c>
      <c r="E516" s="17" t="inlineStr">
        <is>
          <t>[verified, support combined]</t>
        </is>
      </c>
      <c r="F516" s="21" t="n"/>
      <c r="G516" s="21" t="n"/>
      <c r="H516" s="21" t="n"/>
      <c r="I516" s="21" t="n"/>
      <c r="J516" s="21" t="n"/>
      <c r="K516" s="17">
        <f>IF(OR(A516="",B516=""),"",IF(AND(F516&lt;&gt;"",H516&lt;&gt;"",J516&lt;&gt;""),"Complete","Pending"))</f>
        <v/>
      </c>
    </row>
    <row r="517">
      <c r="A517" s="19" t="inlineStr">
        <is>
          <t>M071-Q01</t>
        </is>
      </c>
      <c r="B517" s="19" t="inlineStr">
        <is>
          <t>CL-M071-Q01-013</t>
        </is>
      </c>
      <c r="C517" s="17" t="inlineStr">
        <is>
          <t>[application] Because the three executants will sign at different times and places, each notary dates and attests only the execution before him, each numbers the deed in his own series, the notary attesting first keeps the protocol and transmits the duplicate, and nothing may be altered after the first signature.</t>
        </is>
      </c>
      <c r="D517" s="17" t="inlineStr">
        <is>
          <t>PROV-M071-005: Notaries Ordinance s.31 rule (25)(c)-(d)
PROV-M071-006: Notaries Ordinance s.32 (2) chapeau and (i)
PROV-M071-007: Notaries Ordinance s.32 (2)(ii)-(iii)
PROV-M071-004: Notaries Ordinance s.31 rule (25)(b)
PROV-M071-008: Notaries Ordinance s.31 rule (28)
PROV-M071-011: Notaries Ordinance s.31 rule (18)
PROV-M071-013: Notaries Ordinance s.31 rule (20)(c)
PROV-M071-901: Notaries Ordinance s.31 rule (19)
Facts: BG-2, BG-4</t>
        </is>
      </c>
      <c r="E517" s="17" t="inlineStr">
        <is>
          <t>[verified, support combined]</t>
        </is>
      </c>
      <c r="F517" s="21" t="n"/>
      <c r="G517" s="21" t="n"/>
      <c r="H517" s="21" t="n"/>
      <c r="I517" s="21" t="n"/>
      <c r="J517" s="21" t="n"/>
      <c r="K517" s="17">
        <f>IF(OR(A517="",B517=""),"",IF(AND(F517&lt;&gt;"",H517&lt;&gt;"",J517&lt;&gt;""),"Complete","Pending"))</f>
        <v/>
      </c>
    </row>
    <row r="518">
      <c r="A518" s="19" t="inlineStr">
        <is>
          <t>M071-Q01</t>
        </is>
      </c>
      <c r="B518" s="19" t="inlineStr">
        <is>
          <t>CL-M071-Q01-014</t>
        </is>
      </c>
      <c r="C518" s="17" t="inlineStr">
        <is>
          <t>[application] The execution should be completed within three months of the first signature, failing which the notary who holds the duplicate may be called on to deliver it to the Registrar of Lands.</t>
        </is>
      </c>
      <c r="D518" s="17" t="inlineStr">
        <is>
          <t>PROV-M071-009: Notaries Ordinance s.31 rule (26)(c)(i)
PROV-M071-010: Notaries Ordinance s.31 rule (26)(c)(ii)
Facts: BG-2, BG-4</t>
        </is>
      </c>
      <c r="E518" s="17" t="inlineStr">
        <is>
          <t>[verified, support direct]</t>
        </is>
      </c>
      <c r="F518" s="21" t="n"/>
      <c r="G518" s="21" t="n"/>
      <c r="H518" s="21" t="n"/>
      <c r="I518" s="21" t="n"/>
      <c r="J518" s="21" t="n"/>
      <c r="K518" s="17">
        <f>IF(OR(A518="",B518=""),"",IF(AND(F518&lt;&gt;"",H518&lt;&gt;"",J518&lt;&gt;""),"Complete","Pending"))</f>
        <v/>
      </c>
    </row>
    <row r="519">
      <c r="A519" s="19" t="inlineStr">
        <is>
          <t>M071-Q01</t>
        </is>
      </c>
      <c r="B519" s="19" t="inlineStr">
        <is>
          <t>CL-M071-Q01-015</t>
        </is>
      </c>
      <c r="C519" s="17" t="inlineStr">
        <is>
          <t>[application] The facts do not state where the partitioned land lies or which notary will attest first, so the destination of the certified copy and the allocation of the first-attesting notary's duties can only be stated conditionally.</t>
        </is>
      </c>
      <c r="D519" s="17" t="inlineStr">
        <is>
          <t>PROV-M071-017: Notaries Ordinance s.31 rule (29)
PROV-M071-003: Notaries Ordinance s.31 rule (25)(a)
Facts: BG-5</t>
        </is>
      </c>
      <c r="E519" s="17" t="inlineStr">
        <is>
          <t>[verified, support inferential]</t>
        </is>
      </c>
      <c r="F519" s="21" t="n"/>
      <c r="G519" s="21" t="n"/>
      <c r="H519" s="21" t="n"/>
      <c r="I519" s="21" t="n"/>
      <c r="J519" s="21" t="n"/>
      <c r="K519" s="17">
        <f>IF(OR(A519="",B519=""),"",IF(AND(F519&lt;&gt;"",H519&lt;&gt;"",J519&lt;&gt;""),"Complete","Pending"))</f>
        <v/>
      </c>
    </row>
    <row r="520">
      <c r="A520" s="19" t="inlineStr">
        <is>
          <t>M071-Q01</t>
        </is>
      </c>
      <c r="B520" s="19" t="inlineStr">
        <is>
          <t>CL-M071-Q01-016</t>
        </is>
      </c>
      <c r="C520" s="17" t="inlineStr">
        <is>
          <t>[conclusion] Nimal Perera may not attest the whole partition deed and may not attest in Kandy; the deed may lawfully be executed before the two notaries, each attesting only the execution that took place before him.</t>
        </is>
      </c>
      <c r="D520" s="17" t="inlineStr">
        <is>
          <t>PROV-M071-001: Notaries Ordinance s.31 rule (12)
PROV-M071-002: Notaries Ordinance s.31 rule (22)
PROV-M071-003: Notaries Ordinance s.31 rule (25)(a)
PROV-M071-005: Notaries Ordinance s.31 rule (25)(c)-(d)
PROV-M071-006: Notaries Ordinance s.32 (2) chapeau and (i)
PROV-M071-007: Notaries Ordinance s.32 (2)(ii)-(iii)
PROV-M071-012: Notaries Ordinance s.31 rule (20) chapeau and (a)
Facts: BG-1, BG-2, BG-3, BG-4</t>
        </is>
      </c>
      <c r="E520" s="17" t="inlineStr">
        <is>
          <t>[verified, support combined]</t>
        </is>
      </c>
      <c r="F520" s="21" t="n"/>
      <c r="G520" s="21" t="n"/>
      <c r="H520" s="21" t="n"/>
      <c r="I520" s="21" t="n"/>
      <c r="J520" s="21" t="n"/>
      <c r="K520" s="17">
        <f>IF(OR(A520="",B520=""),"",IF(AND(F520&lt;&gt;"",H520&lt;&gt;"",J520&lt;&gt;""),"Complete","Pending"))</f>
        <v/>
      </c>
    </row>
    <row r="521">
      <c r="A521" s="19" t="inlineStr">
        <is>
          <t>M071-Q01</t>
        </is>
      </c>
      <c r="B521" s="19" t="inlineStr">
        <is>
          <t>CL-M071-Q01-017</t>
        </is>
      </c>
      <c r="C521" s="17" t="inlineStr">
        <is>
          <t>[conclusion] If Nimal Perera attested the father's signature without the father having signed before him he would breach rule 31(12) and commit an offence punishable on summary trial in addition to any civil liability, and section 33 would not save the position because the breach is not a matter of form.</t>
        </is>
      </c>
      <c r="D521" s="17" t="inlineStr">
        <is>
          <t>PROV-M071-001: Notaries Ordinance s.31 rule (12)
PROV-M071-019: Notaries Ordinance s.34 (1)(c)
PROV-M071-018: Notaries Ordinance s.33
Facts: BG-1, BG-2</t>
        </is>
      </c>
      <c r="E521" s="17" t="inlineStr">
        <is>
          <t>[disputed, support combined]</t>
        </is>
      </c>
      <c r="F521" s="21" t="n"/>
      <c r="G521" s="21" t="n"/>
      <c r="H521" s="21" t="n"/>
      <c r="I521" s="21" t="n"/>
      <c r="J521" s="21" t="n"/>
      <c r="K521" s="17">
        <f>IF(OR(A521="",B521=""),"",IF(AND(F521&lt;&gt;"",H521&lt;&gt;"",J521&lt;&gt;""),"Complete","Pending"))</f>
        <v/>
      </c>
    </row>
    <row r="522">
      <c r="A522" s="19" t="inlineStr">
        <is>
          <t>M078-Q01</t>
        </is>
      </c>
      <c r="B522" s="19" t="inlineStr">
        <is>
          <t>CL-M078-Q01-001</t>
        </is>
      </c>
      <c r="C522" s="17" t="inlineStr">
        <is>
          <t>[rule] An Indenture of Lease and a mortgage bond are both instruments affecting land, because Registration of Documents Ordinance s.8(b) covers every instrument which purports or operates to create, charge or encumber any interest in land.</t>
        </is>
      </c>
      <c r="D522" s="17" t="inlineStr">
        <is>
          <t>PROV-M078-003: Registration of Documents Ordinance No. 23 of 1927 s.8 (b)</t>
        </is>
      </c>
      <c r="E522" s="17" t="inlineStr">
        <is>
          <t>[verified, support direct]</t>
        </is>
      </c>
      <c r="F522" s="21" t="n"/>
      <c r="G522" s="21" t="n"/>
      <c r="H522" s="21" t="n"/>
      <c r="I522" s="21" t="n"/>
      <c r="J522" s="21" t="n"/>
      <c r="K522" s="17">
        <f>IF(OR(A522="",B522=""),"",IF(AND(F522&lt;&gt;"",H522&lt;&gt;"",J522&lt;&gt;""),"Complete","Pending"))</f>
        <v/>
      </c>
    </row>
    <row r="523">
      <c r="A523" s="19" t="inlineStr">
        <is>
          <t>M078-Q01</t>
        </is>
      </c>
      <c r="B523" s="19" t="inlineStr">
        <is>
          <t>CL-M078-Q01-002</t>
        </is>
      </c>
      <c r="C523" s="17" t="inlineStr">
        <is>
          <t>[rule] A lease at will, for a period not exceeding one month, or determinable by the landlord on not more than a month's notice, is outside the registration scheme by virtue of proviso (xi) to s.8.</t>
        </is>
      </c>
      <c r="D523" s="17" t="inlineStr">
        <is>
          <t>PROV-M078-004: Registration of Documents Ordinance No. 23 of 1927 s.8(proviso (xi))</t>
        </is>
      </c>
      <c r="E523" s="17" t="inlineStr">
        <is>
          <t>[verified, support direct]</t>
        </is>
      </c>
      <c r="F523" s="21" t="n"/>
      <c r="G523" s="21" t="n"/>
      <c r="H523" s="21" t="n"/>
      <c r="I523" s="21" t="n"/>
      <c r="J523" s="21" t="n"/>
      <c r="K523" s="17">
        <f>IF(OR(A523="",B523=""),"",IF(AND(F523&lt;&gt;"",H523&lt;&gt;"",J523&lt;&gt;""),"Complete","Pending"))</f>
        <v/>
      </c>
    </row>
    <row r="524">
      <c r="A524" s="19" t="inlineStr">
        <is>
          <t>M078-Q01</t>
        </is>
      </c>
      <c r="B524" s="19" t="inlineStr">
        <is>
          <t>CL-M078-Q01-003</t>
        </is>
      </c>
      <c r="C524" s="17" t="inlineStr">
        <is>
          <t>[rule] Under Registration of Documents Ordinance s.7(1) an instrument that is not duly registered is void as against a party claiming an adverse interest on valuable consideration under a subsequent instrument which is duly registered.</t>
        </is>
      </c>
      <c r="D524" s="17" t="inlineStr">
        <is>
          <t>PROV-M078-001: Registration of Documents Ordinance No. 23 of 1927 s.7 (1)</t>
        </is>
      </c>
      <c r="E524" s="17" t="inlineStr">
        <is>
          <t>[verified, support direct]</t>
        </is>
      </c>
      <c r="F524" s="21" t="n"/>
      <c r="G524" s="21" t="n"/>
      <c r="H524" s="21" t="n"/>
      <c r="I524" s="21" t="n"/>
      <c r="J524" s="21" t="n"/>
      <c r="K524" s="17">
        <f>IF(OR(A524="",B524=""),"",IF(AND(F524&lt;&gt;"",H524&lt;&gt;"",J524&lt;&gt;""),"Complete","Pending"))</f>
        <v/>
      </c>
    </row>
    <row r="525">
      <c r="A525" s="19" t="inlineStr">
        <is>
          <t>M078-Q01</t>
        </is>
      </c>
      <c r="B525" s="19" t="inlineStr">
        <is>
          <t>CL-M078-Q01-004</t>
        </is>
      </c>
      <c r="C525" s="17" t="inlineStr">
        <is>
          <t>[rule] An instrument is not duly registered unless it is entered in the book and folio required by s.14, and for the purpose of priority the time of presentation in the day book is taken as the time of registration under s.27(1).</t>
        </is>
      </c>
      <c r="D525" s="17" t="inlineStr">
        <is>
          <t>PROV-M078-005: Registration of Documents Ordinance No. 23 of 1927 s.14 (2)
PROV-M078-006: Registration of Documents Ordinance No. 23 of 1927 s.27 (1)</t>
        </is>
      </c>
      <c r="E525" s="17" t="inlineStr">
        <is>
          <t>[verified, support combined]</t>
        </is>
      </c>
      <c r="F525" s="21" t="n"/>
      <c r="G525" s="21" t="n"/>
      <c r="H525" s="21" t="n"/>
      <c r="I525" s="21" t="n"/>
      <c r="J525" s="21" t="n"/>
      <c r="K525" s="17">
        <f>IF(OR(A525="",B525=""),"",IF(AND(F525&lt;&gt;"",H525&lt;&gt;"",J525&lt;&gt;""),"Complete","Pending"))</f>
        <v/>
      </c>
    </row>
    <row r="526">
      <c r="A526" s="19" t="inlineStr">
        <is>
          <t>M078-Q01</t>
        </is>
      </c>
      <c r="B526" s="19" t="inlineStr">
        <is>
          <t>CL-M078-Q01-005</t>
        </is>
      </c>
      <c r="C526" s="17" t="inlineStr">
        <is>
          <t>[rule] An intending mortgagee may register a priority notice under s.30, and an instrument registered while that notice is in force is deemed to have been registered at the time of registration of the notice.</t>
        </is>
      </c>
      <c r="D526" s="17" t="inlineStr">
        <is>
          <t>PROV-M078-007: Registration of Documents Ordinance No. 23 of 1927 s.30 (2)</t>
        </is>
      </c>
      <c r="E526" s="17" t="inlineStr">
        <is>
          <t>[verified, support direct]</t>
        </is>
      </c>
      <c r="F526" s="21" t="n"/>
      <c r="G526" s="21" t="n"/>
      <c r="H526" s="21" t="n"/>
      <c r="I526" s="21" t="n"/>
      <c r="J526" s="21" t="n"/>
      <c r="K526" s="17">
        <f>IF(OR(A526="",B526=""),"",IF(AND(F526&lt;&gt;"",H526&lt;&gt;"",J526&lt;&gt;""),"Complete","Pending"))</f>
        <v/>
      </c>
    </row>
    <row r="527">
      <c r="A527" s="19" t="inlineStr">
        <is>
          <t>M078-Q01</t>
        </is>
      </c>
      <c r="B527" s="19" t="inlineStr">
        <is>
          <t>CL-M078-Q01-006</t>
        </is>
      </c>
      <c r="C527" s="17" t="inlineStr">
        <is>
          <t>[rule] Registration of the Mortgage Bond confers priority and nothing more; it cures no defect in the instrument, and under s.7(2) fraud or collusion in securing the prior registration defeats the priority so obtained.</t>
        </is>
      </c>
      <c r="D527" s="17" t="inlineStr">
        <is>
          <t>PROV-M078-002: Registration of Documents Ordinance No. 23 of 1927 s.7 (4)
PROV-M078-001: Registration of Documents Ordinance No. 23 of 1927 s.7 (1)
PROV-M078-901: Registration of Documents Ordinance No. 23 of 1927 s.7 (2)</t>
        </is>
      </c>
      <c r="E527" s="17" t="inlineStr">
        <is>
          <t>[verified, support combined]</t>
        </is>
      </c>
      <c r="F527" s="21" t="n"/>
      <c r="G527" s="21" t="n"/>
      <c r="H527" s="21" t="n"/>
      <c r="I527" s="21" t="n"/>
      <c r="J527" s="21" t="n"/>
      <c r="K527" s="17">
        <f>IF(OR(A527="",B527=""),"",IF(AND(F527&lt;&gt;"",H527&lt;&gt;"",J527&lt;&gt;""),"Complete","Pending"))</f>
        <v/>
      </c>
    </row>
    <row r="528">
      <c r="A528" s="19" t="inlineStr">
        <is>
          <t>M078-Q01</t>
        </is>
      </c>
      <c r="B528" s="19" t="inlineStr">
        <is>
          <t>CL-M078-Q01-007</t>
        </is>
      </c>
      <c r="C528" s="17" t="inlineStr">
        <is>
          <t>[application] The notary drawing the Mortgage Bond must search the registers of the land registry to ascertain the state of the title and whether any prior deed affecting the Nugegoda land has been registered, which is how the position of the Indenture of Lease is established.</t>
        </is>
      </c>
      <c r="D528" s="17" t="inlineStr">
        <is>
          <t>PROV-M078-008: Notaries Ordinance No. 1 of 1907 s.31 rule (17)(a)
Facts: BG-1, BG-4</t>
        </is>
      </c>
      <c r="E528" s="17" t="inlineStr">
        <is>
          <t>[verified, support direct]</t>
        </is>
      </c>
      <c r="F528" s="21" t="n"/>
      <c r="G528" s="21" t="n"/>
      <c r="H528" s="21" t="n"/>
      <c r="I528" s="21" t="n"/>
      <c r="J528" s="21" t="n"/>
      <c r="K528" s="17">
        <f>IF(OR(A528="",B528=""),"",IF(AND(F528&lt;&gt;"",H528&lt;&gt;"",J528&lt;&gt;""),"Complete","Pending"))</f>
        <v/>
      </c>
    </row>
    <row r="529">
      <c r="A529" s="19" t="inlineStr">
        <is>
          <t>M078-Q01</t>
        </is>
      </c>
      <c r="B529" s="19" t="inlineStr">
        <is>
          <t>CL-M078-Q01-008</t>
        </is>
      </c>
      <c r="C529" s="17" t="inlineStr">
        <is>
          <t>[application] The loan advanced by the Lending Institution is valuable consideration, so the Lending Institution is a party claiming an adverse interest on valuable consideration under a subsequent instrument for the purposes of s.7(1).</t>
        </is>
      </c>
      <c r="D529" s="17" t="inlineStr">
        <is>
          <t>PROV-M078-001: Registration of Documents Ordinance No. 23 of 1927 s.7 (1)
Facts: BG-2</t>
        </is>
      </c>
      <c r="E529" s="17" t="inlineStr">
        <is>
          <t>[verified, support direct]</t>
        </is>
      </c>
      <c r="F529" s="21" t="n"/>
      <c r="G529" s="21" t="n"/>
      <c r="H529" s="21" t="n"/>
      <c r="I529" s="21" t="n"/>
      <c r="J529" s="21" t="n"/>
      <c r="K529" s="17">
        <f>IF(OR(A529="",B529=""),"",IF(AND(F529&lt;&gt;"",H529&lt;&gt;"",J529&lt;&gt;""),"Complete","Pending"))</f>
        <v/>
      </c>
    </row>
    <row r="530">
      <c r="A530" s="19" t="inlineStr">
        <is>
          <t>M078-Q01</t>
        </is>
      </c>
      <c r="B530" s="19" t="inlineStr">
        <is>
          <t>CL-M078-Q01-009</t>
        </is>
      </c>
      <c r="C530" s="17" t="inlineStr">
        <is>
          <t>[application] If the Indenture of Lease has not been registered, the Mortgage Bond duly registered in the proper folio will render the lease void as against the Lending Institution and will rank ahead of it.</t>
        </is>
      </c>
      <c r="D530" s="17" t="inlineStr">
        <is>
          <t>PROV-M078-001: Registration of Documents Ordinance No. 23 of 1927 s.7 (1)
PROV-M078-003: Registration of Documents Ordinance No. 23 of 1927 s.8 (b)
PROV-M078-005: Registration of Documents Ordinance No. 23 of 1927 s.14 (2)
Facts: BG-1, BG-2</t>
        </is>
      </c>
      <c r="E530" s="17" t="inlineStr">
        <is>
          <t>[verified, support combined]</t>
        </is>
      </c>
      <c r="F530" s="21" t="n"/>
      <c r="G530" s="21" t="n"/>
      <c r="H530" s="21" t="n"/>
      <c r="I530" s="21" t="n"/>
      <c r="J530" s="21" t="n"/>
      <c r="K530" s="17">
        <f>IF(OR(A530="",B530=""),"",IF(AND(F530&lt;&gt;"",H530&lt;&gt;"",J530&lt;&gt;""),"Complete","Pending"))</f>
        <v/>
      </c>
    </row>
    <row r="531">
      <c r="A531" s="19" t="inlineStr">
        <is>
          <t>M078-Q01</t>
        </is>
      </c>
      <c r="B531" s="19" t="inlineStr">
        <is>
          <t>CL-M078-Q01-010</t>
        </is>
      </c>
      <c r="C531" s="17" t="inlineStr">
        <is>
          <t>[application] The Lending Institution should register a priority notice before the Mortgage Bond is executed, so that the bond is deemed registered from the date of the notice and no instrument executed by Kamal Perera can be registered against the land while the notice is in force.</t>
        </is>
      </c>
      <c r="D531" s="17" t="inlineStr">
        <is>
          <t>PROV-M078-007: Registration of Documents Ordinance No. 23 of 1927 s.30 (2)
Facts: BG-3</t>
        </is>
      </c>
      <c r="E531" s="17" t="inlineStr">
        <is>
          <t>[verified, support direct]</t>
        </is>
      </c>
      <c r="F531" s="21" t="n"/>
      <c r="G531" s="21" t="n"/>
      <c r="H531" s="21" t="n"/>
      <c r="I531" s="21" t="n"/>
      <c r="J531" s="21" t="n"/>
      <c r="K531" s="17">
        <f>IF(OR(A531="",B531=""),"",IF(AND(F531&lt;&gt;"",H531&lt;&gt;"",J531&lt;&gt;""),"Complete","Pending"))</f>
        <v/>
      </c>
    </row>
    <row r="532">
      <c r="A532" s="19" t="inlineStr">
        <is>
          <t>M078-Q01</t>
        </is>
      </c>
      <c r="B532" s="19" t="inlineStr">
        <is>
          <t>CL-M078-Q01-011</t>
        </is>
      </c>
      <c r="C532" s="17" t="inlineStr">
        <is>
          <t>[application] If the Indenture of Lease has already been duly registered, the later Mortgage Bond cannot be given priority over it by registration, because s.7(1) protects only the party whose registered instrument is subsequent to an unregistered one.</t>
        </is>
      </c>
      <c r="D532" s="17" t="inlineStr">
        <is>
          <t>PROV-M078-001: Registration of Documents Ordinance No. 23 of 1927 s.7 (1)
Facts: BG-1, BG-2</t>
        </is>
      </c>
      <c r="E532" s="17" t="inlineStr">
        <is>
          <t>[verified, support direct]</t>
        </is>
      </c>
      <c r="F532" s="21" t="n"/>
      <c r="G532" s="21" t="n"/>
      <c r="H532" s="21" t="n"/>
      <c r="I532" s="21" t="n"/>
      <c r="J532" s="21" t="n"/>
      <c r="K532" s="17">
        <f>IF(OR(A532="",B532=""),"",IF(AND(F532&lt;&gt;"",H532&lt;&gt;"",J532&lt;&gt;""),"Complete","Pending"))</f>
        <v/>
      </c>
    </row>
    <row r="533">
      <c r="A533" s="19" t="inlineStr">
        <is>
          <t>M078-Q01</t>
        </is>
      </c>
      <c r="B533" s="19" t="inlineStr">
        <is>
          <t>CL-M078-Q01-012</t>
        </is>
      </c>
      <c r="C533" s="17" t="inlineStr">
        <is>
          <t>[conclusion] Kamal Perera should be advised that priority turns on the state of the register, that a search must be made first, that if the lease is unregistered the Lending Institution can obtain priority through a priority notice followed by due registration of the Mortgage Bond, and that if the lease is registered he cannot promise the lender first place and must not conceal the lease.</t>
        </is>
      </c>
      <c r="D533" s="17" t="inlineStr">
        <is>
          <t>PROV-M078-001: Registration of Documents Ordinance No. 23 of 1927 s.7 (1)
PROV-M078-005: Registration of Documents Ordinance No. 23 of 1927 s.14 (2)
PROV-M078-007: Registration of Documents Ordinance No. 23 of 1927 s.30 (2)
PROV-M078-008: Notaries Ordinance No. 1 of 1907 s.31 rule (17)(a)
PROV-M078-901: Registration of Documents Ordinance No. 23 of 1927 s.7 (2)
Facts: BG-1, BG-2, BG-3</t>
        </is>
      </c>
      <c r="E533" s="17" t="inlineStr">
        <is>
          <t>[verified, support combined]</t>
        </is>
      </c>
      <c r="F533" s="21" t="n"/>
      <c r="G533" s="21" t="n"/>
      <c r="H533" s="21" t="n"/>
      <c r="I533" s="21" t="n"/>
      <c r="J533" s="21" t="n"/>
      <c r="K533" s="17">
        <f>IF(OR(A533="",B533=""),"",IF(AND(F533&lt;&gt;"",H533&lt;&gt;"",J533&lt;&gt;""),"Complete","Pending"))</f>
        <v/>
      </c>
    </row>
    <row r="534">
      <c r="A534" s="19" t="inlineStr">
        <is>
          <t>M078-Q04</t>
        </is>
      </c>
      <c r="B534" s="19" t="inlineStr">
        <is>
          <t>CL-M078-Q04-001</t>
        </is>
      </c>
      <c r="C534" s="17" t="inlineStr">
        <is>
          <t>[rule] A bond or mortgage for a definite and certain sum of money affecting any property is a specified instrument chargeable with stamp duty under Stamp Duty (Special Provisions) Act s.4(g) read with s.3(1).</t>
        </is>
      </c>
      <c r="D534" s="17" t="inlineStr">
        <is>
          <t>PROV-M078-011: Stamp Duty (Special Provisions) Act No. 12 of 2006 s.4 (g)
PROV-M078-010: Stamp Duty (Special Provisions) Act No. 12 of 2006 s.3 (1)</t>
        </is>
      </c>
      <c r="E534" s="17" t="inlineStr">
        <is>
          <t>[verified, support combined]</t>
        </is>
      </c>
      <c r="F534" s="21" t="n"/>
      <c r="G534" s="21" t="n"/>
      <c r="H534" s="21" t="n"/>
      <c r="I534" s="21" t="n"/>
      <c r="J534" s="21" t="n"/>
      <c r="K534" s="17">
        <f>IF(OR(A534="",B534=""),"",IF(AND(F534&lt;&gt;"",H534&lt;&gt;"",J534&lt;&gt;""),"Complete","Pending"))</f>
        <v/>
      </c>
    </row>
    <row r="535">
      <c r="A535" s="19" t="inlineStr">
        <is>
          <t>M078-Q04</t>
        </is>
      </c>
      <c r="B535" s="19" t="inlineStr">
        <is>
          <t>CL-M078-Q04-002</t>
        </is>
      </c>
      <c r="C535" s="17" t="inlineStr">
        <is>
          <t>[rule] Section 6 allocates liability for stamp duty otherwise than in cases where there is an agreement to the contrary, so any agreement between the parties on who bears the duty displaces the statutory allocation.</t>
        </is>
      </c>
      <c r="D535" s="17" t="inlineStr">
        <is>
          <t>PROV-M078-012: Stamp Duty (Special Provisions) Act No. 12 of 2006 s.6(opening words and (a) to (c))</t>
        </is>
      </c>
      <c r="E535" s="17" t="inlineStr">
        <is>
          <t>[verified, support direct]</t>
        </is>
      </c>
      <c r="F535" s="21" t="n"/>
      <c r="G535" s="21" t="n"/>
      <c r="H535" s="21" t="n"/>
      <c r="I535" s="21" t="n"/>
      <c r="J535" s="21" t="n"/>
      <c r="K535" s="17">
        <f>IF(OR(A535="",B535=""),"",IF(AND(F535&lt;&gt;"",H535&lt;&gt;"",J535&lt;&gt;""),"Complete","Pending"))</f>
        <v/>
      </c>
    </row>
    <row r="536">
      <c r="A536" s="19" t="inlineStr">
        <is>
          <t>M078-Q04</t>
        </is>
      </c>
      <c r="B536" s="19" t="inlineStr">
        <is>
          <t>CL-M078-Q04-003</t>
        </is>
      </c>
      <c r="C536" s="17" t="inlineStr">
        <is>
          <t>[rule] No paragraph of s.6 names a bond or mortgage, so the residual limb in paragraph (e) applies and the duty is payable by the person drawing, making or executing the instrument.</t>
        </is>
      </c>
      <c r="D536" s="17" t="inlineStr">
        <is>
          <t>PROV-M078-013: Stamp Duty (Special Provisions) Act No. 12 of 2006 s.6 (e)
PROV-M078-012: Stamp Duty (Special Provisions) Act No. 12 of 2006 s.6(opening words and (a) to (c))</t>
        </is>
      </c>
      <c r="E536" s="17" t="inlineStr">
        <is>
          <t>[verified, support combined]</t>
        </is>
      </c>
      <c r="F536" s="21" t="n"/>
      <c r="G536" s="21" t="n"/>
      <c r="H536" s="21" t="n"/>
      <c r="I536" s="21" t="n"/>
      <c r="J536" s="21" t="n"/>
      <c r="K536" s="17">
        <f>IF(OR(A536="",B536=""),"",IF(AND(F536&lt;&gt;"",H536&lt;&gt;"",J536&lt;&gt;""),"Complete","Pending"))</f>
        <v/>
      </c>
    </row>
    <row r="537">
      <c r="A537" s="19" t="inlineStr">
        <is>
          <t>M078-Q04</t>
        </is>
      </c>
      <c r="B537" s="19" t="inlineStr">
        <is>
          <t>CL-M078-Q04-004</t>
        </is>
      </c>
      <c r="C537" s="17" t="inlineStr">
        <is>
          <t>[rule] Under s.8(1) the duty must be paid by affixing adhesive stamps to the required value prior to or at the time of execution, and the value paid must be specified on the face of the instrument.</t>
        </is>
      </c>
      <c r="D537" s="17" t="inlineStr">
        <is>
          <t>PROV-M078-014: Stamp Duty (Special Provisions) Act No. 12 of 2006 s.8 (1)</t>
        </is>
      </c>
      <c r="E537" s="17" t="inlineStr">
        <is>
          <t>[verified, support direct]</t>
        </is>
      </c>
      <c r="F537" s="21" t="n"/>
      <c r="G537" s="21" t="n"/>
      <c r="H537" s="21" t="n"/>
      <c r="I537" s="21" t="n"/>
      <c r="J537" s="21" t="n"/>
      <c r="K537" s="17">
        <f>IF(OR(A537="",B537=""),"",IF(AND(F537&lt;&gt;"",H537&lt;&gt;"",J537&lt;&gt;""),"Complete","Pending"))</f>
        <v/>
      </c>
    </row>
    <row r="538">
      <c r="A538" s="19" t="inlineStr">
        <is>
          <t>M078-Q04</t>
        </is>
      </c>
      <c r="B538" s="19" t="inlineStr">
        <is>
          <t>CL-M078-Q04-005</t>
        </is>
      </c>
      <c r="C538" s="17" t="inlineStr">
        <is>
          <t>[rule] Under s.8(2) duty on an instrument relating to a mortgage of immovable property may be paid to a prescribed bank prior to or at execution, or within seven days of execution where payment by then was impossible for reasons beyond the control of the person liable, and the bank's certificate in the prescribed form is affixed to the instrument.</t>
        </is>
      </c>
      <c r="D538" s="17" t="inlineStr">
        <is>
          <t>PROV-M078-015: Stamp Duty (Special Provisions) Act No. 12 of 2006 s.8 (2)</t>
        </is>
      </c>
      <c r="E538" s="17" t="inlineStr">
        <is>
          <t>[verified, support direct]</t>
        </is>
      </c>
      <c r="F538" s="21" t="n"/>
      <c r="G538" s="21" t="n"/>
      <c r="H538" s="21" t="n"/>
      <c r="I538" s="21" t="n"/>
      <c r="J538" s="21" t="n"/>
      <c r="K538" s="17">
        <f>IF(OR(A538="",B538=""),"",IF(AND(F538&lt;&gt;"",H538&lt;&gt;"",J538&lt;&gt;""),"Complete","Pending"))</f>
        <v/>
      </c>
    </row>
    <row r="539">
      <c r="A539" s="19" t="inlineStr">
        <is>
          <t>M078-Q04</t>
        </is>
      </c>
      <c r="B539" s="19" t="inlineStr">
        <is>
          <t>CL-M078-Q04-006</t>
        </is>
      </c>
      <c r="C539" s="17" t="inlineStr">
        <is>
          <t>[rule] Adhesive stamps must be cancelled by the executant at the time of execution by writing his name or initials across each stamp, stamps of fifty rupees or more must also be perforated, and stamps not so cancelled leave the instrument unstamped to the extent of their value.</t>
        </is>
      </c>
      <c r="D539" s="17" t="inlineStr">
        <is>
          <t>PROV-M078-016: Stamp Duty (Special Provisions) Act No. 12 of 2006 s.8 (3)
PROV-M078-017: Stamp Duty (Special Provisions) Act No. 12 of 2006 s.8 (4)</t>
        </is>
      </c>
      <c r="E539" s="17" t="inlineStr">
        <is>
          <t>[verified, support combined]</t>
        </is>
      </c>
      <c r="F539" s="21" t="n"/>
      <c r="G539" s="21" t="n"/>
      <c r="H539" s="21" t="n"/>
      <c r="I539" s="21" t="n"/>
      <c r="J539" s="21" t="n"/>
      <c r="K539" s="17">
        <f>IF(OR(A539="",B539=""),"",IF(AND(F539&lt;&gt;"",H539&lt;&gt;"",J539&lt;&gt;""),"Complete","Pending"))</f>
        <v/>
      </c>
    </row>
    <row r="540">
      <c r="A540" s="19" t="inlineStr">
        <is>
          <t>M078-Q04</t>
        </is>
      </c>
      <c r="B540" s="19" t="inlineStr">
        <is>
          <t>CL-M078-Q04-007</t>
        </is>
      </c>
      <c r="C540" s="17" t="inlineStr">
        <is>
          <t>[rule] The Act is implemented and administered by the Commissioner-General, and an Assessor who finds an instrument not duly stamped may assess the duty on the person liable and serve a notice requiring payment within a stated time.</t>
        </is>
      </c>
      <c r="D540" s="17" t="inlineStr">
        <is>
          <t>PROV-M078-018: Stamp Duty (Special Provisions) Act No. 12 of 2006 s.2
PROV-M078-019: Stamp Duty (Special Provisions) Act No. 12 of 2006 s.10</t>
        </is>
      </c>
      <c r="E540" s="17" t="inlineStr">
        <is>
          <t>[verified, support combined]</t>
        </is>
      </c>
      <c r="F540" s="21" t="n"/>
      <c r="G540" s="21" t="n"/>
      <c r="H540" s="21" t="n"/>
      <c r="I540" s="21" t="n"/>
      <c r="J540" s="21" t="n"/>
      <c r="K540" s="17">
        <f>IF(OR(A540="",B540=""),"",IF(AND(F540&lt;&gt;"",H540&lt;&gt;"",J540&lt;&gt;""),"Complete","Pending"))</f>
        <v/>
      </c>
    </row>
    <row r="541">
      <c r="A541" s="19" t="inlineStr">
        <is>
          <t>M078-Q04</t>
        </is>
      </c>
      <c r="B541" s="19" t="inlineStr">
        <is>
          <t>CL-M078-Q04-008</t>
        </is>
      </c>
      <c r="C541" s="17" t="inlineStr">
        <is>
          <t>[rule] A notary must not attest a deed or instrument unless he has an assurance that the required stamp duty is provided.</t>
        </is>
      </c>
      <c r="D541" s="17" t="inlineStr">
        <is>
          <t>PROV-M078-020: Notaries Ordinance No. 1 of 1907 s.31 rule (6)</t>
        </is>
      </c>
      <c r="E541" s="17" t="inlineStr">
        <is>
          <t>[verified, support direct]</t>
        </is>
      </c>
      <c r="F541" s="21" t="n"/>
      <c r="G541" s="21" t="n"/>
      <c r="H541" s="21" t="n"/>
      <c r="I541" s="21" t="n"/>
      <c r="J541" s="21" t="n"/>
      <c r="K541" s="17">
        <f>IF(OR(A541="",B541=""),"",IF(AND(F541&lt;&gt;"",H541&lt;&gt;"",J541&lt;&gt;""),"Complete","Pending"))</f>
        <v/>
      </c>
    </row>
    <row r="542">
      <c r="A542" s="19" t="inlineStr">
        <is>
          <t>M078-Q04</t>
        </is>
      </c>
      <c r="B542" s="19" t="inlineStr">
        <is>
          <t>CL-M078-Q04-009</t>
        </is>
      </c>
      <c r="C542" s="17" t="inlineStr">
        <is>
          <t>[application] Kamal Perera is the person drawing, making and executing the Mortgage Bond as mortgagor, so the duty falls on him under s.6(e) unless the bond or the loan arrangement with the Lending Institution provides otherwise.</t>
        </is>
      </c>
      <c r="D542" s="17" t="inlineStr">
        <is>
          <t>PROV-M078-013: Stamp Duty (Special Provisions) Act No. 12 of 2006 s.6 (e)
PROV-M078-012: Stamp Duty (Special Provisions) Act No. 12 of 2006 s.6(opening words and (a) to (c))
Facts: BG-2, BG-5</t>
        </is>
      </c>
      <c r="E542" s="17" t="inlineStr">
        <is>
          <t>[verified, support combined]</t>
        </is>
      </c>
      <c r="F542" s="21" t="n"/>
      <c r="G542" s="21" t="n"/>
      <c r="H542" s="21" t="n"/>
      <c r="I542" s="21" t="n"/>
      <c r="J542" s="21" t="n"/>
      <c r="K542" s="17">
        <f>IF(OR(A542="",B542=""),"",IF(AND(F542&lt;&gt;"",H542&lt;&gt;"",J542&lt;&gt;""),"Complete","Pending"))</f>
        <v/>
      </c>
    </row>
    <row r="543">
      <c r="A543" s="19" t="inlineStr">
        <is>
          <t>M078-Q04</t>
        </is>
      </c>
      <c r="B543" s="19" t="inlineStr">
        <is>
          <t>CL-M078-Q04-010</t>
        </is>
      </c>
      <c r="C543" s="17" t="inlineStr">
        <is>
          <t>[application] Although the house is at Nugegoda in the Western Province, Western Province Financial Statute s.37 charges provincial stamp duty only on transfers of immovable property, court documents and motor vehicle transfers, so the duty on this Mortgage Bond is not paid to the Western Provincial Council under s.9 of the 2006 Act.</t>
        </is>
      </c>
      <c r="D543" s="17" t="inlineStr">
        <is>
          <t>PROV-M078-021: Western Province Financial Statute No. 6 of 1990 s.37
PROV-M078-022: Stamp Duty (Special Provisions) Act No. 12 of 2006 s.9
Facts: BG-4</t>
        </is>
      </c>
      <c r="E543" s="17" t="inlineStr">
        <is>
          <t>[verified, support combined]</t>
        </is>
      </c>
      <c r="F543" s="21" t="n"/>
      <c r="G543" s="21" t="n"/>
      <c r="H543" s="21" t="n"/>
      <c r="I543" s="21" t="n"/>
      <c r="J543" s="21" t="n"/>
      <c r="K543" s="17">
        <f>IF(OR(A543="",B543=""),"",IF(AND(F543&lt;&gt;"",H543&lt;&gt;"",J543&lt;&gt;""),"Complete","Pending"))</f>
        <v/>
      </c>
    </row>
    <row r="544">
      <c r="A544" s="19" t="inlineStr">
        <is>
          <t>M078-Q04</t>
        </is>
      </c>
      <c r="B544" s="19" t="inlineStr">
        <is>
          <t>CL-M078-Q04-011</t>
        </is>
      </c>
      <c r="C544" s="17" t="inlineStr">
        <is>
          <t>[application] Because the Mortgage Bond relates to a mortgage of immovable property, the practical route is payment to a prescribed bank before or at execution, with the bank certificate affixed to the bond, rather than adhesive stamps.</t>
        </is>
      </c>
      <c r="D544" s="17" t="inlineStr">
        <is>
          <t>PROV-M078-015: Stamp Duty (Special Provisions) Act No. 12 of 2006 s.8 (2)
PROV-M078-014: Stamp Duty (Special Provisions) Act No. 12 of 2006 s.8 (1)
Facts: BG-2, BG-4</t>
        </is>
      </c>
      <c r="E544" s="17" t="inlineStr">
        <is>
          <t>[verified, support combined]</t>
        </is>
      </c>
      <c r="F544" s="21" t="n"/>
      <c r="G544" s="21" t="n"/>
      <c r="H544" s="21" t="n"/>
      <c r="I544" s="21" t="n"/>
      <c r="J544" s="21" t="n"/>
      <c r="K544" s="17">
        <f>IF(OR(A544="",B544=""),"",IF(AND(F544&lt;&gt;"",H544&lt;&gt;"",J544&lt;&gt;""),"Complete","Pending"))</f>
        <v/>
      </c>
    </row>
    <row r="545">
      <c r="A545" s="19" t="inlineStr">
        <is>
          <t>M078-Q04</t>
        </is>
      </c>
      <c r="B545" s="19" t="inlineStr">
        <is>
          <t>CL-M078-Q04-012</t>
        </is>
      </c>
      <c r="C545" s="17" t="inlineStr">
        <is>
          <t>[conclusion] Kamal Perera must pay the stamp duty on the Mortgage Bond unless the bond provides otherwise; it is payable under the national Act administered by the Commissioner-General and not to the Western Provincial Council; and it must be paid to a prescribed bank, or by affixing and cancelling adhesive stamps, prior to or at the time of execution, with the seven day fallback in s.8(2), the notary declining to attest until the duty is provided.</t>
        </is>
      </c>
      <c r="D545" s="17" t="inlineStr">
        <is>
          <t>PROV-M078-013: Stamp Duty (Special Provisions) Act No. 12 of 2006 s.6 (e)
PROV-M078-012: Stamp Duty (Special Provisions) Act No. 12 of 2006 s.6(opening words and (a) to (c))
PROV-M078-015: Stamp Duty (Special Provisions) Act No. 12 of 2006 s.8 (2)
PROV-M078-014: Stamp Duty (Special Provisions) Act No. 12 of 2006 s.8 (1)
PROV-M078-018: Stamp Duty (Special Provisions) Act No. 12 of 2006 s.2
PROV-M078-020: Notaries Ordinance No. 1 of 1907 s.31 rule (6)
PROV-M078-021: Western Province Financial Statute No. 6 of 1990 s.37
Facts: BG-2, BG-4, BG-5</t>
        </is>
      </c>
      <c r="E545" s="17" t="inlineStr">
        <is>
          <t>[verified, support combined]</t>
        </is>
      </c>
      <c r="F545" s="21" t="n"/>
      <c r="G545" s="21" t="n"/>
      <c r="H545" s="21" t="n"/>
      <c r="I545" s="21" t="n"/>
      <c r="J545" s="21" t="n"/>
      <c r="K545" s="17">
        <f>IF(OR(A545="",B545=""),"",IF(AND(F545&lt;&gt;"",H545&lt;&gt;"",J545&lt;&gt;""),"Complete","Pending"))</f>
        <v/>
      </c>
    </row>
    <row r="546">
      <c r="A546" s="19" t="inlineStr">
        <is>
          <t>M079-Q02</t>
        </is>
      </c>
      <c r="B546" s="19" t="inlineStr">
        <is>
          <t>CL-M079-Q02-001</t>
        </is>
      </c>
      <c r="C546" s="17" t="inlineStr">
        <is>
          <t>[rule] Intestate succession to Lot 5B, immovable property in Sri Lanka, is governed by Part III of the Matrimonial Rights and Inheritance Ordinance.</t>
        </is>
      </c>
      <c r="D546" s="17" t="inlineStr">
        <is>
          <t>PROV-M079-003: Matrimonial Rights and Inheritance Ordinance s.21 (1)
PROV-M079-004: Matrimonial Rights and Inheritance Ordinance s.20</t>
        </is>
      </c>
      <c r="E546" s="17" t="inlineStr">
        <is>
          <t>[verified, support combined]</t>
        </is>
      </c>
      <c r="F546" s="21" t="n"/>
      <c r="G546" s="21" t="n"/>
      <c r="H546" s="21" t="n"/>
      <c r="I546" s="21" t="n"/>
      <c r="J546" s="21" t="n"/>
      <c r="K546" s="17">
        <f>IF(OR(A546="",B546=""),"",IF(AND(F546&lt;&gt;"",H546&lt;&gt;"",J546&lt;&gt;""),"Complete","Pending"))</f>
        <v/>
      </c>
    </row>
    <row r="547">
      <c r="A547" s="19" t="inlineStr">
        <is>
          <t>M079-Q02</t>
        </is>
      </c>
      <c r="B547" s="19" t="inlineStr">
        <is>
          <t>CL-M079-Q02-002</t>
        </is>
      </c>
      <c r="C547" s="17" t="inlineStr">
        <is>
          <t>[rule] A surviving spouse inherits one-half of the property of a person who dies intestate.</t>
        </is>
      </c>
      <c r="D547" s="17" t="inlineStr">
        <is>
          <t>PROV-M079-001: Matrimonial Rights and Inheritance Ordinance s.22</t>
        </is>
      </c>
      <c r="E547" s="17" t="inlineStr">
        <is>
          <t>[verified, support direct]</t>
        </is>
      </c>
      <c r="F547" s="21" t="n"/>
      <c r="G547" s="21" t="n"/>
      <c r="H547" s="21" t="n"/>
      <c r="I547" s="21" t="n"/>
      <c r="J547" s="21" t="n"/>
      <c r="K547" s="17">
        <f>IF(OR(A547="",B547=""),"",IF(AND(F547&lt;&gt;"",H547&lt;&gt;"",J547&lt;&gt;""),"Complete","Pending"))</f>
        <v/>
      </c>
    </row>
    <row r="548">
      <c r="A548" s="19" t="inlineStr">
        <is>
          <t>M079-Q02</t>
        </is>
      </c>
      <c r="B548" s="19" t="inlineStr">
        <is>
          <t>CL-M079-Q02-003</t>
        </is>
      </c>
      <c r="C548" s="17" t="inlineStr">
        <is>
          <t>[rule] Subject to the surviving spouse's half, the children are preferent to all others and take equally per capita.</t>
        </is>
      </c>
      <c r="D548" s="17" t="inlineStr">
        <is>
          <t>PROV-M079-002: Matrimonial Rights and Inheritance Ordinance s.24
PROV-M079-005: Matrimonial Rights and Inheritance Ordinance s.23</t>
        </is>
      </c>
      <c r="E548" s="17" t="inlineStr">
        <is>
          <t>[verified, support combined]</t>
        </is>
      </c>
      <c r="F548" s="21" t="n"/>
      <c r="G548" s="21" t="n"/>
      <c r="H548" s="21" t="n"/>
      <c r="I548" s="21" t="n"/>
      <c r="J548" s="21" t="n"/>
      <c r="K548" s="17">
        <f>IF(OR(A548="",B548=""),"",IF(AND(F548&lt;&gt;"",H548&lt;&gt;"",J548&lt;&gt;""),"Complete","Pending"))</f>
        <v/>
      </c>
    </row>
    <row r="549">
      <c r="A549" s="19" t="inlineStr">
        <is>
          <t>M079-Q02</t>
        </is>
      </c>
      <c r="B549" s="19" t="inlineStr">
        <is>
          <t>CL-M079-Q02-004</t>
        </is>
      </c>
      <c r="C549" s="17" t="inlineStr">
        <is>
          <t>[application] Mala Nadaraja needed no consent for Deed of Transfer No. 789 of 5 April 2017 because her husband was already dead, and Lot 5B was her own thediatheddam, none of which had devolved on his heirs.</t>
        </is>
      </c>
      <c r="D549" s="17" t="inlineStr">
        <is>
          <t>PROV-M079-006: Jaffna Matrimonial Rights and Inheritance Ordinance s.6
PROV-M079-008: Jaffna Matrimonial Rights and Inheritance Ordinance s.20
Facts: BG-4</t>
        </is>
      </c>
      <c r="E549" s="17" t="inlineStr">
        <is>
          <t>[disputed, support combined]</t>
        </is>
      </c>
      <c r="F549" s="21" t="n"/>
      <c r="G549" s="21" t="n"/>
      <c r="H549" s="21" t="n"/>
      <c r="I549" s="21" t="n"/>
      <c r="J549" s="21" t="n"/>
      <c r="K549" s="17">
        <f>IF(OR(A549="",B549=""),"",IF(AND(F549&lt;&gt;"",H549&lt;&gt;"",J549&lt;&gt;""),"Complete","Pending"))</f>
        <v/>
      </c>
    </row>
    <row r="550">
      <c r="A550" s="19" t="inlineStr">
        <is>
          <t>M079-Q02</t>
        </is>
      </c>
      <c r="B550" s="19" t="inlineStr">
        <is>
          <t>CL-M079-Q02-005</t>
        </is>
      </c>
      <c r="C550" s="17" t="inlineStr">
        <is>
          <t>[application] On Lalith Perera's intestacy Kamani took one-half of Lot 5B and Hasini and Kushan took one-fourth each.</t>
        </is>
      </c>
      <c r="D550" s="17" t="inlineStr">
        <is>
          <t>PROV-M079-001: Matrimonial Rights and Inheritance Ordinance s.22
PROV-M079-002: Matrimonial Rights and Inheritance Ordinance s.24
Facts: BG-5</t>
        </is>
      </c>
      <c r="E550" s="17" t="inlineStr">
        <is>
          <t>[verified, support combined]</t>
        </is>
      </c>
      <c r="F550" s="21" t="n"/>
      <c r="G550" s="21" t="n"/>
      <c r="H550" s="21" t="n"/>
      <c r="I550" s="21" t="n"/>
      <c r="J550" s="21" t="n"/>
      <c r="K550" s="17">
        <f>IF(OR(A550="",B550=""),"",IF(AND(F550&lt;&gt;"",H550&lt;&gt;"",J550&lt;&gt;""),"Complete","Pending"))</f>
        <v/>
      </c>
    </row>
    <row r="551">
      <c r="A551" s="19" t="inlineStr">
        <is>
          <t>M079-Q02</t>
        </is>
      </c>
      <c r="B551" s="19" t="inlineStr">
        <is>
          <t>CL-M079-Q02-006</t>
        </is>
      </c>
      <c r="C551" s="17" t="inlineStr">
        <is>
          <t>[application] Ruvini took nothing on the intestacy because she is Kamani's daughter by an earlier marriage and not a descendant of Lalith Perera.</t>
        </is>
      </c>
      <c r="D551" s="17" t="inlineStr">
        <is>
          <t>PROV-M079-002: Matrimonial Rights and Inheritance Ordinance s.24
Facts: BG-6</t>
        </is>
      </c>
      <c r="E551" s="17" t="inlineStr">
        <is>
          <t>[verified, support direct]</t>
        </is>
      </c>
      <c r="F551" s="21" t="n"/>
      <c r="G551" s="21" t="n"/>
      <c r="H551" s="21" t="n"/>
      <c r="I551" s="21" t="n"/>
      <c r="J551" s="21" t="n"/>
      <c r="K551" s="17">
        <f>IF(OR(A551="",B551=""),"",IF(AND(F551&lt;&gt;"",H551&lt;&gt;"",J551&lt;&gt;""),"Complete","Pending"))</f>
        <v/>
      </c>
    </row>
    <row r="552">
      <c r="A552" s="19" t="inlineStr">
        <is>
          <t>M079-Q02</t>
        </is>
      </c>
      <c r="B552" s="19" t="inlineStr">
        <is>
          <t>CL-M079-Q02-007</t>
        </is>
      </c>
      <c r="C552" s="17" t="inlineStr">
        <is>
          <t>[application] Kamani's gift of her one-half to her three children gave each of Hasini, Kushan and Ruvini a further one-sixth.</t>
        </is>
      </c>
      <c r="D552" s="17" t="inlineStr">
        <is>
          <t>PROV-M079-001: Matrimonial Rights and Inheritance Ordinance s.22
Facts: BG-6</t>
        </is>
      </c>
      <c r="E552" s="17" t="inlineStr">
        <is>
          <t>[verified, support combined]</t>
        </is>
      </c>
      <c r="F552" s="21" t="n"/>
      <c r="G552" s="21" t="n"/>
      <c r="H552" s="21" t="n"/>
      <c r="I552" s="21" t="n"/>
      <c r="J552" s="21" t="n"/>
      <c r="K552" s="17">
        <f>IF(OR(A552="",B552=""),"",IF(AND(F552&lt;&gt;"",H552&lt;&gt;"",J552&lt;&gt;""),"Complete","Pending"))</f>
        <v/>
      </c>
    </row>
    <row r="553">
      <c r="A553" s="19" t="inlineStr">
        <is>
          <t>M079-Q02</t>
        </is>
      </c>
      <c r="B553" s="19" t="inlineStr">
        <is>
          <t>CL-M079-Q02-008</t>
        </is>
      </c>
      <c r="C553" s="17" t="inlineStr">
        <is>
          <t>[conclusion] Premises Assessment No. 3/2B is presently owned as to five-twelfths by Hasini, five-twelfths by Kushan and one-sixth by Ruvini, Kamani retaining no share.</t>
        </is>
      </c>
      <c r="D553" s="17" t="inlineStr">
        <is>
          <t>PROV-M079-001: Matrimonial Rights and Inheritance Ordinance s.22
PROV-M079-002: Matrimonial Rights and Inheritance Ordinance s.24
Facts: BG-5, BG-6</t>
        </is>
      </c>
      <c r="E553" s="17" t="inlineStr">
        <is>
          <t>[verified, support combined]</t>
        </is>
      </c>
      <c r="F553" s="21" t="n"/>
      <c r="G553" s="21" t="n"/>
      <c r="H553" s="21" t="n"/>
      <c r="I553" s="21" t="n"/>
      <c r="J553" s="21" t="n"/>
      <c r="K553" s="17">
        <f>IF(OR(A553="",B553=""),"",IF(AND(F553&lt;&gt;"",H553&lt;&gt;"",J553&lt;&gt;""),"Complete","Pending"))</f>
        <v/>
      </c>
    </row>
    <row r="554">
      <c r="A554" s="19" t="inlineStr">
        <is>
          <t>M080-Q01</t>
        </is>
      </c>
      <c r="B554" s="19" t="inlineStr">
        <is>
          <t>CL-M080-Q01-001</t>
        </is>
      </c>
      <c r="C554" s="17" t="inlineStr">
        <is>
          <t>[rule] A recital that a deed of gift is absolute and irrevocable does not make the gift incapable of being revoked; the statute expressly contemplates revocation of an irrevocable deed of gift.</t>
        </is>
      </c>
      <c r="D554" s="17" t="inlineStr">
        <is>
          <t>PROV-M080-001: Revocation of Irrevocable Deeds of Gift on the Ground of Gross Ingratitude Act s.2
Facts: BG-1</t>
        </is>
      </c>
      <c r="E554" s="17" t="inlineStr">
        <is>
          <t>[verified, support direct]</t>
        </is>
      </c>
      <c r="F554" s="21" t="n"/>
      <c r="G554" s="21" t="n"/>
      <c r="H554" s="21" t="n"/>
      <c r="I554" s="21" t="n"/>
      <c r="J554" s="21" t="n"/>
      <c r="K554" s="17">
        <f>IF(OR(A554="",B554=""),"",IF(AND(F554&lt;&gt;"",H554&lt;&gt;"",J554&lt;&gt;""),"Complete","Pending"))</f>
        <v/>
      </c>
    </row>
    <row r="555">
      <c r="A555" s="19" t="inlineStr">
        <is>
          <t>M080-Q01</t>
        </is>
      </c>
      <c r="B555" s="19" t="inlineStr">
        <is>
          <t>CL-M080-Q01-002</t>
        </is>
      </c>
      <c r="C555" s="17" t="inlineStr">
        <is>
          <t>[rule] The only statutory ground on which an irrevocable deed of gift may be revoked is gross ingratitude.</t>
        </is>
      </c>
      <c r="D555" s="17" t="inlineStr">
        <is>
          <t>PROV-M080-001: Revocation of Irrevocable Deeds of Gift on the Ground of Gross Ingratitude Act s.2</t>
        </is>
      </c>
      <c r="E555" s="17" t="inlineStr">
        <is>
          <t>[verified, support direct]</t>
        </is>
      </c>
      <c r="F555" s="21" t="n"/>
      <c r="G555" s="21" t="n"/>
      <c r="H555" s="21" t="n"/>
      <c r="I555" s="21" t="n"/>
      <c r="J555" s="21" t="n"/>
      <c r="K555" s="17">
        <f>IF(OR(A555="",B555=""),"",IF(AND(F555&lt;&gt;"",H555&lt;&gt;"",J555&lt;&gt;""),"Complete","Pending"))</f>
        <v/>
      </c>
    </row>
    <row r="556">
      <c r="A556" s="19" t="inlineStr">
        <is>
          <t>M080-Q01</t>
        </is>
      </c>
      <c r="B556" s="19" t="inlineStr">
        <is>
          <t>CL-M080-Q01-003</t>
        </is>
      </c>
      <c r="C556" s="17" t="inlineStr">
        <is>
          <t>[rule] Revocation can be effected only by an order of a competent court in an action filed by the donor against the donee, so the donor cannot revoke by a unilateral act of his own.</t>
        </is>
      </c>
      <c r="D556" s="17" t="inlineStr">
        <is>
          <t>PROV-M080-001: Revocation of Irrevocable Deeds of Gift on the Ground of Gross Ingratitude Act s.2</t>
        </is>
      </c>
      <c r="E556" s="17" t="inlineStr">
        <is>
          <t>[verified, support direct]</t>
        </is>
      </c>
      <c r="F556" s="21" t="n"/>
      <c r="G556" s="21" t="n"/>
      <c r="H556" s="21" t="n"/>
      <c r="I556" s="21" t="n"/>
      <c r="J556" s="21" t="n"/>
      <c r="K556" s="17">
        <f>IF(OR(A556="",B556=""),"",IF(AND(F556&lt;&gt;"",H556&lt;&gt;"",J556&lt;&gt;""),"Complete","Pending"))</f>
        <v/>
      </c>
    </row>
    <row r="557">
      <c r="A557" s="19" t="inlineStr">
        <is>
          <t>M080-Q01</t>
        </is>
      </c>
      <c r="B557" s="19" t="inlineStr">
        <is>
          <t>CL-M080-Q01-004</t>
        </is>
      </c>
      <c r="C557" s="17" t="inlineStr">
        <is>
          <t>[rule] The court cannot entertain the revocation action unless it is filed both within ten years of the execution of the deed of gift and within two years of the date on which the cause of action arose.</t>
        </is>
      </c>
      <c r="D557" s="17" t="inlineStr">
        <is>
          <t>PROV-M080-002: Revocation of Irrevocable Deeds of Gift on the Ground of Gross Ingratitude Act s.3</t>
        </is>
      </c>
      <c r="E557" s="17" t="inlineStr">
        <is>
          <t>[verified, support direct]</t>
        </is>
      </c>
      <c r="F557" s="21" t="n"/>
      <c r="G557" s="21" t="n"/>
      <c r="H557" s="21" t="n"/>
      <c r="I557" s="21" t="n"/>
      <c r="J557" s="21" t="n"/>
      <c r="K557" s="17">
        <f>IF(OR(A557="",B557=""),"",IF(AND(F557&lt;&gt;"",H557&lt;&gt;"",J557&lt;&gt;""),"Complete","Pending"))</f>
        <v/>
      </c>
    </row>
    <row r="558">
      <c r="A558" s="19" t="inlineStr">
        <is>
          <t>M080-Q01</t>
        </is>
      </c>
      <c r="B558" s="19" t="inlineStr">
        <is>
          <t>CL-M080-Q01-005</t>
        </is>
      </c>
      <c r="C558" s="17" t="inlineStr">
        <is>
          <t>[rule] An application for registration of the action as a lis pendens must be filed in court with the plaint, addressed to the Registrar of Lands of the district in which the deed is registered or, if it is unregistered, of the district in which the land lies.</t>
        </is>
      </c>
      <c r="D558" s="17" t="inlineStr">
        <is>
          <t>PROV-M080-003: Revocation of Irrevocable Deeds of Gift on the Ground of Gross Ingratitude Act s.4 (1)
PROV-M080-005: Revocation of Irrevocable Deeds of Gift on the Ground of Gross Ingratitude Act s.6</t>
        </is>
      </c>
      <c r="E558" s="17" t="inlineStr">
        <is>
          <t>[verified, support combined]</t>
        </is>
      </c>
      <c r="F558" s="21" t="n"/>
      <c r="G558" s="21" t="n"/>
      <c r="H558" s="21" t="n"/>
      <c r="I558" s="21" t="n"/>
      <c r="J558" s="21" t="n"/>
      <c r="K558" s="17">
        <f>IF(OR(A558="",B558=""),"",IF(AND(F558&lt;&gt;"",H558&lt;&gt;"",J558&lt;&gt;""),"Complete","Pending"))</f>
        <v/>
      </c>
    </row>
    <row r="559">
      <c r="A559" s="19" t="inlineStr">
        <is>
          <t>M080-Q01</t>
        </is>
      </c>
      <c r="B559" s="19" t="inlineStr">
        <is>
          <t>CL-M080-Q01-006</t>
        </is>
      </c>
      <c r="C559" s="17" t="inlineStr">
        <is>
          <t>[rule] A duly registered lis pendens is deemed pending from the time of registration even before summons is served, which is why registration protects the donor while the action is on foot.</t>
        </is>
      </c>
      <c r="D559" s="17" t="inlineStr">
        <is>
          <t>PROV-M080-006: Registration of Documents Ordinance s.11 (6)</t>
        </is>
      </c>
      <c r="E559" s="17" t="inlineStr">
        <is>
          <t>[verified, support direct]</t>
        </is>
      </c>
      <c r="F559" s="21" t="n"/>
      <c r="G559" s="21" t="n"/>
      <c r="H559" s="21" t="n"/>
      <c r="I559" s="21" t="n"/>
      <c r="J559" s="21" t="n"/>
      <c r="K559" s="17">
        <f>IF(OR(A559="",B559=""),"",IF(AND(F559&lt;&gt;"",H559&lt;&gt;"",J559&lt;&gt;""),"Complete","Pending"))</f>
        <v/>
      </c>
    </row>
    <row r="560">
      <c r="A560" s="19" t="inlineStr">
        <is>
          <t>M080-Q01</t>
        </is>
      </c>
      <c r="B560" s="19" t="inlineStr">
        <is>
          <t>CL-M080-Q01-007</t>
        </is>
      </c>
      <c r="C560" s="17" t="inlineStr">
        <is>
          <t>[rule] The revocation action is proceeded with and regulated by the procedure of the Civil Procedure Code.</t>
        </is>
      </c>
      <c r="D560" s="17" t="inlineStr">
        <is>
          <t>PROV-M080-004: Revocation of Irrevocable Deeds of Gift on the Ground of Gross Ingratitude Act s.5</t>
        </is>
      </c>
      <c r="E560" s="17" t="inlineStr">
        <is>
          <t>[verified, support direct]</t>
        </is>
      </c>
      <c r="F560" s="21" t="n"/>
      <c r="G560" s="21" t="n"/>
      <c r="H560" s="21" t="n"/>
      <c r="I560" s="21" t="n"/>
      <c r="J560" s="21" t="n"/>
      <c r="K560" s="17">
        <f>IF(OR(A560="",B560=""),"",IF(AND(F560&lt;&gt;"",H560&lt;&gt;"",J560&lt;&gt;""),"Complete","Pending"))</f>
        <v/>
      </c>
    </row>
    <row r="561">
      <c r="A561" s="19" t="inlineStr">
        <is>
          <t>M080-Q01</t>
        </is>
      </c>
      <c r="B561" s="19" t="inlineStr">
        <is>
          <t>CL-M080-Q01-008</t>
        </is>
      </c>
      <c r="C561" s="17" t="inlineStr">
        <is>
          <t>[application] Because the donee refuses to join in a cancellation, no consensual undoing of the deed is available and the donor must proceed by the statutory action against the donee.</t>
        </is>
      </c>
      <c r="D561" s="17" t="inlineStr">
        <is>
          <t>PROV-M080-001: Revocation of Irrevocable Deeds of Gift on the Ground of Gross Ingratitude Act s.2
Facts: FACT-M080-Q01-005, FACT-M080-Q01-001</t>
        </is>
      </c>
      <c r="E561" s="17" t="inlineStr">
        <is>
          <t>[disputed, support combined]</t>
        </is>
      </c>
      <c r="F561" s="21" t="n"/>
      <c r="G561" s="21" t="n"/>
      <c r="H561" s="21" t="n"/>
      <c r="I561" s="21" t="n"/>
      <c r="J561" s="21" t="n"/>
      <c r="K561" s="17">
        <f>IF(OR(A561="",B561=""),"",IF(AND(F561&lt;&gt;"",H561&lt;&gt;"",J561&lt;&gt;""),"Complete","Pending"))</f>
        <v/>
      </c>
    </row>
    <row r="562">
      <c r="A562" s="19" t="inlineStr">
        <is>
          <t>M080-Q01</t>
        </is>
      </c>
      <c r="B562" s="19" t="inlineStr">
        <is>
          <t>CL-M080-Q01-009</t>
        </is>
      </c>
      <c r="C562" s="17" t="inlineStr">
        <is>
          <t>[application] The donee's alleged conduct, withholding food and medicine from the elderly donor, assaulting him and evicting him from the gifted house, is the conduct relied on as gross ingratitude, and whether it meets that standard is for the court because the Act supplies no definition.</t>
        </is>
      </c>
      <c r="D562" s="17" t="inlineStr">
        <is>
          <t>PROV-M080-001: Revocation of Irrevocable Deeds of Gift on the Ground of Gross Ingratitude Act s.2
Facts: FACT-M080-Q01-004</t>
        </is>
      </c>
      <c r="E562" s="17" t="inlineStr">
        <is>
          <t>[verified, support inferential]</t>
        </is>
      </c>
      <c r="F562" s="21" t="n"/>
      <c r="G562" s="21" t="n"/>
      <c r="H562" s="21" t="n"/>
      <c r="I562" s="21" t="n"/>
      <c r="J562" s="21" t="n"/>
      <c r="K562" s="17">
        <f>IF(OR(A562="",B562=""),"",IF(AND(F562&lt;&gt;"",H562&lt;&gt;"",J562&lt;&gt;""),"Complete","Pending"))</f>
        <v/>
      </c>
    </row>
    <row r="563">
      <c r="A563" s="19" t="inlineStr">
        <is>
          <t>M080-Q01</t>
        </is>
      </c>
      <c r="B563" s="19" t="inlineStr">
        <is>
          <t>CL-M080-Q01-010</t>
        </is>
      </c>
      <c r="C563" s="17" t="inlineStr">
        <is>
          <t>[application] An action filed in or about October 2019 is roughly one year and seven months after the deed was executed on 12 March 2018 and about five months after the cause of action arose on 20 May 2019, so both limbs of the time bar are satisfied.</t>
        </is>
      </c>
      <c r="D563" s="17" t="inlineStr">
        <is>
          <t>PROV-M080-002: Revocation of Irrevocable Deeds of Gift on the Ground of Gross Ingratitude Act s.3
Facts: FACT-M080-Q01-003, FACT-M080-Q01-005</t>
        </is>
      </c>
      <c r="E563" s="17" t="inlineStr">
        <is>
          <t>[verified, support combined]</t>
        </is>
      </c>
      <c r="F563" s="21" t="n"/>
      <c r="G563" s="21" t="n"/>
      <c r="H563" s="21" t="n"/>
      <c r="I563" s="21" t="n"/>
      <c r="J563" s="21" t="n"/>
      <c r="K563" s="17">
        <f>IF(OR(A563="",B563=""),"",IF(AND(F563&lt;&gt;"",H563&lt;&gt;"",J563&lt;&gt;""),"Complete","Pending"))</f>
        <v/>
      </c>
    </row>
    <row r="564">
      <c r="A564" s="19" t="inlineStr">
        <is>
          <t>M080-Q01</t>
        </is>
      </c>
      <c r="B564" s="19" t="inlineStr">
        <is>
          <t>CL-M080-Q01-011</t>
        </is>
      </c>
      <c r="C564" s="17" t="inlineStr">
        <is>
          <t>[application] Since the deed is registered in the Gampaha land registry, the lis pendens application filed with the plaint is addressed to the Registrar of Lands of the Gampaha district.</t>
        </is>
      </c>
      <c r="D564" s="17" t="inlineStr">
        <is>
          <t>PROV-M080-003: Revocation of Irrevocable Deeds of Gift on the Ground of Gross Ingratitude Act s.4 (1)
PROV-M080-005: Revocation of Irrevocable Deeds of Gift on the Ground of Gross Ingratitude Act s.6
Facts: FACT-M080-Q01-003, FACT-M080-Q01-002</t>
        </is>
      </c>
      <c r="E564" s="17" t="inlineStr">
        <is>
          <t>[verified, support combined]</t>
        </is>
      </c>
      <c r="F564" s="21" t="n"/>
      <c r="G564" s="21" t="n"/>
      <c r="H564" s="21" t="n"/>
      <c r="I564" s="21" t="n"/>
      <c r="J564" s="21" t="n"/>
      <c r="K564" s="17">
        <f>IF(OR(A564="",B564=""),"",IF(AND(F564&lt;&gt;"",H564&lt;&gt;"",J564&lt;&gt;""),"Complete","Pending"))</f>
        <v/>
      </c>
    </row>
    <row r="565">
      <c r="A565" s="19" t="inlineStr">
        <is>
          <t>M080-Q01</t>
        </is>
      </c>
      <c r="B565" s="19" t="inlineStr">
        <is>
          <t>CL-M080-Q01-012</t>
        </is>
      </c>
      <c r="C565" s="17" t="inlineStr">
        <is>
          <t>[conclusion] The deed can be revoked despite stating that it is absolute and irrevocable, but only by an order of a competent court on the ground of gross ingratitude in an action by the donor against the donee, filed within both limbs of the time bar, accompanied by a lis pendens application and prosecuted under the Civil Procedure Code.</t>
        </is>
      </c>
      <c r="D565" s="17" t="inlineStr">
        <is>
          <t>PROV-M080-001: Revocation of Irrevocable Deeds of Gift on the Ground of Gross Ingratitude Act s.2
PROV-M080-002: Revocation of Irrevocable Deeds of Gift on the Ground of Gross Ingratitude Act s.3
PROV-M080-003: Revocation of Irrevocable Deeds of Gift on the Ground of Gross Ingratitude Act s.4 (1)
PROV-M080-004: Revocation of Irrevocable Deeds of Gift on the Ground of Gross Ingratitude Act s.5
Facts: BG-1, FACT-M080-Q01-003, FACT-M080-Q01-004, FACT-M080-Q01-005</t>
        </is>
      </c>
      <c r="E565" s="17" t="inlineStr">
        <is>
          <t>[verified, support combined]</t>
        </is>
      </c>
      <c r="F565" s="21" t="n"/>
      <c r="G565" s="21" t="n"/>
      <c r="H565" s="21" t="n"/>
      <c r="I565" s="21" t="n"/>
      <c r="J565" s="21" t="n"/>
      <c r="K565" s="17">
        <f>IF(OR(A565="",B565=""),"",IF(AND(F565&lt;&gt;"",H565&lt;&gt;"",J565&lt;&gt;""),"Complete","Pending"))</f>
        <v/>
      </c>
    </row>
    <row r="566">
      <c r="A566" s="19" t="inlineStr">
        <is>
          <t>M080-Q01</t>
        </is>
      </c>
      <c r="B566" s="19" t="inlineStr">
        <is>
          <t>CL-M080-Q01-013</t>
        </is>
      </c>
      <c r="C566" s="17" t="inlineStr">
        <is>
          <t>[conclusion] The donor cannot obtain revocation merely by asserting the ground; the outcome depends on the court being satisfied on the evidence that the donee's proved conduct amounts to gross ingratitude.</t>
        </is>
      </c>
      <c r="D566" s="17" t="inlineStr">
        <is>
          <t>PROV-M080-001: Revocation of Irrevocable Deeds of Gift on the Ground of Gross Ingratitude Act s.2
Facts: FACT-M080-Q01-004</t>
        </is>
      </c>
      <c r="E566" s="17" t="inlineStr">
        <is>
          <t>[verified, support inferential]</t>
        </is>
      </c>
      <c r="F566" s="21" t="n"/>
      <c r="G566" s="21" t="n"/>
      <c r="H566" s="21" t="n"/>
      <c r="I566" s="21" t="n"/>
      <c r="J566" s="21" t="n"/>
      <c r="K566" s="17">
        <f>IF(OR(A566="",B566=""),"",IF(AND(F566&lt;&gt;"",H566&lt;&gt;"",J566&lt;&gt;""),"Complete","Pending"))</f>
        <v/>
      </c>
    </row>
    <row r="567">
      <c r="A567" s="19" t="inlineStr">
        <is>
          <t>M081-Q01</t>
        </is>
      </c>
      <c r="B567" s="19" t="inlineStr">
        <is>
          <t>CL-M081-Q01-001</t>
        </is>
      </c>
      <c r="C567" s="17" t="inlineStr">
        <is>
          <t>[rule] Stamp duty is charged on every instrument relating to a transfer of immovable property situated in the Western Province, at the prescribed rate.</t>
        </is>
      </c>
      <c r="D567" s="17" t="inlineStr">
        <is>
          <t>PROV-M081-001: Western Province Financial Statute s.37 (a)</t>
        </is>
      </c>
      <c r="E567" s="17" t="inlineStr">
        <is>
          <t>[verified, support direct]</t>
        </is>
      </c>
      <c r="F567" s="21" t="n"/>
      <c r="G567" s="21" t="n"/>
      <c r="H567" s="21" t="n"/>
      <c r="I567" s="21" t="n"/>
      <c r="J567" s="21" t="n"/>
      <c r="K567" s="17">
        <f>IF(OR(A567="",B567=""),"",IF(AND(F567&lt;&gt;"",H567&lt;&gt;"",J567&lt;&gt;""),"Complete","Pending"))</f>
        <v/>
      </c>
    </row>
    <row r="568">
      <c r="A568" s="19" t="inlineStr">
        <is>
          <t>M081-Q01</t>
        </is>
      </c>
      <c r="B568" s="19" t="inlineStr">
        <is>
          <t>CL-M081-Q01-002</t>
        </is>
      </c>
      <c r="C568" s="17" t="inlineStr">
        <is>
          <t>[rule] A Deed of Gift falls within that charge because 'Transfer' is defined to include a gift.</t>
        </is>
      </c>
      <c r="D568" s="17" t="inlineStr">
        <is>
          <t>PROV-M081-004: Western Province Financial Statute s.106 definition of "Transfer"
PROV-M081-001: Western Province Financial Statute s.37 (a)</t>
        </is>
      </c>
      <c r="E568" s="17" t="inlineStr">
        <is>
          <t>[verified, support combined]</t>
        </is>
      </c>
      <c r="F568" s="21" t="n"/>
      <c r="G568" s="21" t="n"/>
      <c r="H568" s="21" t="n"/>
      <c r="I568" s="21" t="n"/>
      <c r="J568" s="21" t="n"/>
      <c r="K568" s="17">
        <f>IF(OR(A568="",B568=""),"",IF(AND(F568&lt;&gt;"",H568&lt;&gt;"",J568&lt;&gt;""),"Complete","Pending"))</f>
        <v/>
      </c>
    </row>
    <row r="569">
      <c r="A569" s="19" t="inlineStr">
        <is>
          <t>M081-Q01</t>
        </is>
      </c>
      <c r="B569" s="19" t="inlineStr">
        <is>
          <t>CL-M081-Q01-003</t>
        </is>
      </c>
      <c r="C569" s="17" t="inlineStr">
        <is>
          <t>[rule] The duty is calculated on the value of the property conveyed, not on the consideration recited in the instrument.</t>
        </is>
      </c>
      <c r="D569" s="17" t="inlineStr">
        <is>
          <t>PROV-M081-002: Western Province Financial Statute s.48 (1)</t>
        </is>
      </c>
      <c r="E569" s="17" t="inlineStr">
        <is>
          <t>[verified, support direct]</t>
        </is>
      </c>
      <c r="F569" s="21" t="n"/>
      <c r="G569" s="21" t="n"/>
      <c r="H569" s="21" t="n"/>
      <c r="I569" s="21" t="n"/>
      <c r="J569" s="21" t="n"/>
      <c r="K569" s="17">
        <f>IF(OR(A569="",B569=""),"",IF(AND(F569&lt;&gt;"",H569&lt;&gt;"",J569&lt;&gt;""),"Complete","Pending"))</f>
        <v/>
      </c>
    </row>
    <row r="570">
      <c r="A570" s="19" t="inlineStr">
        <is>
          <t>M081-Q01</t>
        </is>
      </c>
      <c r="B570" s="19" t="inlineStr">
        <is>
          <t>CL-M081-Q01-004</t>
        </is>
      </c>
      <c r="C570" s="17" t="inlineStr">
        <is>
          <t>[rule] A gift is a transfer made voluntarily and without consideration in money or money's worth, so the gift limbs of the definition of 'value' apply.</t>
        </is>
      </c>
      <c r="D570" s="17" t="inlineStr">
        <is>
          <t>PROV-M081-005: Western Province Financial Statute s.106 definition of "gift"
PROV-M081-003: Western Province Financial Statute s.106 definition of "value", paragraph (c)</t>
        </is>
      </c>
      <c r="E570" s="17" t="inlineStr">
        <is>
          <t>[verified, support combined]</t>
        </is>
      </c>
      <c r="F570" s="21" t="n"/>
      <c r="G570" s="21" t="n"/>
      <c r="H570" s="21" t="n"/>
      <c r="I570" s="21" t="n"/>
      <c r="J570" s="21" t="n"/>
      <c r="K570" s="17">
        <f>IF(OR(A570="",B570=""),"",IF(AND(F570&lt;&gt;"",H570&lt;&gt;"",J570&lt;&gt;""),"Complete","Pending"))</f>
        <v/>
      </c>
    </row>
    <row r="571">
      <c r="A571" s="19" t="inlineStr">
        <is>
          <t>M081-Q01</t>
        </is>
      </c>
      <c r="B571" s="19" t="inlineStr">
        <is>
          <t>CL-M081-Q01-005</t>
        </is>
      </c>
      <c r="C571" s="17" t="inlineStr">
        <is>
          <t>[rule] For gifted immovable property acquired by the donor after 31 March 1977, 'value' is the lower of (i) the Assessor's opinion of the open-market price on the date of acquisition increased by the cost of post-acquisition improvements made before the deed of gift, and (ii) his opinion of the open-market price on the date of the instrument of gift.</t>
        </is>
      </c>
      <c r="D571" s="17" t="inlineStr">
        <is>
          <t>PROV-M081-003: Western Province Financial Statute s.106 definition of "value", paragraph (c)</t>
        </is>
      </c>
      <c r="E571" s="17" t="inlineStr">
        <is>
          <t>[verified, support direct]</t>
        </is>
      </c>
      <c r="F571" s="21" t="n"/>
      <c r="G571" s="21" t="n"/>
      <c r="H571" s="21" t="n"/>
      <c r="I571" s="21" t="n"/>
      <c r="J571" s="21" t="n"/>
      <c r="K571" s="17">
        <f>IF(OR(A571="",B571=""),"",IF(AND(F571&lt;&gt;"",H571&lt;&gt;"",J571&lt;&gt;""),"Complete","Pending"))</f>
        <v/>
      </c>
    </row>
    <row r="572">
      <c r="A572" s="19" t="inlineStr">
        <is>
          <t>M081-Q01</t>
        </is>
      </c>
      <c r="B572" s="19" t="inlineStr">
        <is>
          <t>CL-M081-Q01-006</t>
        </is>
      </c>
      <c r="C572" s="17" t="inlineStr">
        <is>
          <t>[rule] Both figures are the opinion of a Provincial Assessor of Revenue appointed under the Statute, and on an adjudication he may require production of documents or other evidence to prove the facts bearing on chargeability and amount.</t>
        </is>
      </c>
      <c r="D572" s="17" t="inlineStr">
        <is>
          <t>PROV-M081-006: Western Province Financial Statute s.106 definition of "Assessor" / "Provincial Assessor"
PROV-M081-007: Western Province Financial Statute s.62
PROV-M081-008: Western Province Financial Statute s.63</t>
        </is>
      </c>
      <c r="E572" s="17" t="inlineStr">
        <is>
          <t>[verified, support combined]</t>
        </is>
      </c>
      <c r="F572" s="21" t="n"/>
      <c r="G572" s="21" t="n"/>
      <c r="H572" s="21" t="n"/>
      <c r="I572" s="21" t="n"/>
      <c r="J572" s="21" t="n"/>
      <c r="K572" s="17">
        <f>IF(OR(A572="",B572=""),"",IF(AND(F572&lt;&gt;"",H572&lt;&gt;"",J572&lt;&gt;""),"Complete","Pending"))</f>
        <v/>
      </c>
    </row>
    <row r="573">
      <c r="A573" s="19" t="inlineStr">
        <is>
          <t>M081-Q01</t>
        </is>
      </c>
      <c r="B573" s="19" t="inlineStr">
        <is>
          <t>CL-M081-Q01-007</t>
        </is>
      </c>
      <c r="C573" s="17" t="inlineStr">
        <is>
          <t>[application] Because Nimal Perera acquired the Kohuwala land in March 1978, which is after 31 March 1977, paragraph (c) of the definition of 'value' applies and not the 31 March 1977 base in paragraph (b).</t>
        </is>
      </c>
      <c r="D573" s="17" t="inlineStr">
        <is>
          <t>PROV-M081-003: Western Province Financial Statute s.106 definition of "value", paragraph (c)
Facts: BG-1</t>
        </is>
      </c>
      <c r="E573" s="17" t="inlineStr">
        <is>
          <t>[verified, support direct]</t>
        </is>
      </c>
      <c r="F573" s="21" t="n"/>
      <c r="G573" s="21" t="n"/>
      <c r="H573" s="21" t="n"/>
      <c r="I573" s="21" t="n"/>
      <c r="J573" s="21" t="n"/>
      <c r="K573" s="17">
        <f>IF(OR(A573="",B573=""),"",IF(AND(F573&lt;&gt;"",H573&lt;&gt;"",J573&lt;&gt;""),"Complete","Pending"))</f>
        <v/>
      </c>
    </row>
    <row r="574">
      <c r="A574" s="19" t="inlineStr">
        <is>
          <t>M081-Q01</t>
        </is>
      </c>
      <c r="B574" s="19" t="inlineStr">
        <is>
          <t>CL-M081-Q01-008</t>
        </is>
      </c>
      <c r="C574" s="17" t="inlineStr">
        <is>
          <t>[application] Under limb (i) the Assessor takes the open-market price at acquisition in March 1978, evidenced by the Rs.120,000 purchase price, and adds the Rs.2,900,000 cost of constructing the house after acquisition, giving Rs.3,020,000.</t>
        </is>
      </c>
      <c r="D574" s="17" t="inlineStr">
        <is>
          <t>PROV-M081-003: Western Province Financial Statute s.106 definition of "value", paragraph (c)
Facts: BG-1, BG-2</t>
        </is>
      </c>
      <c r="E574" s="17" t="inlineStr">
        <is>
          <t>[verified, support combined]</t>
        </is>
      </c>
      <c r="F574" s="21" t="n"/>
      <c r="G574" s="21" t="n"/>
      <c r="H574" s="21" t="n"/>
      <c r="I574" s="21" t="n"/>
      <c r="J574" s="21" t="n"/>
      <c r="K574" s="17">
        <f>IF(OR(A574="",B574=""),"",IF(AND(F574&lt;&gt;"",H574&lt;&gt;"",J574&lt;&gt;""),"Complete","Pending"))</f>
        <v/>
      </c>
    </row>
    <row r="575">
      <c r="A575" s="19" t="inlineStr">
        <is>
          <t>M081-Q01</t>
        </is>
      </c>
      <c r="B575" s="19" t="inlineStr">
        <is>
          <t>CL-M081-Q01-009</t>
        </is>
      </c>
      <c r="C575" s="17" t="inlineStr">
        <is>
          <t>[application] Under limb (ii) the Assessor takes the open-market price of the land and house at the date of the Deed of Gift, which on the instructions is Rs.5,700,000.</t>
        </is>
      </c>
      <c r="D575" s="17" t="inlineStr">
        <is>
          <t>PROV-M081-003: Western Province Financial Statute s.106 definition of "value", paragraph (c)
Facts: BG-3</t>
        </is>
      </c>
      <c r="E575" s="17" t="inlineStr">
        <is>
          <t>[verified, support combined]</t>
        </is>
      </c>
      <c r="F575" s="21" t="n"/>
      <c r="G575" s="21" t="n"/>
      <c r="H575" s="21" t="n"/>
      <c r="I575" s="21" t="n"/>
      <c r="J575" s="21" t="n"/>
      <c r="K575" s="17">
        <f>IF(OR(A575="",B575=""),"",IF(AND(F575&lt;&gt;"",H575&lt;&gt;"",J575&lt;&gt;""),"Complete","Pending"))</f>
        <v/>
      </c>
    </row>
    <row r="576">
      <c r="A576" s="19" t="inlineStr">
        <is>
          <t>M081-Q01</t>
        </is>
      </c>
      <c r="B576" s="19" t="inlineStr">
        <is>
          <t>CL-M081-Q01-010</t>
        </is>
      </c>
      <c r="C576" s="17" t="inlineStr">
        <is>
          <t>[application] The Assessor may call for the 1978 deed of purchase and the bills or receipts evidencing the construction cost before accepting either figure, and is not bound by the parties' own valuation.</t>
        </is>
      </c>
      <c r="D576" s="17" t="inlineStr">
        <is>
          <t>PROV-M081-008: Western Province Financial Statute s.63
PROV-M081-007: Western Province Financial Statute s.62</t>
        </is>
      </c>
      <c r="E576" s="17" t="inlineStr">
        <is>
          <t>[verified, support inferential]</t>
        </is>
      </c>
      <c r="F576" s="21" t="n"/>
      <c r="G576" s="21" t="n"/>
      <c r="H576" s="21" t="n"/>
      <c r="I576" s="21" t="n"/>
      <c r="J576" s="21" t="n"/>
      <c r="K576" s="17">
        <f>IF(OR(A576="",B576=""),"",IF(AND(F576&lt;&gt;"",H576&lt;&gt;"",J576&lt;&gt;""),"Complete","Pending"))</f>
        <v/>
      </c>
    </row>
    <row r="577">
      <c r="A577" s="19" t="inlineStr">
        <is>
          <t>M081-Q01</t>
        </is>
      </c>
      <c r="B577" s="19" t="inlineStr">
        <is>
          <t>CL-M081-Q01-011</t>
        </is>
      </c>
      <c r="C577" s="17" t="inlineStr">
        <is>
          <t>[conclusion] The value of the property for stamp duty on this Deed of Gift is Rs.3,020,000, being the lower of Rs.3,020,000 and Rs.5,700,000, and not the present market value of Rs.5,700,000.</t>
        </is>
      </c>
      <c r="D577" s="17" t="inlineStr">
        <is>
          <t>PROV-M081-003: Western Province Financial Statute s.106 definition of "value", paragraph (c)
PROV-M081-002: Western Province Financial Statute s.48 (1)
Facts: BG-1, BG-2, BG-3</t>
        </is>
      </c>
      <c r="E577" s="17" t="inlineStr">
        <is>
          <t>[verified, support combined]</t>
        </is>
      </c>
      <c r="F577" s="21" t="n"/>
      <c r="G577" s="21" t="n"/>
      <c r="H577" s="21" t="n"/>
      <c r="I577" s="21" t="n"/>
      <c r="J577" s="21" t="n"/>
      <c r="K577" s="17">
        <f>IF(OR(A577="",B577=""),"",IF(AND(F577&lt;&gt;"",H577&lt;&gt;"",J577&lt;&gt;""),"Complete","Pending"))</f>
        <v/>
      </c>
    </row>
    <row r="578">
      <c r="A578" s="19" t="inlineStr">
        <is>
          <t>M084-Q01</t>
        </is>
      </c>
      <c r="B578" s="19" t="inlineStr">
        <is>
          <t>CL-M084-Q01-001</t>
        </is>
      </c>
      <c r="C578" s="17" t="inlineStr">
        <is>
          <t>[rule] At the matter reference date a notary was forbidden to authenticate or attest any deed or instrument unless the person executing it was known to him or to at least two of the attesting witnesses.</t>
        </is>
      </c>
      <c r="D578" s="17" t="inlineStr">
        <is>
          <t>PROV-M084-001: Notaries (Amendment) Act No. 31 of 2022 s.16 (6)</t>
        </is>
      </c>
      <c r="E578" s="17" t="inlineStr">
        <is>
          <t>[verified, support direct]</t>
        </is>
      </c>
      <c r="F578" s="21" t="n"/>
      <c r="G578" s="21" t="n"/>
      <c r="H578" s="21" t="n"/>
      <c r="I578" s="21" t="n"/>
      <c r="J578" s="21" t="n"/>
      <c r="K578" s="17">
        <f>IF(OR(A578="",B578=""),"",IF(AND(F578&lt;&gt;"",H578&lt;&gt;"",J578&lt;&gt;""),"Complete","Pending"))</f>
        <v/>
      </c>
    </row>
    <row r="579">
      <c r="A579" s="19" t="inlineStr">
        <is>
          <t>M084-Q01</t>
        </is>
      </c>
      <c r="B579" s="19" t="inlineStr">
        <is>
          <t>CL-M084-Q01-002</t>
        </is>
      </c>
      <c r="C579" s="17" t="inlineStr">
        <is>
          <t>[rule] Identification of an executant by inspection of a national identity card, passport bio-page or driving licence was introduced into rule (9) only in 2022 and was not an available route in October 2019.</t>
        </is>
      </c>
      <c r="D579" s="17" t="inlineStr">
        <is>
          <t>PROV-M084-002: Notaries Ordinance No. 1 of 1907 s.31 rule (9), opening words (consolidated text, post-2022)
PROV-M084-001: Notaries (Amendment) Act No. 31 of 2022 s.16 (6)</t>
        </is>
      </c>
      <c r="E579" s="17" t="inlineStr">
        <is>
          <t>[verified, support combined]</t>
        </is>
      </c>
      <c r="F579" s="21" t="n"/>
      <c r="G579" s="21" t="n"/>
      <c r="H579" s="21" t="n"/>
      <c r="I579" s="21" t="n"/>
      <c r="J579" s="21" t="n"/>
      <c r="K579" s="17">
        <f>IF(OR(A579="",B579=""),"",IF(AND(F579&lt;&gt;"",H579&lt;&gt;"",J579&lt;&gt;""),"Complete","Pending"))</f>
        <v/>
      </c>
    </row>
    <row r="580">
      <c r="A580" s="19" t="inlineStr">
        <is>
          <t>M084-Q01</t>
        </is>
      </c>
      <c r="B580" s="19" t="inlineStr">
        <is>
          <t>CL-M084-Q01-003</t>
        </is>
      </c>
      <c r="C580" s="17" t="inlineStr">
        <is>
          <t>[rule] Where the notary relies on the attesting witnesses instead of his own knowledge, he must satisfy himself before accepting them that they are persons of good repute and are well acquainted with the executant and know his proper name, occupation and residence, and the witnesses must sign a declaration at the foot of the deed to that effect.</t>
        </is>
      </c>
      <c r="D580" s="17" t="inlineStr">
        <is>
          <t>PROV-M084-003: Notaries Ordinance No. 1 of 1907 s.31 rule (9), witness-acquaintance and declaration limb
PROV-M084-006: Notaries (Amendment) Act No. 6 of 2024 s.3 (3) and (4)</t>
        </is>
      </c>
      <c r="E580" s="17" t="inlineStr">
        <is>
          <t>[verified, support combined]</t>
        </is>
      </c>
      <c r="F580" s="21" t="n"/>
      <c r="G580" s="21" t="n"/>
      <c r="H580" s="21" t="n"/>
      <c r="I580" s="21" t="n"/>
      <c r="J580" s="21" t="n"/>
      <c r="K580" s="17">
        <f>IF(OR(A580="",B580=""),"",IF(AND(F580&lt;&gt;"",H580&lt;&gt;"",J580&lt;&gt;""),"Complete","Pending"))</f>
        <v/>
      </c>
    </row>
    <row r="581">
      <c r="A581" s="19" t="inlineStr">
        <is>
          <t>M084-Q01</t>
        </is>
      </c>
      <c r="B581" s="19" t="inlineStr">
        <is>
          <t>CL-M084-Q01-004</t>
        </is>
      </c>
      <c r="C581" s="17" t="inlineStr">
        <is>
          <t>[rule] At least two witnesses must subscribe their signatures in letters to the deed, so the acquaintance and declaration requirement applies to two or more attesting witnesses and not to one.</t>
        </is>
      </c>
      <c r="D581" s="17" t="inlineStr">
        <is>
          <t>PROV-M084-005: Notaries Ordinance No. 1 of 1907 s.31 rule (8)
PROV-M084-003: Notaries Ordinance No. 1 of 1907 s.31 rule (9), witness-acquaintance and declaration limb</t>
        </is>
      </c>
      <c r="E581" s="17" t="inlineStr">
        <is>
          <t>[verified, support combined]</t>
        </is>
      </c>
      <c r="F581" s="21" t="n"/>
      <c r="G581" s="21" t="n"/>
      <c r="H581" s="21" t="n"/>
      <c r="I581" s="21" t="n"/>
      <c r="J581" s="21" t="n"/>
      <c r="K581" s="17">
        <f>IF(OR(A581="",B581=""),"",IF(AND(F581&lt;&gt;"",H581&lt;&gt;"",J581&lt;&gt;""),"Complete","Pending"))</f>
        <v/>
      </c>
    </row>
    <row r="582">
      <c r="A582" s="19" t="inlineStr">
        <is>
          <t>M084-Q01</t>
        </is>
      </c>
      <c r="B582" s="19" t="inlineStr">
        <is>
          <t>CL-M084-Q01-005</t>
        </is>
      </c>
      <c r="C582" s="17" t="inlineStr">
        <is>
          <t>[rule] The only personal bar section 31 places on the notary is that he shall not authenticate or attest a deed or instrument to which he is a party, and no rule in section 31 disqualifies an attesting witness because he is related to the notary.</t>
        </is>
      </c>
      <c r="D582" s="17" t="inlineStr">
        <is>
          <t>PROV-M084-004: Notaries Ordinance No. 1 of 1907 s.31 rule (13)</t>
        </is>
      </c>
      <c r="E582" s="17" t="inlineStr">
        <is>
          <t>[verified, support direct]</t>
        </is>
      </c>
      <c r="F582" s="21" t="n"/>
      <c r="G582" s="21" t="n"/>
      <c r="H582" s="21" t="n"/>
      <c r="I582" s="21" t="n"/>
      <c r="J582" s="21" t="n"/>
      <c r="K582" s="17">
        <f>IF(OR(A582="",B582=""),"",IF(AND(F582&lt;&gt;"",H582&lt;&gt;"",J582&lt;&gt;""),"Complete","Pending"))</f>
        <v/>
      </c>
    </row>
    <row r="583">
      <c r="A583" s="19" t="inlineStr">
        <is>
          <t>M084-Q01</t>
        </is>
      </c>
      <c r="B583" s="19" t="inlineStr">
        <is>
          <t>CL-M084-Q01-006</t>
        </is>
      </c>
      <c r="C583" s="17" t="inlineStr">
        <is>
          <t>[application] Because the notary does not know the executant, he can attest only on the footing that the executant is known to at least two of the attesting witnesses.</t>
        </is>
      </c>
      <c r="D583" s="17" t="inlineStr">
        <is>
          <t>PROV-M084-001: Notaries (Amendment) Act No. 31 of 2022 s.16 (6)
Facts: BG-1</t>
        </is>
      </c>
      <c r="E583" s="17" t="inlineStr">
        <is>
          <t>[verified, support direct]</t>
        </is>
      </c>
      <c r="F583" s="21" t="n"/>
      <c r="G583" s="21" t="n"/>
      <c r="H583" s="21" t="n"/>
      <c r="I583" s="21" t="n"/>
      <c r="J583" s="21" t="n"/>
      <c r="K583" s="17">
        <f>IF(OR(A583="",B583=""),"",IF(AND(F583&lt;&gt;"",H583&lt;&gt;"",J583&lt;&gt;""),"Complete","Pending"))</f>
        <v/>
      </c>
    </row>
    <row r="584">
      <c r="A584" s="19" t="inlineStr">
        <is>
          <t>M084-Q01</t>
        </is>
      </c>
      <c r="B584" s="19" t="inlineStr">
        <is>
          <t>CL-M084-Q01-007</t>
        </is>
      </c>
      <c r="C584" s="17" t="inlineStr">
        <is>
          <t>[application] Only one of the two attesting witnesses, the notary's brother, is well acquainted with the executant and able to state his proper name, occupation and residence; the second witness had never met the executant and cannot state his occupation or residence.</t>
        </is>
      </c>
      <c r="D584" s="17" t="inlineStr">
        <is>
          <t>PROV-M084-003: Notaries Ordinance No. 1 of 1907 s.31 rule (9), witness-acquaintance and declaration limb
Facts: BG-2, FACT-M084-Q01-002, FACT-M084-Q01-003</t>
        </is>
      </c>
      <c r="E584" s="17" t="inlineStr">
        <is>
          <t>[verified, support combined]</t>
        </is>
      </c>
      <c r="F584" s="21" t="n"/>
      <c r="G584" s="21" t="n"/>
      <c r="H584" s="21" t="n"/>
      <c r="I584" s="21" t="n"/>
      <c r="J584" s="21" t="n"/>
      <c r="K584" s="17">
        <f>IF(OR(A584="",B584=""),"",IF(AND(F584&lt;&gt;"",H584&lt;&gt;"",J584&lt;&gt;""),"Complete","Pending"))</f>
        <v/>
      </c>
    </row>
    <row r="585">
      <c r="A585" s="19" t="inlineStr">
        <is>
          <t>M084-Q01</t>
        </is>
      </c>
      <c r="B585" s="19" t="inlineStr">
        <is>
          <t>CL-M084-Q01-008</t>
        </is>
      </c>
      <c r="C585" s="17" t="inlineStr">
        <is>
          <t>[application] The executant is therefore not known to at least two of the attesting witnesses, and the two witnesses cannot both sign the declaration that they are well acquainted with him and know his proper name, occupation and residence.</t>
        </is>
      </c>
      <c r="D585" s="17" t="inlineStr">
        <is>
          <t>PROV-M084-001: Notaries (Amendment) Act No. 31 of 2022 s.16 (6)
PROV-M084-003: Notaries Ordinance No. 1 of 1907 s.31 rule (9), witness-acquaintance and declaration limb
Facts: FACT-M084-Q01-003</t>
        </is>
      </c>
      <c r="E585" s="17" t="inlineStr">
        <is>
          <t>[verified, support combined]</t>
        </is>
      </c>
      <c r="F585" s="21" t="n"/>
      <c r="G585" s="21" t="n"/>
      <c r="H585" s="21" t="n"/>
      <c r="I585" s="21" t="n"/>
      <c r="J585" s="21" t="n"/>
      <c r="K585" s="17">
        <f>IF(OR(A585="",B585=""),"",IF(AND(F585&lt;&gt;"",H585&lt;&gt;"",J585&lt;&gt;""),"Complete","Pending"))</f>
        <v/>
      </c>
    </row>
    <row r="586">
      <c r="A586" s="19" t="inlineStr">
        <is>
          <t>M084-Q01</t>
        </is>
      </c>
      <c r="B586" s="19" t="inlineStr">
        <is>
          <t>CL-M084-Q01-009</t>
        </is>
      </c>
      <c r="C586" s="17" t="inlineStr">
        <is>
          <t>[application] No identity document was produced, so even on the text that came into force after the matter reference date the identification limb would not be satisfied by inspection.</t>
        </is>
      </c>
      <c r="D586" s="17" t="inlineStr">
        <is>
          <t>PROV-M084-002: Notaries Ordinance No. 1 of 1907 s.31 rule (9), opening words (consolidated text, post-2022)
Facts: FACT-M084-Q01-004</t>
        </is>
      </c>
      <c r="E586" s="17" t="inlineStr">
        <is>
          <t>[verified, support direct]</t>
        </is>
      </c>
      <c r="F586" s="21" t="n"/>
      <c r="G586" s="21" t="n"/>
      <c r="H586" s="21" t="n"/>
      <c r="I586" s="21" t="n"/>
      <c r="J586" s="21" t="n"/>
      <c r="K586" s="17">
        <f>IF(OR(A586="",B586=""),"",IF(AND(F586&lt;&gt;"",H586&lt;&gt;"",J586&lt;&gt;""),"Complete","Pending"))</f>
        <v/>
      </c>
    </row>
    <row r="587">
      <c r="A587" s="19" t="inlineStr">
        <is>
          <t>M084-Q01</t>
        </is>
      </c>
      <c r="B587" s="19" t="inlineStr">
        <is>
          <t>CL-M084-Q01-010</t>
        </is>
      </c>
      <c r="C587" s="17" t="inlineStr">
        <is>
          <t>[application] The notary is not a party to this deed and has no interest in the land, so the single personal bar in rule (13) is not engaged, and the brother is not disqualified from acting as an attesting witness by his relationship to the notary.</t>
        </is>
      </c>
      <c r="D587" s="17" t="inlineStr">
        <is>
          <t>PROV-M084-004: Notaries Ordinance No. 1 of 1907 s.31 rule (13)
Facts: BG-3, FACT-M084-Q01-005</t>
        </is>
      </c>
      <c r="E587" s="17" t="inlineStr">
        <is>
          <t>[verified, support combined]</t>
        </is>
      </c>
      <c r="F587" s="21" t="n"/>
      <c r="G587" s="21" t="n"/>
      <c r="H587" s="21" t="n"/>
      <c r="I587" s="21" t="n"/>
      <c r="J587" s="21" t="n"/>
      <c r="K587" s="17">
        <f>IF(OR(A587="",B587=""),"",IF(AND(F587&lt;&gt;"",H587&lt;&gt;"",J587&lt;&gt;""),"Complete","Pending"))</f>
        <v/>
      </c>
    </row>
    <row r="588">
      <c r="A588" s="19" t="inlineStr">
        <is>
          <t>M084-Q01</t>
        </is>
      </c>
      <c r="B588" s="19" t="inlineStr">
        <is>
          <t>CL-M084-Q01-011</t>
        </is>
      </c>
      <c r="C588" s="17" t="inlineStr">
        <is>
          <t>[conclusion] On these facts the notary could not properly attest the deed, because the executant was neither known to him nor known to at least two of the attesting witnesses.</t>
        </is>
      </c>
      <c r="D588" s="17" t="inlineStr">
        <is>
          <t>PROV-M084-001: Notaries (Amendment) Act No. 31 of 2022 s.16 (6)
PROV-M084-003: Notaries Ordinance No. 1 of 1907 s.31 rule (9), witness-acquaintance and declaration limb
Facts: BG-1, FACT-M084-Q01-003</t>
        </is>
      </c>
      <c r="E588" s="17" t="inlineStr">
        <is>
          <t>[verified, support combined]</t>
        </is>
      </c>
      <c r="F588" s="21" t="n"/>
      <c r="G588" s="21" t="n"/>
      <c r="H588" s="21" t="n"/>
      <c r="I588" s="21" t="n"/>
      <c r="J588" s="21" t="n"/>
      <c r="K588" s="17">
        <f>IF(OR(A588="",B588=""),"",IF(AND(F588&lt;&gt;"",H588&lt;&gt;"",J588&lt;&gt;""),"Complete","Pending"))</f>
        <v/>
      </c>
    </row>
    <row r="589">
      <c r="A589" s="19" t="inlineStr">
        <is>
          <t>M084-Q01</t>
        </is>
      </c>
      <c r="B589" s="19" t="inlineStr">
        <is>
          <t>CL-M084-Q01-012</t>
        </is>
      </c>
      <c r="C589" s="17" t="inlineStr">
        <is>
          <t>[conclusion] The bar arises from the identification requirement and not from the fact that the acquainted witness is the notary's brother, so the notary may attest once a second witness of good repute who is well acquainted with the executant is brought in and both witnesses sign the required declaration.</t>
        </is>
      </c>
      <c r="D589" s="17" t="inlineStr">
        <is>
          <t>PROV-M084-004: Notaries Ordinance No. 1 of 1907 s.31 rule (13)
PROV-M084-003: Notaries Ordinance No. 1 of 1907 s.31 rule (9), witness-acquaintance and declaration limb
PROV-M084-001: Notaries (Amendment) Act No. 31 of 2022 s.16 (6)
Facts: BG-3, FACT-M084-Q01-002</t>
        </is>
      </c>
      <c r="E589" s="17" t="inlineStr">
        <is>
          <t>[verified, support combined]</t>
        </is>
      </c>
      <c r="F589" s="21" t="n"/>
      <c r="G589" s="21" t="n"/>
      <c r="H589" s="21" t="n"/>
      <c r="I589" s="21" t="n"/>
      <c r="J589" s="21" t="n"/>
      <c r="K589" s="17">
        <f>IF(OR(A589="",B589=""),"",IF(AND(F589&lt;&gt;"",H589&lt;&gt;"",J589&lt;&gt;""),"Complete","Pending"))</f>
        <v/>
      </c>
    </row>
    <row r="590">
      <c r="A590" s="19" t="inlineStr">
        <is>
          <t>M087-Q01</t>
        </is>
      </c>
      <c r="B590" s="19" t="inlineStr">
        <is>
          <t>CL-M087-Q01-001</t>
        </is>
      </c>
      <c r="C590" s="17" t="inlineStr">
        <is>
          <t>[rule] Inheritance ab intestato to the immovable property in Sri Lanka of a deceased person is governed by Part III of the Matrimonial Rights and Inheritance Ordinance, which applies to persons dying after its proclamation who were married after it and which does not extend to Kandyans, Muslims or Tamils subject to the Tesawalamai.</t>
        </is>
      </c>
      <c r="D590" s="17" t="inlineStr">
        <is>
          <t>PROV-M087-001: Matrimonial Rights and Inheritance Ordinance s.21 (1)
PROV-M087-009: Matrimonial Rights and Inheritance Ordinance s.2
PROV-M087-010: Matrimonial Rights and Inheritance Ordinance s.20</t>
        </is>
      </c>
      <c r="E590" s="17" t="inlineStr">
        <is>
          <t>[verified, support combined]</t>
        </is>
      </c>
      <c r="F590" s="21" t="n"/>
      <c r="G590" s="21" t="n"/>
      <c r="H590" s="21" t="n"/>
      <c r="I590" s="21" t="n"/>
      <c r="J590" s="21" t="n"/>
      <c r="K590" s="17">
        <f>IF(OR(A590="",B590=""),"",IF(AND(F590&lt;&gt;"",H590&lt;&gt;"",J590&lt;&gt;""),"Complete","Pending"))</f>
        <v/>
      </c>
    </row>
    <row r="591">
      <c r="A591" s="19" t="inlineStr">
        <is>
          <t>M087-Q01</t>
        </is>
      </c>
      <c r="B591" s="19" t="inlineStr">
        <is>
          <t>CL-M087-Q01-002</t>
        </is>
      </c>
      <c r="C591" s="17" t="inlineStr">
        <is>
          <t>[rule] A surviving spouse inherits one-half of the property of a person who dies intestate.</t>
        </is>
      </c>
      <c r="D591" s="17" t="inlineStr">
        <is>
          <t>PROV-M087-002: Matrimonial Rights and Inheritance Ordinance s.22</t>
        </is>
      </c>
      <c r="E591" s="17" t="inlineStr">
        <is>
          <t>[verified, support direct]</t>
        </is>
      </c>
      <c r="F591" s="21" t="n"/>
      <c r="G591" s="21" t="n"/>
      <c r="H591" s="21" t="n"/>
      <c r="I591" s="21" t="n"/>
      <c r="J591" s="21" t="n"/>
      <c r="K591" s="17">
        <f>IF(OR(A591="",B591=""),"",IF(AND(F591&lt;&gt;"",H591&lt;&gt;"",J591&lt;&gt;""),"Complete","Pending"))</f>
        <v/>
      </c>
    </row>
    <row r="592">
      <c r="A592" s="19" t="inlineStr">
        <is>
          <t>M087-Q01</t>
        </is>
      </c>
      <c r="B592" s="19" t="inlineStr">
        <is>
          <t>CL-M087-Q01-003</t>
        </is>
      </c>
      <c r="C592" s="17" t="inlineStr">
        <is>
          <t>[rule] Subject to the surviving spouse's half, inheritance passes first to descendants, and children are preferent to all others and take equally per capita.</t>
        </is>
      </c>
      <c r="D592" s="17" t="inlineStr">
        <is>
          <t>PROV-M087-003: Matrimonial Rights and Inheritance Ordinance s.23
PROV-M087-004: Matrimonial Rights and Inheritance Ordinance s.24</t>
        </is>
      </c>
      <c r="E592" s="17" t="inlineStr">
        <is>
          <t>[verified, support combined]</t>
        </is>
      </c>
      <c r="F592" s="21" t="n"/>
      <c r="G592" s="21" t="n"/>
      <c r="H592" s="21" t="n"/>
      <c r="I592" s="21" t="n"/>
      <c r="J592" s="21" t="n"/>
      <c r="K592" s="17">
        <f>IF(OR(A592="",B592=""),"",IF(AND(F592&lt;&gt;"",H592&lt;&gt;"",J592&lt;&gt;""),"Complete","Pending"))</f>
        <v/>
      </c>
    </row>
    <row r="593">
      <c r="A593" s="19" t="inlineStr">
        <is>
          <t>M087-Q01</t>
        </is>
      </c>
      <c r="B593" s="19" t="inlineStr">
        <is>
          <t>CL-M087-Q01-004</t>
        </is>
      </c>
      <c r="C593" s="17" t="inlineStr">
        <is>
          <t>[rule] Where the descendants fail and both parents of the intestate are dead, the estate goes to the brothers and sisters of the intestate, whether of the whole or half blood.</t>
        </is>
      </c>
      <c r="D593" s="17" t="inlineStr">
        <is>
          <t>PROV-M087-005: Matrimonial Rights and Inheritance Ordinance s.25
PROV-M087-006: Matrimonial Rights and Inheritance Ordinance s.26</t>
        </is>
      </c>
      <c r="E593" s="17" t="inlineStr">
        <is>
          <t>[verified, support combined]</t>
        </is>
      </c>
      <c r="F593" s="21" t="n"/>
      <c r="G593" s="21" t="n"/>
      <c r="H593" s="21" t="n"/>
      <c r="I593" s="21" t="n"/>
      <c r="J593" s="21" t="n"/>
      <c r="K593" s="17">
        <f>IF(OR(A593="",B593=""),"",IF(AND(F593&lt;&gt;"",H593&lt;&gt;"",J593&lt;&gt;""),"Complete","Pending"))</f>
        <v/>
      </c>
    </row>
    <row r="594">
      <c r="A594" s="19" t="inlineStr">
        <is>
          <t>M087-Q01</t>
        </is>
      </c>
      <c r="B594" s="19" t="inlineStr">
        <is>
          <t>CL-M087-Q01-005</t>
        </is>
      </c>
      <c r="C594" s="17" t="inlineStr">
        <is>
          <t>[rule] Where all the half-brothers and sisters are related to the intestate on one side only they take the whole of that inheritance, unless a grandparent or higher ascendant on the other side is alive, and those equally near in degree take per capita.</t>
        </is>
      </c>
      <c r="D594" s="17" t="inlineStr">
        <is>
          <t>PROV-M087-007: Matrimonial Rights and Inheritance Ordinance s.29
PROV-M087-008: Matrimonial Rights and Inheritance Ordinance s.30</t>
        </is>
      </c>
      <c r="E594" s="17" t="inlineStr">
        <is>
          <t>[verified, support combined]</t>
        </is>
      </c>
      <c r="F594" s="21" t="n"/>
      <c r="G594" s="21" t="n"/>
      <c r="H594" s="21" t="n"/>
      <c r="I594" s="21" t="n"/>
      <c r="J594" s="21" t="n"/>
      <c r="K594" s="17">
        <f>IF(OR(A594="",B594=""),"",IF(AND(F594&lt;&gt;"",H594&lt;&gt;"",J594&lt;&gt;""),"Complete","Pending"))</f>
        <v/>
      </c>
    </row>
    <row r="595">
      <c r="A595" s="19" t="inlineStr">
        <is>
          <t>M087-Q01</t>
        </is>
      </c>
      <c r="B595" s="19" t="inlineStr">
        <is>
          <t>CL-M087-Q01-006</t>
        </is>
      </c>
      <c r="C595" s="17" t="inlineStr">
        <is>
          <t>[application] Kanthi Perera's intestate estate consisted of Lots 2 and 3 of Plan No. 567, because Lot 1 had passed to Amali Perera by Deed of Gift No. 1054 of 2005 and Kanthi Perera's reserved life interest in it ended at her death.</t>
        </is>
      </c>
      <c r="D595" s="17" t="inlineStr">
        <is>
          <t>Facts: BG-1, BG-2, BG-3, BG-4</t>
        </is>
      </c>
      <c r="E595" s="17" t="inlineStr">
        <is>
          <t>[verified, support inferential]</t>
        </is>
      </c>
      <c r="F595" s="21" t="n"/>
      <c r="G595" s="21" t="n"/>
      <c r="H595" s="21" t="n"/>
      <c r="I595" s="21" t="n"/>
      <c r="J595" s="21" t="n"/>
      <c r="K595" s="17">
        <f>IF(OR(A595="",B595=""),"",IF(AND(F595&lt;&gt;"",H595&lt;&gt;"",J595&lt;&gt;""),"Complete","Pending"))</f>
        <v/>
      </c>
    </row>
    <row r="596">
      <c r="A596" s="19" t="inlineStr">
        <is>
          <t>M087-Q01</t>
        </is>
      </c>
      <c r="B596" s="19" t="inlineStr">
        <is>
          <t>CL-M087-Q01-007</t>
        </is>
      </c>
      <c r="C596" s="17" t="inlineStr">
        <is>
          <t>[application] On Kanthi Perera's death intestate on 1st September 2014 her surviving husband Kamal De Silva took one half of Lots 2 and 3.</t>
        </is>
      </c>
      <c r="D596" s="17" t="inlineStr">
        <is>
          <t>PROV-M087-002: Matrimonial Rights and Inheritance Ordinance s.22
Facts: BG-5, BG-6</t>
        </is>
      </c>
      <c r="E596" s="17" t="inlineStr">
        <is>
          <t>[verified, support direct]</t>
        </is>
      </c>
      <c r="F596" s="21" t="n"/>
      <c r="G596" s="21" t="n"/>
      <c r="H596" s="21" t="n"/>
      <c r="I596" s="21" t="n"/>
      <c r="J596" s="21" t="n"/>
      <c r="K596" s="17">
        <f>IF(OR(A596="",B596=""),"",IF(AND(F596&lt;&gt;"",H596&lt;&gt;"",J596&lt;&gt;""),"Complete","Pending"))</f>
        <v/>
      </c>
    </row>
    <row r="597">
      <c r="A597" s="19" t="inlineStr">
        <is>
          <t>M087-Q01</t>
        </is>
      </c>
      <c r="B597" s="19" t="inlineStr">
        <is>
          <t>CL-M087-Q01-008</t>
        </is>
      </c>
      <c r="C597" s="17" t="inlineStr">
        <is>
          <t>[application] The remaining half went in equal shares to Kanthi Perera's three children Amali, Anusha and Anuk, so each took one sixth of Lots 2 and 3.</t>
        </is>
      </c>
      <c r="D597" s="17" t="inlineStr">
        <is>
          <t>PROV-M087-003: Matrimonial Rights and Inheritance Ordinance s.23
PROV-M087-004: Matrimonial Rights and Inheritance Ordinance s.24
Facts: BG-6, BG-7</t>
        </is>
      </c>
      <c r="E597" s="17" t="inlineStr">
        <is>
          <t>[verified, support direct]</t>
        </is>
      </c>
      <c r="F597" s="21" t="n"/>
      <c r="G597" s="21" t="n"/>
      <c r="H597" s="21" t="n"/>
      <c r="I597" s="21" t="n"/>
      <c r="J597" s="21" t="n"/>
      <c r="K597" s="17">
        <f>IF(OR(A597="",B597=""),"",IF(AND(F597&lt;&gt;"",H597&lt;&gt;"",J597&lt;&gt;""),"Complete","Pending"))</f>
        <v/>
      </c>
    </row>
    <row r="598">
      <c r="A598" s="19" t="inlineStr">
        <is>
          <t>M087-Q01</t>
        </is>
      </c>
      <c r="B598" s="19" t="inlineStr">
        <is>
          <t>CL-M087-Q01-009</t>
        </is>
      </c>
      <c r="C598" s="17" t="inlineStr">
        <is>
          <t>[application] The Administrator's Conveyance of 3rd December 2015 in DC Colombo case No. 567/T conveyed the estate to those heirs and records a devolution that had already taken effect by operation of law at the death.</t>
        </is>
      </c>
      <c r="D598" s="17" t="inlineStr">
        <is>
          <t>PROV-M087-001: Matrimonial Rights and Inheritance Ordinance s.21 (1)
Facts: BG-8</t>
        </is>
      </c>
      <c r="E598" s="17" t="inlineStr">
        <is>
          <t>[rejected, support inferential]</t>
        </is>
      </c>
      <c r="F598" s="21" t="n"/>
      <c r="G598" s="21" t="n"/>
      <c r="H598" s="21" t="n"/>
      <c r="I598" s="21" t="n"/>
      <c r="J598" s="21" t="n"/>
      <c r="K598" s="17">
        <f>IF(OR(A598="",B598=""),"",IF(AND(F598&lt;&gt;"",H598&lt;&gt;"",J598&lt;&gt;""),"Complete","Pending"))</f>
        <v/>
      </c>
    </row>
    <row r="599">
      <c r="A599" s="19" t="inlineStr">
        <is>
          <t>M087-Q01</t>
        </is>
      </c>
      <c r="B599" s="19" t="inlineStr">
        <is>
          <t>CL-M087-Q01-010</t>
        </is>
      </c>
      <c r="C599" s="17" t="inlineStr">
        <is>
          <t>[application] Amali Perera died intestate and issueless about one month after her mother, leaving her husband Anura Fernando, who took one half of her one sixth, namely one twelfth of Lots 2 and 3.</t>
        </is>
      </c>
      <c r="D599" s="17" t="inlineStr">
        <is>
          <t>PROV-M087-002: Matrimonial Rights and Inheritance Ordinance s.22
Facts: BG-9</t>
        </is>
      </c>
      <c r="E599" s="17" t="inlineStr">
        <is>
          <t>[verified, support direct]</t>
        </is>
      </c>
      <c r="F599" s="21" t="n"/>
      <c r="G599" s="21" t="n"/>
      <c r="H599" s="21" t="n"/>
      <c r="I599" s="21" t="n"/>
      <c r="J599" s="21" t="n"/>
      <c r="K599" s="17">
        <f>IF(OR(A599="",B599=""),"",IF(AND(F599&lt;&gt;"",H599&lt;&gt;"",J599&lt;&gt;""),"Complete","Pending"))</f>
        <v/>
      </c>
    </row>
    <row r="600">
      <c r="A600" s="19" t="inlineStr">
        <is>
          <t>M087-Q01</t>
        </is>
      </c>
      <c r="B600" s="19" t="inlineStr">
        <is>
          <t>CL-M087-Q01-011</t>
        </is>
      </c>
      <c r="C600" s="17" t="inlineStr">
        <is>
          <t>[application] Both of Amali Perera's parents having predeceased her and her only siblings being Anusha and Anuk of the half blood on her mother's side, and on the footing that no ascendant on her father's side survived her, the other one twelfth went to Anusha and Anuk per capita, one twenty-fourth each.</t>
        </is>
      </c>
      <c r="D600" s="17" t="inlineStr">
        <is>
          <t>PROV-M087-005: Matrimonial Rights and Inheritance Ordinance s.25
PROV-M087-006: Matrimonial Rights and Inheritance Ordinance s.26
PROV-M087-007: Matrimonial Rights and Inheritance Ordinance s.29
PROV-M087-008: Matrimonial Rights and Inheritance Ordinance s.30
Facts: BG-7, BG-9</t>
        </is>
      </c>
      <c r="E600" s="17" t="inlineStr">
        <is>
          <t>[verified, support combined]</t>
        </is>
      </c>
      <c r="F600" s="21" t="n"/>
      <c r="G600" s="21" t="n"/>
      <c r="H600" s="21" t="n"/>
      <c r="I600" s="21" t="n"/>
      <c r="J600" s="21" t="n"/>
      <c r="K600" s="17">
        <f>IF(OR(A600="",B600=""),"",IF(AND(F600&lt;&gt;"",H600&lt;&gt;"",J600&lt;&gt;""),"Complete","Pending"))</f>
        <v/>
      </c>
    </row>
    <row r="601">
      <c r="A601" s="19" t="inlineStr">
        <is>
          <t>M087-Q01</t>
        </is>
      </c>
      <c r="B601" s="19" t="inlineStr">
        <is>
          <t>CL-M087-Q01-012</t>
        </is>
      </c>
      <c r="C601" s="17" t="inlineStr">
        <is>
          <t>[application] Kamal De Silva gifted the one half he had inherited to his two children Anusha and Anuk, giving each of them a further one quarter.</t>
        </is>
      </c>
      <c r="D601" s="17" t="inlineStr">
        <is>
          <t>Facts: BG-8</t>
        </is>
      </c>
      <c r="E601" s="17" t="inlineStr">
        <is>
          <t>[verified, support inferential]</t>
        </is>
      </c>
      <c r="F601" s="21" t="n"/>
      <c r="G601" s="21" t="n"/>
      <c r="H601" s="21" t="n"/>
      <c r="I601" s="21" t="n"/>
      <c r="J601" s="21" t="n"/>
      <c r="K601" s="17">
        <f>IF(OR(A601="",B601=""),"",IF(AND(F601&lt;&gt;"",H601&lt;&gt;"",J601&lt;&gt;""),"Complete","Pending"))</f>
        <v/>
      </c>
    </row>
    <row r="602">
      <c r="A602" s="19" t="inlineStr">
        <is>
          <t>M087-Q01</t>
        </is>
      </c>
      <c r="B602" s="19" t="inlineStr">
        <is>
          <t>CL-M087-Q01-013</t>
        </is>
      </c>
      <c r="C602" s="17" t="inlineStr">
        <is>
          <t>[conclusion] The pedigree ends with Anusha and Anuk holding eleven twenty-fourths each and Anura Fernando holding one twelfth of Lots 2 and 3 of Plan No. 567.</t>
        </is>
      </c>
      <c r="D602" s="17" t="inlineStr">
        <is>
          <t>PROV-M087-002: Matrimonial Rights and Inheritance Ordinance s.22
PROV-M087-004: Matrimonial Rights and Inheritance Ordinance s.24
PROV-M087-006: Matrimonial Rights and Inheritance Ordinance s.26
PROV-M087-007: Matrimonial Rights and Inheritance Ordinance s.29
PROV-M087-008: Matrimonial Rights and Inheritance Ordinance s.30
Facts: BG-7, BG-8, BG-9</t>
        </is>
      </c>
      <c r="E602" s="17" t="inlineStr">
        <is>
          <t>[verified, support combined]</t>
        </is>
      </c>
      <c r="F602" s="21" t="n"/>
      <c r="G602" s="21" t="n"/>
      <c r="H602" s="21" t="n"/>
      <c r="I602" s="21" t="n"/>
      <c r="J602" s="21" t="n"/>
      <c r="K602" s="17">
        <f>IF(OR(A602="",B602=""),"",IF(AND(F602&lt;&gt;"",H602&lt;&gt;"",J602&lt;&gt;""),"Complete","Pending"))</f>
        <v/>
      </c>
    </row>
    <row r="603">
      <c r="A603" s="19" t="inlineStr">
        <is>
          <t>M087-Q03</t>
        </is>
      </c>
      <c r="B603" s="19" t="inlineStr">
        <is>
          <t>CL-M087-Q03-001</t>
        </is>
      </c>
      <c r="C603" s="17" t="inlineStr">
        <is>
          <t>[rule] A surviving spouse inherits one-half of the property of a person dying intestate.</t>
        </is>
      </c>
      <c r="D603" s="17" t="inlineStr">
        <is>
          <t>PROV-M087-002: Matrimonial Rights and Inheritance Ordinance s.22</t>
        </is>
      </c>
      <c r="E603" s="17" t="inlineStr">
        <is>
          <t>[verified, support direct]</t>
        </is>
      </c>
      <c r="F603" s="21" t="n"/>
      <c r="G603" s="21" t="n"/>
      <c r="H603" s="21" t="n"/>
      <c r="I603" s="21" t="n"/>
      <c r="J603" s="21" t="n"/>
      <c r="K603" s="17">
        <f>IF(OR(A603="",B603=""),"",IF(AND(F603&lt;&gt;"",H603&lt;&gt;"",J603&lt;&gt;""),"Complete","Pending"))</f>
        <v/>
      </c>
    </row>
    <row r="604">
      <c r="A604" s="19" t="inlineStr">
        <is>
          <t>M087-Q03</t>
        </is>
      </c>
      <c r="B604" s="19" t="inlineStr">
        <is>
          <t>CL-M087-Q03-002</t>
        </is>
      </c>
      <c r="C604" s="17" t="inlineStr">
        <is>
          <t>[rule] Subject to the spouse's half, the children of the intestate are preferent to all others and take equally per capita.</t>
        </is>
      </c>
      <c r="D604" s="17" t="inlineStr">
        <is>
          <t>PROV-M087-003: Matrimonial Rights and Inheritance Ordinance s.23
PROV-M087-004: Matrimonial Rights and Inheritance Ordinance s.24</t>
        </is>
      </c>
      <c r="E604" s="17" t="inlineStr">
        <is>
          <t>[verified, support combined]</t>
        </is>
      </c>
      <c r="F604" s="21" t="n"/>
      <c r="G604" s="21" t="n"/>
      <c r="H604" s="21" t="n"/>
      <c r="I604" s="21" t="n"/>
      <c r="J604" s="21" t="n"/>
      <c r="K604" s="17">
        <f>IF(OR(A604="",B604=""),"",IF(AND(F604&lt;&gt;"",H604&lt;&gt;"",J604&lt;&gt;""),"Complete","Pending"))</f>
        <v/>
      </c>
    </row>
    <row r="605">
      <c r="A605" s="19" t="inlineStr">
        <is>
          <t>M087-Q03</t>
        </is>
      </c>
      <c r="B605" s="19" t="inlineStr">
        <is>
          <t>CL-M087-Q03-003</t>
        </is>
      </c>
      <c r="C605" s="17" t="inlineStr">
        <is>
          <t>[rule] Where descendants fail and both parents are dead the estate goes to the brothers and sisters of the whole or half blood, half-blood siblings related on one side only take the whole of that share absent an ascendant on the other side, and those equally near in degree take per capita.</t>
        </is>
      </c>
      <c r="D605" s="17" t="inlineStr">
        <is>
          <t>PROV-M087-005: Matrimonial Rights and Inheritance Ordinance s.25
PROV-M087-006: Matrimonial Rights and Inheritance Ordinance s.26
PROV-M087-007: Matrimonial Rights and Inheritance Ordinance s.29
PROV-M087-008: Matrimonial Rights and Inheritance Ordinance s.30</t>
        </is>
      </c>
      <c r="E605" s="17" t="inlineStr">
        <is>
          <t>[verified, support combined]</t>
        </is>
      </c>
      <c r="F605" s="21" t="n"/>
      <c r="G605" s="21" t="n"/>
      <c r="H605" s="21" t="n"/>
      <c r="I605" s="21" t="n"/>
      <c r="J605" s="21" t="n"/>
      <c r="K605" s="17">
        <f>IF(OR(A605="",B605=""),"",IF(AND(F605&lt;&gt;"",H605&lt;&gt;"",J605&lt;&gt;""),"Complete","Pending"))</f>
        <v/>
      </c>
    </row>
    <row r="606">
      <c r="A606" s="19" t="inlineStr">
        <is>
          <t>M087-Q03</t>
        </is>
      </c>
      <c r="B606" s="19" t="inlineStr">
        <is>
          <t>CL-M087-Q03-004</t>
        </is>
      </c>
      <c r="C606" s="17" t="inlineStr">
        <is>
          <t>[application] On Kanthi Perera's intestacy Kamal De Silva took one half of Lots 2 and 3 and Amali, Anusha and Anuk took one sixth each.</t>
        </is>
      </c>
      <c r="D606" s="17" t="inlineStr">
        <is>
          <t>PROV-M087-001: Matrimonial Rights and Inheritance Ordinance s.21 (1)
PROV-M087-002: Matrimonial Rights and Inheritance Ordinance s.22
PROV-M087-004: Matrimonial Rights and Inheritance Ordinance s.24
Facts: BG-6, BG-7</t>
        </is>
      </c>
      <c r="E606" s="17" t="inlineStr">
        <is>
          <t>[verified, support direct]</t>
        </is>
      </c>
      <c r="F606" s="21" t="n"/>
      <c r="G606" s="21" t="n"/>
      <c r="H606" s="21" t="n"/>
      <c r="I606" s="21" t="n"/>
      <c r="J606" s="21" t="n"/>
      <c r="K606" s="17">
        <f>IF(OR(A606="",B606=""),"",IF(AND(F606&lt;&gt;"",H606&lt;&gt;"",J606&lt;&gt;""),"Complete","Pending"))</f>
        <v/>
      </c>
    </row>
    <row r="607">
      <c r="A607" s="19" t="inlineStr">
        <is>
          <t>M087-Q03</t>
        </is>
      </c>
      <c r="B607" s="19" t="inlineStr">
        <is>
          <t>CL-M087-Q03-005</t>
        </is>
      </c>
      <c r="C607" s="17" t="inlineStr">
        <is>
          <t>[application] Amali Perera's one sixth devolved one twelfth on her husband Anura Fernando and one twenty-fourth on each of Anusha and Anuk.</t>
        </is>
      </c>
      <c r="D607" s="17" t="inlineStr">
        <is>
          <t>PROV-M087-002: Matrimonial Rights and Inheritance Ordinance s.22
PROV-M087-006: Matrimonial Rights and Inheritance Ordinance s.26
PROV-M087-007: Matrimonial Rights and Inheritance Ordinance s.29
PROV-M087-008: Matrimonial Rights and Inheritance Ordinance s.30
Facts: BG-7, BG-9</t>
        </is>
      </c>
      <c r="E607" s="17" t="inlineStr">
        <is>
          <t>[verified, support combined]</t>
        </is>
      </c>
      <c r="F607" s="21" t="n"/>
      <c r="G607" s="21" t="n"/>
      <c r="H607" s="21" t="n"/>
      <c r="I607" s="21" t="n"/>
      <c r="J607" s="21" t="n"/>
      <c r="K607" s="17">
        <f>IF(OR(A607="",B607=""),"",IF(AND(F607&lt;&gt;"",H607&lt;&gt;"",J607&lt;&gt;""),"Complete","Pending"))</f>
        <v/>
      </c>
    </row>
    <row r="608">
      <c r="A608" s="19" t="inlineStr">
        <is>
          <t>M087-Q03</t>
        </is>
      </c>
      <c r="B608" s="19" t="inlineStr">
        <is>
          <t>CL-M087-Q03-006</t>
        </is>
      </c>
      <c r="C608" s="17" t="inlineStr">
        <is>
          <t>[application] Kamal De Silva's gift of his inherited half to Anusha and Anuk added one quarter to each of them.</t>
        </is>
      </c>
      <c r="D608" s="17" t="inlineStr">
        <is>
          <t>Facts: BG-8</t>
        </is>
      </c>
      <c r="E608" s="17" t="inlineStr">
        <is>
          <t>[verified, support inferential]</t>
        </is>
      </c>
      <c r="F608" s="21" t="n"/>
      <c r="G608" s="21" t="n"/>
      <c r="H608" s="21" t="n"/>
      <c r="I608" s="21" t="n"/>
      <c r="J608" s="21" t="n"/>
      <c r="K608" s="17">
        <f>IF(OR(A608="",B608=""),"",IF(AND(F608&lt;&gt;"",H608&lt;&gt;"",J608&lt;&gt;""),"Complete","Pending"))</f>
        <v/>
      </c>
    </row>
    <row r="609">
      <c r="A609" s="19" t="inlineStr">
        <is>
          <t>M087-Q03</t>
        </is>
      </c>
      <c r="B609" s="19" t="inlineStr">
        <is>
          <t>CL-M087-Q03-007</t>
        </is>
      </c>
      <c r="C609" s="17" t="inlineStr">
        <is>
          <t>[conclusion] Anusha and Anuk each presently own eleven twenty-fourths of Lots 2 and 3 of Plan No. 567 and Anura Fernando owns one twelfth, Kamal De Silva retaining nothing.</t>
        </is>
      </c>
      <c r="D609" s="17" t="inlineStr">
        <is>
          <t>PROV-M087-002: Matrimonial Rights and Inheritance Ordinance s.22
PROV-M087-004: Matrimonial Rights and Inheritance Ordinance s.24
PROV-M087-006: Matrimonial Rights and Inheritance Ordinance s.26
PROV-M087-007: Matrimonial Rights and Inheritance Ordinance s.29
PROV-M087-008: Matrimonial Rights and Inheritance Ordinance s.30
Facts: BG-6, BG-7, BG-8, BG-9</t>
        </is>
      </c>
      <c r="E609" s="17" t="inlineStr">
        <is>
          <t>[verified, support combined]</t>
        </is>
      </c>
      <c r="F609" s="21" t="n"/>
      <c r="G609" s="21" t="n"/>
      <c r="H609" s="21" t="n"/>
      <c r="I609" s="21" t="n"/>
      <c r="J609" s="21" t="n"/>
      <c r="K609" s="17">
        <f>IF(OR(A609="",B609=""),"",IF(AND(F609&lt;&gt;"",H609&lt;&gt;"",J609&lt;&gt;""),"Complete","Pending"))</f>
        <v/>
      </c>
    </row>
    <row r="610">
      <c r="A610" s="19" t="inlineStr">
        <is>
          <t>M098-Q02</t>
        </is>
      </c>
      <c r="B610" s="19" t="inlineStr">
        <is>
          <t>CL-M098-Q02-001</t>
        </is>
      </c>
      <c r="C610" s="17" t="inlineStr">
        <is>
          <t>[rule] An instrument affecting land must be registered in the folio in which the first registered instrument affecting the same land is registered, or in another folio bearing a separate number opened in continuation of it, with cross references entered in the prescribed manner.</t>
        </is>
      </c>
      <c r="D610" s="17" t="inlineStr">
        <is>
          <t>PROV-M098-004: Registration of Documents Ordinance s.14 (1)</t>
        </is>
      </c>
      <c r="E610" s="17" t="inlineStr">
        <is>
          <t>[verified, support direct]</t>
        </is>
      </c>
      <c r="F610" s="21" t="n"/>
      <c r="G610" s="21" t="n"/>
      <c r="H610" s="21" t="n"/>
      <c r="I610" s="21" t="n"/>
      <c r="J610" s="21" t="n"/>
      <c r="K610" s="17">
        <f>IF(OR(A610="",B610=""),"",IF(AND(F610&lt;&gt;"",H610&lt;&gt;"",J610&lt;&gt;""),"Complete","Pending"))</f>
        <v/>
      </c>
    </row>
    <row r="611">
      <c r="A611" s="19" t="inlineStr">
        <is>
          <t>M098-Q02</t>
        </is>
      </c>
      <c r="B611" s="19" t="inlineStr">
        <is>
          <t>CL-M098-Q02-002</t>
        </is>
      </c>
      <c r="C611" s="17" t="inlineStr">
        <is>
          <t>[rule] An instrument is not deemed duly registered unless it is registered in accordance with section 14.</t>
        </is>
      </c>
      <c r="D611" s="17" t="inlineStr">
        <is>
          <t>PROV-M098-006: Registration of Documents Ordinance s.14 (2)</t>
        </is>
      </c>
      <c r="E611" s="17" t="inlineStr">
        <is>
          <t>[verified, support direct]</t>
        </is>
      </c>
      <c r="F611" s="21" t="n"/>
      <c r="G611" s="21" t="n"/>
      <c r="H611" s="21" t="n"/>
      <c r="I611" s="21" t="n"/>
      <c r="J611" s="21" t="n"/>
      <c r="K611" s="17">
        <f>IF(OR(A611="",B611=""),"",IF(AND(F611&lt;&gt;"",H611&lt;&gt;"",J611&lt;&gt;""),"Complete","Pending"))</f>
        <v/>
      </c>
    </row>
    <row r="612">
      <c r="A612" s="19" t="inlineStr">
        <is>
          <t>M098-Q02</t>
        </is>
      </c>
      <c r="B612" s="19" t="inlineStr">
        <is>
          <t>CL-M098-Q02-003</t>
        </is>
      </c>
      <c r="C612" s="17" t="inlineStr">
        <is>
          <t>[rule] Where an error or omission in registering an instrument is shown to the satisfaction of the Registrar-General, he must issue written notice in the prescribed form, in the case of a deed to the parties to the deed, and order the error to be corrected.</t>
        </is>
      </c>
      <c r="D612" s="17" t="inlineStr">
        <is>
          <t>PROV-M098-001: Registration of Documents Ordinance s.35 (1)</t>
        </is>
      </c>
      <c r="E612" s="17" t="inlineStr">
        <is>
          <t>[verified, support direct]</t>
        </is>
      </c>
      <c r="F612" s="21" t="n"/>
      <c r="G612" s="21" t="n"/>
      <c r="H612" s="21" t="n"/>
      <c r="I612" s="21" t="n"/>
      <c r="J612" s="21" t="n"/>
      <c r="K612" s="17">
        <f>IF(OR(A612="",B612=""),"",IF(AND(F612&lt;&gt;"",H612&lt;&gt;"",J612&lt;&gt;""),"Complete","Pending"))</f>
        <v/>
      </c>
    </row>
    <row r="613">
      <c r="A613" s="19" t="inlineStr">
        <is>
          <t>M098-Q02</t>
        </is>
      </c>
      <c r="B613" s="19" t="inlineStr">
        <is>
          <t>CL-M098-Q02-004</t>
        </is>
      </c>
      <c r="C613" s="17" t="inlineStr">
        <is>
          <t>[rule] The correction is then made by the Registrar concerned in the prescribed manner and does not affect any priority accrued before the correction is made.</t>
        </is>
      </c>
      <c r="D613" s="17" t="inlineStr">
        <is>
          <t>PROV-M098-002: Registration of Documents Ordinance s.35 (1)</t>
        </is>
      </c>
      <c r="E613" s="17" t="inlineStr">
        <is>
          <t>[verified, support direct]</t>
        </is>
      </c>
      <c r="F613" s="21" t="n"/>
      <c r="G613" s="21" t="n"/>
      <c r="H613" s="21" t="n"/>
      <c r="I613" s="21" t="n"/>
      <c r="J613" s="21" t="n"/>
      <c r="K613" s="17">
        <f>IF(OR(A613="",B613=""),"",IF(AND(F613&lt;&gt;"",H613&lt;&gt;"",J613&lt;&gt;""),"Complete","Pending"))</f>
        <v/>
      </c>
    </row>
    <row r="614">
      <c r="A614" s="19" t="inlineStr">
        <is>
          <t>M098-Q02</t>
        </is>
      </c>
      <c r="B614" s="19" t="inlineStr">
        <is>
          <t>CL-M098-Q02-005</t>
        </is>
      </c>
      <c r="C614" s="17" t="inlineStr">
        <is>
          <t>[rule] Where notice to a party cannot be issued because of death, legal incapacity or any other sufficient cause, the Registrar-General may make the same correction order on proof to his satisfaction by any person interested.</t>
        </is>
      </c>
      <c r="D614" s="17" t="inlineStr">
        <is>
          <t>PROV-M098-003: Registration of Documents Ordinance s.35 (1) proviso</t>
        </is>
      </c>
      <c r="E614" s="17" t="inlineStr">
        <is>
          <t>[verified, support direct]</t>
        </is>
      </c>
      <c r="F614" s="21" t="n"/>
      <c r="G614" s="21" t="n"/>
      <c r="H614" s="21" t="n"/>
      <c r="I614" s="21" t="n"/>
      <c r="J614" s="21" t="n"/>
      <c r="K614" s="17">
        <f>IF(OR(A614="",B614=""),"",IF(AND(F614&lt;&gt;"",H614&lt;&gt;"",J614&lt;&gt;""),"Complete","Pending"))</f>
        <v/>
      </c>
    </row>
    <row r="615">
      <c r="A615" s="19" t="inlineStr">
        <is>
          <t>M098-Q02</t>
        </is>
      </c>
      <c r="B615" s="19" t="inlineStr">
        <is>
          <t>CL-M098-Q02-006</t>
        </is>
      </c>
      <c r="C615" s="17" t="inlineStr">
        <is>
          <t>[rule] The prescribed form of the notice and the prescribed manner of correction are fixed by regulation and by the forms in the Second Schedule, not by section 35 itself.</t>
        </is>
      </c>
      <c r="D615" s="17" t="inlineStr">
        <is>
          <t>PROV-M098-008: Registration of Documents Ordinance s.49 (1)
PROV-M098-009: Registration of Documents Ordinance s.50</t>
        </is>
      </c>
      <c r="E615" s="17" t="inlineStr">
        <is>
          <t>[verified, support combined]</t>
        </is>
      </c>
      <c r="F615" s="21" t="n"/>
      <c r="G615" s="21" t="n"/>
      <c r="H615" s="21" t="n"/>
      <c r="I615" s="21" t="n"/>
      <c r="J615" s="21" t="n"/>
      <c r="K615" s="17">
        <f>IF(OR(A615="",B615=""),"",IF(AND(F615&lt;&gt;"",H615&lt;&gt;"",J615&lt;&gt;""),"Complete","Pending"))</f>
        <v/>
      </c>
    </row>
    <row r="616">
      <c r="A616" s="19" t="inlineStr">
        <is>
          <t>M098-Q02</t>
        </is>
      </c>
      <c r="B616" s="19" t="inlineStr">
        <is>
          <t>CL-M098-Q02-007</t>
        </is>
      </c>
      <c r="C616" s="17" t="inlineStr">
        <is>
          <t>[application] Because Lot 3A is a divided portion of Lot 3 depicted in Plan No. 255, the registration of Deed No. 351 belonged in a separate folio opened in continuation of, and cross referenced to, Vol/Folio A 350/25 rather than in that folio itself.</t>
        </is>
      </c>
      <c r="D616" s="17" t="inlineStr">
        <is>
          <t>PROV-M098-004: Registration of Documents Ordinance s.14 (1)
PROV-M098-005: Registration of Documents Ordinance s.14 (1) proviso (a)
Facts: BG-1, BG-2, BG-3</t>
        </is>
      </c>
      <c r="E616" s="17" t="inlineStr">
        <is>
          <t>[verified, support combined]</t>
        </is>
      </c>
      <c r="F616" s="21" t="n"/>
      <c r="G616" s="21" t="n"/>
      <c r="H616" s="21" t="n"/>
      <c r="I616" s="21" t="n"/>
      <c r="J616" s="21" t="n"/>
      <c r="K616" s="17">
        <f>IF(OR(A616="",B616=""),"",IF(AND(F616&lt;&gt;"",H616&lt;&gt;"",J616&lt;&gt;""),"Complete","Pending"))</f>
        <v/>
      </c>
    </row>
    <row r="617">
      <c r="A617" s="19" t="inlineStr">
        <is>
          <t>M098-Q02</t>
        </is>
      </c>
      <c r="B617" s="19" t="inlineStr">
        <is>
          <t>CL-M098-Q02-008</t>
        </is>
      </c>
      <c r="C617" s="17" t="inlineStr">
        <is>
          <t>[application] Registering the sub division of Lot 3A in the parent folio Vol/Folio A 350/25 is therefore an error or omission made in registering an instrument for the purposes of section 35(1).</t>
        </is>
      </c>
      <c r="D617" s="17" t="inlineStr">
        <is>
          <t>PROV-M098-001: Registration of Documents Ordinance s.35 (1)
PROV-M098-004: Registration of Documents Ordinance s.14 (1)
PROV-M098-006: Registration of Documents Ordinance s.14 (2)
Facts: BG-6</t>
        </is>
      </c>
      <c r="E617" s="17" t="inlineStr">
        <is>
          <t>[verified, support combined]</t>
        </is>
      </c>
      <c r="F617" s="21" t="n"/>
      <c r="G617" s="21" t="n"/>
      <c r="H617" s="21" t="n"/>
      <c r="I617" s="21" t="n"/>
      <c r="J617" s="21" t="n"/>
      <c r="K617" s="17">
        <f>IF(OR(A617="",B617=""),"",IF(AND(F617&lt;&gt;"",H617&lt;&gt;"",J617&lt;&gt;""),"Complete","Pending"))</f>
        <v/>
      </c>
    </row>
    <row r="618">
      <c r="A618" s="19" t="inlineStr">
        <is>
          <t>M098-Q02</t>
        </is>
      </c>
      <c r="B618" s="19" t="inlineStr">
        <is>
          <t>CL-M098-Q02-009</t>
        </is>
      </c>
      <c r="C618" s="17" t="inlineStr">
        <is>
          <t>[application] A person interested, such as Dininda Perera or the party who presented the lease, must first apply to the Registrar-General of Lands through the Homagama Land Registry and show the error to his satisfaction, producing Deed No. 351, Plan No. 251, Plan No. 255 and an extract of Vol/Folio A 350/25.</t>
        </is>
      </c>
      <c r="D618" s="17" t="inlineStr">
        <is>
          <t>PROV-M098-001: Registration of Documents Ordinance s.35 (1)
PROV-M098-007: Registration of Documents Ordinance s.2 (6)
Facts: BG-1, BG-3, BG-6</t>
        </is>
      </c>
      <c r="E618" s="17" t="inlineStr">
        <is>
          <t>[disputed, support combined]</t>
        </is>
      </c>
      <c r="F618" s="21" t="n"/>
      <c r="G618" s="21" t="n"/>
      <c r="H618" s="21" t="n"/>
      <c r="I618" s="21" t="n"/>
      <c r="J618" s="21" t="n"/>
      <c r="K618" s="17">
        <f>IF(OR(A618="",B618=""),"",IF(AND(F618&lt;&gt;"",H618&lt;&gt;"",J618&lt;&gt;""),"Complete","Pending"))</f>
        <v/>
      </c>
    </row>
    <row r="619">
      <c r="A619" s="19" t="inlineStr">
        <is>
          <t>M098-Q02</t>
        </is>
      </c>
      <c r="B619" s="19" t="inlineStr">
        <is>
          <t>CL-M098-Q02-010</t>
        </is>
      </c>
      <c r="C619" s="17" t="inlineStr">
        <is>
          <t>[application] The Registrar-General, if satisfied, issues notice in the prescribed form to the parties to Deed No. 351, namely the vendor and Dininda Perera, and orders the correction.</t>
        </is>
      </c>
      <c r="D619" s="17" t="inlineStr">
        <is>
          <t>PROV-M098-001: Registration of Documents Ordinance s.35 (1)
Facts: BG-3</t>
        </is>
      </c>
      <c r="E619" s="17" t="inlineStr">
        <is>
          <t>[verified, support direct]</t>
        </is>
      </c>
      <c r="F619" s="21" t="n"/>
      <c r="G619" s="21" t="n"/>
      <c r="H619" s="21" t="n"/>
      <c r="I619" s="21" t="n"/>
      <c r="J619" s="21" t="n"/>
      <c r="K619" s="17">
        <f>IF(OR(A619="",B619=""),"",IF(AND(F619&lt;&gt;"",H619&lt;&gt;"",J619&lt;&gt;""),"Complete","Pending"))</f>
        <v/>
      </c>
    </row>
    <row r="620">
      <c r="A620" s="19" t="inlineStr">
        <is>
          <t>M098-Q02</t>
        </is>
      </c>
      <c r="B620" s="19" t="inlineStr">
        <is>
          <t>CL-M098-Q02-011</t>
        </is>
      </c>
      <c r="C620" s="17" t="inlineStr">
        <is>
          <t>[application] The Registrar of Lands, Homagama, then carries the registration of Lot 3A into a separate folio cross referenced to Vol/Folio A 350/25, without disturbing priorities accrued before the correction, after which the lease to Nimal Fernando can be presented again for registration.</t>
        </is>
      </c>
      <c r="D620" s="17" t="inlineStr">
        <is>
          <t>PROV-M098-002: Registration of Documents Ordinance s.35 (1)
PROV-M098-005: Registration of Documents Ordinance s.14 (1) proviso (a)
Facts: BG-5, BG-6</t>
        </is>
      </c>
      <c r="E620" s="17" t="inlineStr">
        <is>
          <t>[verified, support combined]</t>
        </is>
      </c>
      <c r="F620" s="21" t="n"/>
      <c r="G620" s="21" t="n"/>
      <c r="H620" s="21" t="n"/>
      <c r="I620" s="21" t="n"/>
      <c r="J620" s="21" t="n"/>
      <c r="K620" s="17">
        <f>IF(OR(A620="",B620=""),"",IF(AND(F620&lt;&gt;"",H620&lt;&gt;"",J620&lt;&gt;""),"Complete","Pending"))</f>
        <v/>
      </c>
    </row>
    <row r="621">
      <c r="A621" s="19" t="inlineStr">
        <is>
          <t>M098-Q02</t>
        </is>
      </c>
      <c r="B621" s="19" t="inlineStr">
        <is>
          <t>CL-M098-Q02-012</t>
        </is>
      </c>
      <c r="C621" s="17" t="inlineStr">
        <is>
          <t>[conclusion] The correction is obtained administratively under section 35(1) of the Registration of Documents Ordinance, by application to the Registrar-General, notice in the prescribed form to the parties to the deed, an order to correct, and correction by the Registrar concerned in the prescribed manner, and no court order is required.</t>
        </is>
      </c>
      <c r="D621" s="17" t="inlineStr">
        <is>
          <t>PROV-M098-001: Registration of Documents Ordinance s.35 (1)
PROV-M098-002: Registration of Documents Ordinance s.35 (1)
Facts: BG-6</t>
        </is>
      </c>
      <c r="E621" s="17" t="inlineStr">
        <is>
          <t>[verified, support combined]</t>
        </is>
      </c>
      <c r="F621" s="21" t="n"/>
      <c r="G621" s="21" t="n"/>
      <c r="H621" s="21" t="n"/>
      <c r="I621" s="21" t="n"/>
      <c r="J621" s="21" t="n"/>
      <c r="K621" s="17">
        <f>IF(OR(A621="",B621=""),"",IF(AND(F621&lt;&gt;"",H621&lt;&gt;"",J621&lt;&gt;""),"Complete","Pending"))</f>
        <v/>
      </c>
    </row>
    <row r="622">
      <c r="A622" s="19" t="inlineStr">
        <is>
          <t>M106-Q01</t>
        </is>
      </c>
      <c r="B622" s="19" t="inlineStr">
        <is>
          <t>CL-M106-Q01-001</t>
        </is>
      </c>
      <c r="C622" s="17" t="inlineStr">
        <is>
          <t>[rule] Intestate inheritance to immovable property in Sri Lanka is governed by the Matrimonial Rights and Inheritance Ordinance s.21(1), whatever the deceased's domicile, and the divided lots are immovable property within s.3.</t>
        </is>
      </c>
      <c r="D622" s="17" t="inlineStr">
        <is>
          <t>PROV-M106-003: Matrimonial Rights and Inheritance Ordinance s.21 (1)
PROV-M106-011: Matrimonial Rights and Inheritance Ordinance s.3</t>
        </is>
      </c>
      <c r="E622" s="17" t="inlineStr">
        <is>
          <t>[verified, support combined]</t>
        </is>
      </c>
      <c r="F622" s="21" t="n"/>
      <c r="G622" s="21" t="n"/>
      <c r="H622" s="21" t="n"/>
      <c r="I622" s="21" t="n"/>
      <c r="J622" s="21" t="n"/>
      <c r="K622" s="17">
        <f>IF(OR(A622="",B622=""),"",IF(AND(F622&lt;&gt;"",H622&lt;&gt;"",J622&lt;&gt;""),"Complete","Pending"))</f>
        <v/>
      </c>
    </row>
    <row r="623">
      <c r="A623" s="19" t="inlineStr">
        <is>
          <t>M106-Q01</t>
        </is>
      </c>
      <c r="B623" s="19" t="inlineStr">
        <is>
          <t>CL-M106-Q01-002</t>
        </is>
      </c>
      <c r="C623" s="17" t="inlineStr">
        <is>
          <t>[rule] The Ordinance's inheritance sections do not apply to Kandyans, Muslims or Tamils of the Northern Province subject to the Thesawalamai, and apply only to estates of persons dying after the 1876 proclamation who were then unmarried or married after it.</t>
        </is>
      </c>
      <c r="D623" s="17" t="inlineStr">
        <is>
          <t>PROV-M106-001: Matrimonial Rights and Inheritance Ordinance s.2
PROV-M106-002: Matrimonial Rights and Inheritance Ordinance s.20</t>
        </is>
      </c>
      <c r="E623" s="17" t="inlineStr">
        <is>
          <t>[verified, support combined]</t>
        </is>
      </c>
      <c r="F623" s="21" t="n"/>
      <c r="G623" s="21" t="n"/>
      <c r="H623" s="21" t="n"/>
      <c r="I623" s="21" t="n"/>
      <c r="J623" s="21" t="n"/>
      <c r="K623" s="17">
        <f>IF(OR(A623="",B623=""),"",IF(AND(F623&lt;&gt;"",H623&lt;&gt;"",J623&lt;&gt;""),"Complete","Pending"))</f>
        <v/>
      </c>
    </row>
    <row r="624">
      <c r="A624" s="19" t="inlineStr">
        <is>
          <t>M106-Q01</t>
        </is>
      </c>
      <c r="B624" s="19" t="inlineStr">
        <is>
          <t>CL-M106-Q01-003</t>
        </is>
      </c>
      <c r="C624" s="17" t="inlineStr">
        <is>
          <t>[rule] A surviving spouse inherits one-half of the property of a person who dies intestate.</t>
        </is>
      </c>
      <c r="D624" s="17" t="inlineStr">
        <is>
          <t>PROV-M106-004: Matrimonial Rights and Inheritance Ordinance s.22</t>
        </is>
      </c>
      <c r="E624" s="17" t="inlineStr">
        <is>
          <t>[verified, support direct]</t>
        </is>
      </c>
      <c r="F624" s="21" t="n"/>
      <c r="G624" s="21" t="n"/>
      <c r="H624" s="21" t="n"/>
      <c r="I624" s="21" t="n"/>
      <c r="J624" s="21" t="n"/>
      <c r="K624" s="17">
        <f>IF(OR(A624="",B624=""),"",IF(AND(F624&lt;&gt;"",H624&lt;&gt;"",J624&lt;&gt;""),"Complete","Pending"))</f>
        <v/>
      </c>
    </row>
    <row r="625">
      <c r="A625" s="19" t="inlineStr">
        <is>
          <t>M106-Q01</t>
        </is>
      </c>
      <c r="B625" s="19" t="inlineStr">
        <is>
          <t>CL-M106-Q01-004</t>
        </is>
      </c>
      <c r="C625" s="17" t="inlineStr">
        <is>
          <t>[rule] Subject to the surviving spouse's half, the right of inheritance runs in the order descendants, then ascendants, then collaterals.</t>
        </is>
      </c>
      <c r="D625" s="17" t="inlineStr">
        <is>
          <t>PROV-M106-005: Matrimonial Rights and Inheritance Ordinance s.23</t>
        </is>
      </c>
      <c r="E625" s="17" t="inlineStr">
        <is>
          <t>[verified, support direct]</t>
        </is>
      </c>
      <c r="F625" s="21" t="n"/>
      <c r="G625" s="21" t="n"/>
      <c r="H625" s="21" t="n"/>
      <c r="I625" s="21" t="n"/>
      <c r="J625" s="21" t="n"/>
      <c r="K625" s="17">
        <f>IF(OR(A625="",B625=""),"",IF(AND(F625&lt;&gt;"",H625&lt;&gt;"",J625&lt;&gt;""),"Complete","Pending"))</f>
        <v/>
      </c>
    </row>
    <row r="626">
      <c r="A626" s="19" t="inlineStr">
        <is>
          <t>M106-Q01</t>
        </is>
      </c>
      <c r="B626" s="19" t="inlineStr">
        <is>
          <t>CL-M106-Q01-005</t>
        </is>
      </c>
      <c r="C626" s="17" t="inlineStr">
        <is>
          <t>[rule] Children are preferent to all others in a parent's estate and take equally per capita, and heirs equally near in degree take per capita and not per stirpes.</t>
        </is>
      </c>
      <c r="D626" s="17" t="inlineStr">
        <is>
          <t>PROV-M106-006: Matrimonial Rights and Inheritance Ordinance s.24
PROV-M106-010: Matrimonial Rights and Inheritance Ordinance s.30</t>
        </is>
      </c>
      <c r="E626" s="17" t="inlineStr">
        <is>
          <t>[verified, support combined]</t>
        </is>
      </c>
      <c r="F626" s="21" t="n"/>
      <c r="G626" s="21" t="n"/>
      <c r="H626" s="21" t="n"/>
      <c r="I626" s="21" t="n"/>
      <c r="J626" s="21" t="n"/>
      <c r="K626" s="17">
        <f>IF(OR(A626="",B626=""),"",IF(AND(F626&lt;&gt;"",H626&lt;&gt;"",J626&lt;&gt;""),"Complete","Pending"))</f>
        <v/>
      </c>
    </row>
    <row r="627">
      <c r="A627" s="19" t="inlineStr">
        <is>
          <t>M106-Q01</t>
        </is>
      </c>
      <c r="B627" s="19" t="inlineStr">
        <is>
          <t>CL-M106-Q01-006</t>
        </is>
      </c>
      <c r="C627" s="17" t="inlineStr">
        <is>
          <t>[rule] Where an intestate leaves no descendants the estate goes to the parents, and where both parents have also failed it goes to the brothers and sisters, whether of the whole or half blood.</t>
        </is>
      </c>
      <c r="D627" s="17" t="inlineStr">
        <is>
          <t>PROV-M106-007: Matrimonial Rights and Inheritance Ordinance s.25
PROV-M106-008: Matrimonial Rights and Inheritance Ordinance s.26</t>
        </is>
      </c>
      <c r="E627" s="17" t="inlineStr">
        <is>
          <t>[verified, support combined]</t>
        </is>
      </c>
      <c r="F627" s="21" t="n"/>
      <c r="G627" s="21" t="n"/>
      <c r="H627" s="21" t="n"/>
      <c r="I627" s="21" t="n"/>
      <c r="J627" s="21" t="n"/>
      <c r="K627" s="17">
        <f>IF(OR(A627="",B627=""),"",IF(AND(F627&lt;&gt;"",H627&lt;&gt;"",J627&lt;&gt;""),"Complete","Pending"))</f>
        <v/>
      </c>
    </row>
    <row r="628">
      <c r="A628" s="19" t="inlineStr">
        <is>
          <t>M106-Q01</t>
        </is>
      </c>
      <c r="B628" s="19" t="inlineStr">
        <is>
          <t>CL-M106-Q01-007</t>
        </is>
      </c>
      <c r="C628" s="17" t="inlineStr">
        <is>
          <t>[rule] Where there are half-siblings on one side only, the full brothers and sisters take one half of the sibling portion in the first place and divide the other half with the half-siblings.</t>
        </is>
      </c>
      <c r="D628" s="17" t="inlineStr">
        <is>
          <t>PROV-M106-009: Matrimonial Rights and Inheritance Ordinance s.27</t>
        </is>
      </c>
      <c r="E628" s="17" t="inlineStr">
        <is>
          <t>[verified, support direct]</t>
        </is>
      </c>
      <c r="F628" s="21" t="n"/>
      <c r="G628" s="21" t="n"/>
      <c r="H628" s="21" t="n"/>
      <c r="I628" s="21" t="n"/>
      <c r="J628" s="21" t="n"/>
      <c r="K628" s="17">
        <f>IF(OR(A628="",B628=""),"",IF(AND(F628&lt;&gt;"",H628&lt;&gt;"",J628&lt;&gt;""),"Complete","Pending"))</f>
        <v/>
      </c>
    </row>
    <row r="629">
      <c r="A629" s="19" t="inlineStr">
        <is>
          <t>M106-Q01</t>
        </is>
      </c>
      <c r="B629" s="19" t="inlineStr">
        <is>
          <t>CL-M106-Q01-008</t>
        </is>
      </c>
      <c r="C629" s="17" t="inlineStr">
        <is>
          <t>[application] Nimal held 6/12 (a half share) of lots 6 and 7 at his death: 5/12 under the Final Decree of 21 August 1996 plus the 1/12 bought from Aruni by Deed of Transfer No. 346 of 6 June 1998.</t>
        </is>
      </c>
      <c r="D629" s="17" t="inlineStr">
        <is>
          <t>Facts: BG-1, BG-2</t>
        </is>
      </c>
      <c r="E629" s="17" t="inlineStr">
        <is>
          <t>[verified, support direct]</t>
        </is>
      </c>
      <c r="F629" s="21" t="n"/>
      <c r="G629" s="21" t="n"/>
      <c r="H629" s="21" t="n"/>
      <c r="I629" s="21" t="n"/>
      <c r="J629" s="21" t="n"/>
      <c r="K629" s="17">
        <f>IF(OR(A629="",B629=""),"",IF(AND(F629&lt;&gt;"",H629&lt;&gt;"",J629&lt;&gt;""),"Complete","Pending"))</f>
        <v/>
      </c>
    </row>
    <row r="630">
      <c r="A630" s="19" t="inlineStr">
        <is>
          <t>M106-Q01</t>
        </is>
      </c>
      <c r="B630" s="19" t="inlineStr">
        <is>
          <t>CL-M106-Q01-009</t>
        </is>
      </c>
      <c r="C630" s="17" t="inlineStr">
        <is>
          <t>[application] On Nimal's intestate death on 23 April 2008 his widow Nalini took one-half of his estate and his four children Achini, Amal, Bimal and Krishni took the other half in equal shares.</t>
        </is>
      </c>
      <c r="D630" s="17" t="inlineStr">
        <is>
          <t>PROV-M106-004: Matrimonial Rights and Inheritance Ordinance s.22
PROV-M106-005: Matrimonial Rights and Inheritance Ordinance s.23
PROV-M106-006: Matrimonial Rights and Inheritance Ordinance s.24
PROV-M106-010: Matrimonial Rights and Inheritance Ordinance s.30
Facts: BG-3, BG-4, BG-5</t>
        </is>
      </c>
      <c r="E630" s="17" t="inlineStr">
        <is>
          <t>[verified, support combined]</t>
        </is>
      </c>
      <c r="F630" s="21" t="n"/>
      <c r="G630" s="21" t="n"/>
      <c r="H630" s="21" t="n"/>
      <c r="I630" s="21" t="n"/>
      <c r="J630" s="21" t="n"/>
      <c r="K630" s="17">
        <f>IF(OR(A630="",B630=""),"",IF(AND(F630&lt;&gt;"",H630&lt;&gt;"",J630&lt;&gt;""),"Complete","Pending"))</f>
        <v/>
      </c>
    </row>
    <row r="631">
      <c r="A631" s="19" t="inlineStr">
        <is>
          <t>M106-Q01</t>
        </is>
      </c>
      <c r="B631" s="19" t="inlineStr">
        <is>
          <t>CL-M106-Q01-010</t>
        </is>
      </c>
      <c r="C631" s="17" t="inlineStr">
        <is>
          <t>[application] On Nalini's intestate death within a year her share passed wholly to her descendants, namely her three children Amal, Bimal and Krishni in equal shares; Achini, being Nimal's daughter by Malini and not a descendant of Nalini, took nothing from Nalini's estate.</t>
        </is>
      </c>
      <c r="D631" s="17" t="inlineStr">
        <is>
          <t>PROV-M106-005: Matrimonial Rights and Inheritance Ordinance s.23
PROV-M106-006: Matrimonial Rights and Inheritance Ordinance s.24
PROV-M106-010: Matrimonial Rights and Inheritance Ordinance s.30
Facts: BG-4, BG-6</t>
        </is>
      </c>
      <c r="E631" s="17" t="inlineStr">
        <is>
          <t>[verified, support combined]</t>
        </is>
      </c>
      <c r="F631" s="21" t="n"/>
      <c r="G631" s="21" t="n"/>
      <c r="H631" s="21" t="n"/>
      <c r="I631" s="21" t="n"/>
      <c r="J631" s="21" t="n"/>
      <c r="K631" s="17">
        <f>IF(OR(A631="",B631=""),"",IF(AND(F631&lt;&gt;"",H631&lt;&gt;"",J631&lt;&gt;""),"Complete","Pending"))</f>
        <v/>
      </c>
    </row>
    <row r="632">
      <c r="A632" s="19" t="inlineStr">
        <is>
          <t>M106-Q01</t>
        </is>
      </c>
      <c r="B632" s="19" t="inlineStr">
        <is>
          <t>CL-M106-Q01-011</t>
        </is>
      </c>
      <c r="C632" s="17" t="inlineStr">
        <is>
          <t>[application] Bimal died on 4 March 2010 married to Amali and issueless, so his descendants failed; both his parents had already died, so no ascendant survived and his estate passed to his collaterals after his widow's half.</t>
        </is>
      </c>
      <c r="D632" s="17" t="inlineStr">
        <is>
          <t>PROV-M106-004: Matrimonial Rights and Inheritance Ordinance s.22
PROV-M106-005: Matrimonial Rights and Inheritance Ordinance s.23
PROV-M106-007: Matrimonial Rights and Inheritance Ordinance s.25
PROV-M106-008: Matrimonial Rights and Inheritance Ordinance s.26
Facts: BG-3, BG-5, BG-7</t>
        </is>
      </c>
      <c r="E632" s="17" t="inlineStr">
        <is>
          <t>[verified, support combined]</t>
        </is>
      </c>
      <c r="F632" s="21" t="n"/>
      <c r="G632" s="21" t="n"/>
      <c r="H632" s="21" t="n"/>
      <c r="I632" s="21" t="n"/>
      <c r="J632" s="21" t="n"/>
      <c r="K632" s="17">
        <f>IF(OR(A632="",B632=""),"",IF(AND(F632&lt;&gt;"",H632&lt;&gt;"",J632&lt;&gt;""),"Complete","Pending"))</f>
        <v/>
      </c>
    </row>
    <row r="633">
      <c r="A633" s="19" t="inlineStr">
        <is>
          <t>M106-Q01</t>
        </is>
      </c>
      <c r="B633" s="19" t="inlineStr">
        <is>
          <t>CL-M106-Q01-012</t>
        </is>
      </c>
      <c r="C633" s="17" t="inlineStr">
        <is>
          <t>[application] Bimal's siblings were his full brother Amal and full sister Krishni and his paternal half-sister Achini, with no half-sibling on the mother's side, so the full siblings took one half of the sibling portion first and shared the other half with Achini.</t>
        </is>
      </c>
      <c r="D633" s="17" t="inlineStr">
        <is>
          <t>PROV-M106-008: Matrimonial Rights and Inheritance Ordinance s.26
PROV-M106-009: Matrimonial Rights and Inheritance Ordinance s.27
PROV-M106-010: Matrimonial Rights and Inheritance Ordinance s.30
Facts: BG-4, BG-6</t>
        </is>
      </c>
      <c r="E633" s="17" t="inlineStr">
        <is>
          <t>[verified, support combined]</t>
        </is>
      </c>
      <c r="F633" s="21" t="n"/>
      <c r="G633" s="21" t="n"/>
      <c r="H633" s="21" t="n"/>
      <c r="I633" s="21" t="n"/>
      <c r="J633" s="21" t="n"/>
      <c r="K633" s="17">
        <f>IF(OR(A633="",B633=""),"",IF(AND(F633&lt;&gt;"",H633&lt;&gt;"",J633&lt;&gt;""),"Complete","Pending"))</f>
        <v/>
      </c>
    </row>
    <row r="634">
      <c r="A634" s="19" t="inlineStr">
        <is>
          <t>M106-Q01</t>
        </is>
      </c>
      <c r="B634" s="19" t="inlineStr">
        <is>
          <t>CL-M106-Q01-013</t>
        </is>
      </c>
      <c r="C634" s="17" t="inlineStr">
        <is>
          <t>[conclusion] The pedigree of Nimal's half share is: Nimal, died intestate 23 April 2008, leaving widow Nalini (one-half) and children Achini, Amal, Bimal and Krishni (one-half between them); Nalini, died intestate within a year, leaving her share to Amal, Bimal and Krishni; Bimal, died 4 March 2010 issueless, leaving his share one-half to his widow Amali and one-half to his siblings Amal, Krishni and Achini in the proportions fixed by section 27.</t>
        </is>
      </c>
      <c r="D634" s="17" t="inlineStr">
        <is>
          <t>PROV-M106-004: Matrimonial Rights and Inheritance Ordinance s.22
PROV-M106-005: Matrimonial Rights and Inheritance Ordinance s.23
PROV-M106-006: Matrimonial Rights and Inheritance Ordinance s.24
PROV-M106-007: Matrimonial Rights and Inheritance Ordinance s.25
PROV-M106-008: Matrimonial Rights and Inheritance Ordinance s.26
PROV-M106-009: Matrimonial Rights and Inheritance Ordinance s.27
Facts: BG-3, BG-4, BG-5, BG-6, BG-7</t>
        </is>
      </c>
      <c r="E634" s="17" t="inlineStr">
        <is>
          <t>[verified, support combined]</t>
        </is>
      </c>
      <c r="F634" s="21" t="n"/>
      <c r="G634" s="21" t="n"/>
      <c r="H634" s="21" t="n"/>
      <c r="I634" s="21" t="n"/>
      <c r="J634" s="21" t="n"/>
      <c r="K634" s="17">
        <f>IF(OR(A634="",B634=""),"",IF(AND(F634&lt;&gt;"",H634&lt;&gt;"",J634&lt;&gt;""),"Complete","Pending"))</f>
        <v/>
      </c>
    </row>
    <row r="635">
      <c r="A635" s="19" t="inlineStr">
        <is>
          <t>M106-Q01</t>
        </is>
      </c>
      <c r="B635" s="19" t="inlineStr">
        <is>
          <t>CL-M106-Q01-014</t>
        </is>
      </c>
      <c r="C635" s="17" t="inlineStr">
        <is>
          <t>[conclusion] The present owners of the land are Sunil and Kusum, whose original shares are unaffected, together with Amal, Krishni, Achini and Amali as the heirs in Nimal's line.</t>
        </is>
      </c>
      <c r="D635" s="17" t="inlineStr">
        <is>
          <t>PROV-M106-006: Matrimonial Rights and Inheritance Ordinance s.24
PROV-M106-009: Matrimonial Rights and Inheritance Ordinance s.27
Facts: BG-1, BG-7</t>
        </is>
      </c>
      <c r="E635" s="17" t="inlineStr">
        <is>
          <t>[verified, support combined]</t>
        </is>
      </c>
      <c r="F635" s="21" t="n"/>
      <c r="G635" s="21" t="n"/>
      <c r="H635" s="21" t="n"/>
      <c r="I635" s="21" t="n"/>
      <c r="J635" s="21" t="n"/>
      <c r="K635" s="17">
        <f>IF(OR(A635="",B635=""),"",IF(AND(F635&lt;&gt;"",H635&lt;&gt;"",J635&lt;&gt;""),"Complete","Pending"))</f>
        <v/>
      </c>
    </row>
    <row r="636">
      <c r="A636" s="19" t="inlineStr">
        <is>
          <t>M106-Q01</t>
        </is>
      </c>
      <c r="B636" s="19" t="inlineStr">
        <is>
          <t>CL-M106-Q01-015</t>
        </is>
      </c>
      <c r="C636" s="17" t="inlineStr">
        <is>
          <t>[application] The final step of the pedigree assumes that Bimal died intestate, which the scenario does not state expressly, and that Achini was born of a lawful marriage between Nimal and Malini.</t>
        </is>
      </c>
      <c r="D636" s="17" t="inlineStr">
        <is>
          <t>PROV-M106-003: Matrimonial Rights and Inheritance Ordinance s.21 (1)
Facts: BG-6, BG-7</t>
        </is>
      </c>
      <c r="E636" s="17" t="inlineStr">
        <is>
          <t>[disputed, support inferential]</t>
        </is>
      </c>
      <c r="F636" s="21" t="n"/>
      <c r="G636" s="21" t="n"/>
      <c r="H636" s="21" t="n"/>
      <c r="I636" s="21" t="n"/>
      <c r="J636" s="21" t="n"/>
      <c r="K636" s="17">
        <f>IF(OR(A636="",B636=""),"",IF(AND(F636&lt;&gt;"",H636&lt;&gt;"",J636&lt;&gt;""),"Complete","Pending"))</f>
        <v/>
      </c>
    </row>
    <row r="637">
      <c r="A637" s="19" t="inlineStr">
        <is>
          <t>M106-Q02</t>
        </is>
      </c>
      <c r="B637" s="19" t="inlineStr">
        <is>
          <t>CL-M106-Q02-001</t>
        </is>
      </c>
      <c r="C637" s="17" t="inlineStr">
        <is>
          <t>[rule] Intestate inheritance to immovable property in Sri Lanka is governed by the Matrimonial Rights and Inheritance Ordinance s.21(1), whatever the deceased's domicile, and the divided lots are immovable property within s.3.</t>
        </is>
      </c>
      <c r="D637" s="17" t="inlineStr">
        <is>
          <t>PROV-M106-003: Matrimonial Rights and Inheritance Ordinance s.21 (1)
PROV-M106-011: Matrimonial Rights and Inheritance Ordinance s.3</t>
        </is>
      </c>
      <c r="E637" s="17" t="inlineStr">
        <is>
          <t>[verified, support combined]</t>
        </is>
      </c>
      <c r="F637" s="21" t="n"/>
      <c r="G637" s="21" t="n"/>
      <c r="H637" s="21" t="n"/>
      <c r="I637" s="21" t="n"/>
      <c r="J637" s="21" t="n"/>
      <c r="K637" s="17">
        <f>IF(OR(A637="",B637=""),"",IF(AND(F637&lt;&gt;"",H637&lt;&gt;"",J637&lt;&gt;""),"Complete","Pending"))</f>
        <v/>
      </c>
    </row>
    <row r="638">
      <c r="A638" s="19" t="inlineStr">
        <is>
          <t>M106-Q02</t>
        </is>
      </c>
      <c r="B638" s="19" t="inlineStr">
        <is>
          <t>CL-M106-Q02-002</t>
        </is>
      </c>
      <c r="C638" s="17" t="inlineStr">
        <is>
          <t>[rule] The Ordinance's inheritance sections do not apply to Kandyans, Muslims or Tamils of the Northern Province subject to the Thesawalamai, and apply only to estates of persons dying after the 1876 proclamation who were then unmarried or married after it.</t>
        </is>
      </c>
      <c r="D638" s="17" t="inlineStr">
        <is>
          <t>PROV-M106-001: Matrimonial Rights and Inheritance Ordinance s.2
PROV-M106-002: Matrimonial Rights and Inheritance Ordinance s.20</t>
        </is>
      </c>
      <c r="E638" s="17" t="inlineStr">
        <is>
          <t>[verified, support combined]</t>
        </is>
      </c>
      <c r="F638" s="21" t="n"/>
      <c r="G638" s="21" t="n"/>
      <c r="H638" s="21" t="n"/>
      <c r="I638" s="21" t="n"/>
      <c r="J638" s="21" t="n"/>
      <c r="K638" s="17">
        <f>IF(OR(A638="",B638=""),"",IF(AND(F638&lt;&gt;"",H638&lt;&gt;"",J638&lt;&gt;""),"Complete","Pending"))</f>
        <v/>
      </c>
    </row>
    <row r="639">
      <c r="A639" s="19" t="inlineStr">
        <is>
          <t>M106-Q02</t>
        </is>
      </c>
      <c r="B639" s="19" t="inlineStr">
        <is>
          <t>CL-M106-Q02-003</t>
        </is>
      </c>
      <c r="C639" s="17" t="inlineStr">
        <is>
          <t>[rule] A surviving spouse inherits one-half of the property of a person who dies intestate.</t>
        </is>
      </c>
      <c r="D639" s="17" t="inlineStr">
        <is>
          <t>PROV-M106-004: Matrimonial Rights and Inheritance Ordinance s.22</t>
        </is>
      </c>
      <c r="E639" s="17" t="inlineStr">
        <is>
          <t>[verified, support direct]</t>
        </is>
      </c>
      <c r="F639" s="21" t="n"/>
      <c r="G639" s="21" t="n"/>
      <c r="H639" s="21" t="n"/>
      <c r="I639" s="21" t="n"/>
      <c r="J639" s="21" t="n"/>
      <c r="K639" s="17">
        <f>IF(OR(A639="",B639=""),"",IF(AND(F639&lt;&gt;"",H639&lt;&gt;"",J639&lt;&gt;""),"Complete","Pending"))</f>
        <v/>
      </c>
    </row>
    <row r="640">
      <c r="A640" s="19" t="inlineStr">
        <is>
          <t>M106-Q02</t>
        </is>
      </c>
      <c r="B640" s="19" t="inlineStr">
        <is>
          <t>CL-M106-Q02-004</t>
        </is>
      </c>
      <c r="C640" s="17" t="inlineStr">
        <is>
          <t>[rule] Subject to the surviving spouse's half, the right of inheritance runs in the order descendants, then ascendants, then collaterals.</t>
        </is>
      </c>
      <c r="D640" s="17" t="inlineStr">
        <is>
          <t>PROV-M106-005: Matrimonial Rights and Inheritance Ordinance s.23</t>
        </is>
      </c>
      <c r="E640" s="17" t="inlineStr">
        <is>
          <t>[verified, support direct]</t>
        </is>
      </c>
      <c r="F640" s="21" t="n"/>
      <c r="G640" s="21" t="n"/>
      <c r="H640" s="21" t="n"/>
      <c r="I640" s="21" t="n"/>
      <c r="J640" s="21" t="n"/>
      <c r="K640" s="17">
        <f>IF(OR(A640="",B640=""),"",IF(AND(F640&lt;&gt;"",H640&lt;&gt;"",J640&lt;&gt;""),"Complete","Pending"))</f>
        <v/>
      </c>
    </row>
    <row r="641">
      <c r="A641" s="19" t="inlineStr">
        <is>
          <t>M106-Q02</t>
        </is>
      </c>
      <c r="B641" s="19" t="inlineStr">
        <is>
          <t>CL-M106-Q02-005</t>
        </is>
      </c>
      <c r="C641" s="17" t="inlineStr">
        <is>
          <t>[rule] Children are preferent to all others in a parent's estate and take equally per capita, and heirs equally near in degree take per capita and not per stirpes.</t>
        </is>
      </c>
      <c r="D641" s="17" t="inlineStr">
        <is>
          <t>PROV-M106-006: Matrimonial Rights and Inheritance Ordinance s.24
PROV-M106-010: Matrimonial Rights and Inheritance Ordinance s.30</t>
        </is>
      </c>
      <c r="E641" s="17" t="inlineStr">
        <is>
          <t>[verified, support combined]</t>
        </is>
      </c>
      <c r="F641" s="21" t="n"/>
      <c r="G641" s="21" t="n"/>
      <c r="H641" s="21" t="n"/>
      <c r="I641" s="21" t="n"/>
      <c r="J641" s="21" t="n"/>
      <c r="K641" s="17">
        <f>IF(OR(A641="",B641=""),"",IF(AND(F641&lt;&gt;"",H641&lt;&gt;"",J641&lt;&gt;""),"Complete","Pending"))</f>
        <v/>
      </c>
    </row>
    <row r="642">
      <c r="A642" s="19" t="inlineStr">
        <is>
          <t>M106-Q02</t>
        </is>
      </c>
      <c r="B642" s="19" t="inlineStr">
        <is>
          <t>CL-M106-Q02-006</t>
        </is>
      </c>
      <c r="C642" s="17" t="inlineStr">
        <is>
          <t>[rule] Where an intestate leaves no descendants the estate goes to the parents, and where both parents have also failed it goes to the brothers and sisters, whether of the whole or half blood.</t>
        </is>
      </c>
      <c r="D642" s="17" t="inlineStr">
        <is>
          <t>PROV-M106-007: Matrimonial Rights and Inheritance Ordinance s.25
PROV-M106-008: Matrimonial Rights and Inheritance Ordinance s.26</t>
        </is>
      </c>
      <c r="E642" s="17" t="inlineStr">
        <is>
          <t>[verified, support combined]</t>
        </is>
      </c>
      <c r="F642" s="21" t="n"/>
      <c r="G642" s="21" t="n"/>
      <c r="H642" s="21" t="n"/>
      <c r="I642" s="21" t="n"/>
      <c r="J642" s="21" t="n"/>
      <c r="K642" s="17">
        <f>IF(OR(A642="",B642=""),"",IF(AND(F642&lt;&gt;"",H642&lt;&gt;"",J642&lt;&gt;""),"Complete","Pending"))</f>
        <v/>
      </c>
    </row>
    <row r="643">
      <c r="A643" s="19" t="inlineStr">
        <is>
          <t>M106-Q02</t>
        </is>
      </c>
      <c r="B643" s="19" t="inlineStr">
        <is>
          <t>CL-M106-Q02-007</t>
        </is>
      </c>
      <c r="C643" s="17" t="inlineStr">
        <is>
          <t>[rule] Where there are half-siblings on one side only, the full brothers and sisters take one half of the sibling portion in the first place and divide the other half with the half-siblings.</t>
        </is>
      </c>
      <c r="D643" s="17" t="inlineStr">
        <is>
          <t>PROV-M106-009: Matrimonial Rights and Inheritance Ordinance s.27</t>
        </is>
      </c>
      <c r="E643" s="17" t="inlineStr">
        <is>
          <t>[verified, support direct]</t>
        </is>
      </c>
      <c r="F643" s="21" t="n"/>
      <c r="G643" s="21" t="n"/>
      <c r="H643" s="21" t="n"/>
      <c r="I643" s="21" t="n"/>
      <c r="J643" s="21" t="n"/>
      <c r="K643" s="17">
        <f>IF(OR(A643="",B643=""),"",IF(AND(F643&lt;&gt;"",H643&lt;&gt;"",J643&lt;&gt;""),"Complete","Pending"))</f>
        <v/>
      </c>
    </row>
    <row r="644">
      <c r="A644" s="19" t="inlineStr">
        <is>
          <t>M106-Q02</t>
        </is>
      </c>
      <c r="B644" s="19" t="inlineStr">
        <is>
          <t>CL-M106-Q02-008</t>
        </is>
      </c>
      <c r="C644" s="17" t="inlineStr">
        <is>
          <t>[application] Nimal held 6/12 (a half share) of lots 6 and 7 at his death: 5/12 under the Final Decree of 21 August 1996 plus the 1/12 bought from Aruni by Deed of Transfer No. 346 of 6 June 1998.</t>
        </is>
      </c>
      <c r="D644" s="17" t="inlineStr">
        <is>
          <t>Facts: BG-1, BG-2</t>
        </is>
      </c>
      <c r="E644" s="17" t="inlineStr">
        <is>
          <t>[verified, support direct]</t>
        </is>
      </c>
      <c r="F644" s="21" t="n"/>
      <c r="G644" s="21" t="n"/>
      <c r="H644" s="21" t="n"/>
      <c r="I644" s="21" t="n"/>
      <c r="J644" s="21" t="n"/>
      <c r="K644" s="17">
        <f>IF(OR(A644="",B644=""),"",IF(AND(F644&lt;&gt;"",H644&lt;&gt;"",J644&lt;&gt;""),"Complete","Pending"))</f>
        <v/>
      </c>
    </row>
    <row r="645">
      <c r="A645" s="19" t="inlineStr">
        <is>
          <t>M106-Q02</t>
        </is>
      </c>
      <c r="B645" s="19" t="inlineStr">
        <is>
          <t>CL-M106-Q02-009</t>
        </is>
      </c>
      <c r="C645" s="17" t="inlineStr">
        <is>
          <t>[application] On Nimal's intestate death on 23 April 2008 his widow Nalini took one-half of his estate and his four children Achini, Amal, Bimal and Krishni took the other half in equal shares.</t>
        </is>
      </c>
      <c r="D645" s="17" t="inlineStr">
        <is>
          <t>PROV-M106-004: Matrimonial Rights and Inheritance Ordinance s.22
PROV-M106-005: Matrimonial Rights and Inheritance Ordinance s.23
PROV-M106-006: Matrimonial Rights and Inheritance Ordinance s.24
PROV-M106-010: Matrimonial Rights and Inheritance Ordinance s.30
Facts: BG-3, BG-4, BG-5</t>
        </is>
      </c>
      <c r="E645" s="17" t="inlineStr">
        <is>
          <t>[verified, support combined]</t>
        </is>
      </c>
      <c r="F645" s="21" t="n"/>
      <c r="G645" s="21" t="n"/>
      <c r="H645" s="21" t="n"/>
      <c r="I645" s="21" t="n"/>
      <c r="J645" s="21" t="n"/>
      <c r="K645" s="17">
        <f>IF(OR(A645="",B645=""),"",IF(AND(F645&lt;&gt;"",H645&lt;&gt;"",J645&lt;&gt;""),"Complete","Pending"))</f>
        <v/>
      </c>
    </row>
    <row r="646">
      <c r="A646" s="19" t="inlineStr">
        <is>
          <t>M106-Q02</t>
        </is>
      </c>
      <c r="B646" s="19" t="inlineStr">
        <is>
          <t>CL-M106-Q02-010</t>
        </is>
      </c>
      <c r="C646" s="17" t="inlineStr">
        <is>
          <t>[application] On Nalini's intestate death within a year her share passed wholly to her descendants, namely her three children Amal, Bimal and Krishni in equal shares; Achini, being Nimal's daughter by Malini and not a descendant of Nalini, took nothing from Nalini's estate.</t>
        </is>
      </c>
      <c r="D646" s="17" t="inlineStr">
        <is>
          <t>PROV-M106-005: Matrimonial Rights and Inheritance Ordinance s.23
PROV-M106-006: Matrimonial Rights and Inheritance Ordinance s.24
PROV-M106-010: Matrimonial Rights and Inheritance Ordinance s.30
Facts: BG-4, BG-6</t>
        </is>
      </c>
      <c r="E646" s="17" t="inlineStr">
        <is>
          <t>[verified, support combined]</t>
        </is>
      </c>
      <c r="F646" s="21" t="n"/>
      <c r="G646" s="21" t="n"/>
      <c r="H646" s="21" t="n"/>
      <c r="I646" s="21" t="n"/>
      <c r="J646" s="21" t="n"/>
      <c r="K646" s="17">
        <f>IF(OR(A646="",B646=""),"",IF(AND(F646&lt;&gt;"",H646&lt;&gt;"",J646&lt;&gt;""),"Complete","Pending"))</f>
        <v/>
      </c>
    </row>
    <row r="647">
      <c r="A647" s="19" t="inlineStr">
        <is>
          <t>M106-Q02</t>
        </is>
      </c>
      <c r="B647" s="19" t="inlineStr">
        <is>
          <t>CL-M106-Q02-011</t>
        </is>
      </c>
      <c r="C647" s="17" t="inlineStr">
        <is>
          <t>[application] Bimal died on 4 March 2010 married to Amali and issueless, so his descendants failed; both his parents had already died, so no ascendant survived and his estate passed to his collaterals after his widow's half.</t>
        </is>
      </c>
      <c r="D647" s="17" t="inlineStr">
        <is>
          <t>PROV-M106-004: Matrimonial Rights and Inheritance Ordinance s.22
PROV-M106-005: Matrimonial Rights and Inheritance Ordinance s.23
PROV-M106-007: Matrimonial Rights and Inheritance Ordinance s.25
PROV-M106-008: Matrimonial Rights and Inheritance Ordinance s.26
Facts: BG-3, BG-5, BG-7</t>
        </is>
      </c>
      <c r="E647" s="17" t="inlineStr">
        <is>
          <t>[verified, support combined]</t>
        </is>
      </c>
      <c r="F647" s="21" t="n"/>
      <c r="G647" s="21" t="n"/>
      <c r="H647" s="21" t="n"/>
      <c r="I647" s="21" t="n"/>
      <c r="J647" s="21" t="n"/>
      <c r="K647" s="17">
        <f>IF(OR(A647="",B647=""),"",IF(AND(F647&lt;&gt;"",H647&lt;&gt;"",J647&lt;&gt;""),"Complete","Pending"))</f>
        <v/>
      </c>
    </row>
    <row r="648">
      <c r="A648" s="19" t="inlineStr">
        <is>
          <t>M106-Q02</t>
        </is>
      </c>
      <c r="B648" s="19" t="inlineStr">
        <is>
          <t>CL-M106-Q02-012</t>
        </is>
      </c>
      <c r="C648" s="17" t="inlineStr">
        <is>
          <t>[application] Bimal's siblings were his full brother Amal and full sister Krishni and his paternal half-sister Achini, with no half-sibling on the mother's side, so the full siblings took one half of the sibling portion first and shared the other half with Achini.</t>
        </is>
      </c>
      <c r="D648" s="17" t="inlineStr">
        <is>
          <t>PROV-M106-008: Matrimonial Rights and Inheritance Ordinance s.26
PROV-M106-009: Matrimonial Rights and Inheritance Ordinance s.27
PROV-M106-010: Matrimonial Rights and Inheritance Ordinance s.30
Facts: BG-4, BG-6</t>
        </is>
      </c>
      <c r="E648" s="17" t="inlineStr">
        <is>
          <t>[verified, support combined]</t>
        </is>
      </c>
      <c r="F648" s="21" t="n"/>
      <c r="G648" s="21" t="n"/>
      <c r="H648" s="21" t="n"/>
      <c r="I648" s="21" t="n"/>
      <c r="J648" s="21" t="n"/>
      <c r="K648" s="17">
        <f>IF(OR(A648="",B648=""),"",IF(AND(F648&lt;&gt;"",H648&lt;&gt;"",J648&lt;&gt;""),"Complete","Pending"))</f>
        <v/>
      </c>
    </row>
    <row r="649">
      <c r="A649" s="19" t="inlineStr">
        <is>
          <t>M106-Q02</t>
        </is>
      </c>
      <c r="B649" s="19" t="inlineStr">
        <is>
          <t>CL-M106-Q02-013</t>
        </is>
      </c>
      <c r="C649" s="17" t="inlineStr">
        <is>
          <t>[application] Each of Nimal's four children took 1/16 of the land from his estate and Nalini took 1/4 of the land.</t>
        </is>
      </c>
      <c r="D649" s="17" t="inlineStr">
        <is>
          <t>PROV-M106-004: Matrimonial Rights and Inheritance Ordinance s.22
PROV-M106-006: Matrimonial Rights and Inheritance Ordinance s.24
Facts: BG-1, BG-2, BG-4</t>
        </is>
      </c>
      <c r="E649" s="17" t="inlineStr">
        <is>
          <t>[verified, support combined]</t>
        </is>
      </c>
      <c r="F649" s="21" t="n"/>
      <c r="G649" s="21" t="n"/>
      <c r="H649" s="21" t="n"/>
      <c r="I649" s="21" t="n"/>
      <c r="J649" s="21" t="n"/>
      <c r="K649" s="17">
        <f>IF(OR(A649="",B649=""),"",IF(AND(F649&lt;&gt;"",H649&lt;&gt;"",J649&lt;&gt;""),"Complete","Pending"))</f>
        <v/>
      </c>
    </row>
    <row r="650">
      <c r="A650" s="19" t="inlineStr">
        <is>
          <t>M106-Q02</t>
        </is>
      </c>
      <c r="B650" s="19" t="inlineStr">
        <is>
          <t>CL-M106-Q02-014</t>
        </is>
      </c>
      <c r="C650" s="17" t="inlineStr">
        <is>
          <t>[application] Nalini's 1/4 divided equally among Amal, Bimal and Krishni gave each of them a further 1/12, so that each held 7/48 of the land while Achini held 1/16.</t>
        </is>
      </c>
      <c r="D650" s="17" t="inlineStr">
        <is>
          <t>PROV-M106-006: Matrimonial Rights and Inheritance Ordinance s.24
PROV-M106-010: Matrimonial Rights and Inheritance Ordinance s.30
Facts: BG-6</t>
        </is>
      </c>
      <c r="E650" s="17" t="inlineStr">
        <is>
          <t>[verified, support combined]</t>
        </is>
      </c>
      <c r="F650" s="21" t="n"/>
      <c r="G650" s="21" t="n"/>
      <c r="H650" s="21" t="n"/>
      <c r="I650" s="21" t="n"/>
      <c r="J650" s="21" t="n"/>
      <c r="K650" s="17">
        <f>IF(OR(A650="",B650=""),"",IF(AND(F650&lt;&gt;"",H650&lt;&gt;"",J650&lt;&gt;""),"Complete","Pending"))</f>
        <v/>
      </c>
    </row>
    <row r="651">
      <c r="A651" s="19" t="inlineStr">
        <is>
          <t>M106-Q02</t>
        </is>
      </c>
      <c r="B651" s="19" t="inlineStr">
        <is>
          <t>CL-M106-Q02-015</t>
        </is>
      </c>
      <c r="C651" s="17" t="inlineStr">
        <is>
          <t>[application] Of Bimal's 7/48, Amali took 7/96 as surviving spouse and the remaining 7/96 went to the siblings, of which Amal and Krishni took 7/192 between them in equal shares of 7/384 each, and Amal, Krishni and Achini shared the other 7/192 equally at 7/576 each.</t>
        </is>
      </c>
      <c r="D651" s="17" t="inlineStr">
        <is>
          <t>PROV-M106-004: Matrimonial Rights and Inheritance Ordinance s.22
PROV-M106-009: Matrimonial Rights and Inheritance Ordinance s.27
PROV-M106-010: Matrimonial Rights and Inheritance Ordinance s.30
Facts: BG-7</t>
        </is>
      </c>
      <c r="E651" s="17" t="inlineStr">
        <is>
          <t>[verified, support combined]</t>
        </is>
      </c>
      <c r="F651" s="21" t="n"/>
      <c r="G651" s="21" t="n"/>
      <c r="H651" s="21" t="n"/>
      <c r="I651" s="21" t="n"/>
      <c r="J651" s="21" t="n"/>
      <c r="K651" s="17">
        <f>IF(OR(A651="",B651=""),"",IF(AND(F651&lt;&gt;"",H651&lt;&gt;"",J651&lt;&gt;""),"Complete","Pending"))</f>
        <v/>
      </c>
    </row>
    <row r="652">
      <c r="A652" s="19" t="inlineStr">
        <is>
          <t>M106-Q02</t>
        </is>
      </c>
      <c r="B652" s="19" t="inlineStr">
        <is>
          <t>CL-M106-Q02-016</t>
        </is>
      </c>
      <c r="C652" s="17" t="inlineStr">
        <is>
          <t>[conclusion] The shares presently owned in lots 6 and 7 are Sunil 5/12, Kusum 1/12, Amal 203/1152, Krishni 203/1152, Achini 86/1152 (43/576) and Amali 84/1152 (7/96), which together make up the whole land.</t>
        </is>
      </c>
      <c r="D652" s="17" t="inlineStr">
        <is>
          <t>PROV-M106-004: Matrimonial Rights and Inheritance Ordinance s.22
PROV-M106-006: Matrimonial Rights and Inheritance Ordinance s.24
PROV-M106-009: Matrimonial Rights and Inheritance Ordinance s.27
PROV-M106-010: Matrimonial Rights and Inheritance Ordinance s.30
Facts: BG-1, BG-2</t>
        </is>
      </c>
      <c r="E652" s="17" t="inlineStr">
        <is>
          <t>[verified, support combined]</t>
        </is>
      </c>
      <c r="F652" s="21" t="n"/>
      <c r="G652" s="21" t="n"/>
      <c r="H652" s="21" t="n"/>
      <c r="I652" s="21" t="n"/>
      <c r="J652" s="21" t="n"/>
      <c r="K652" s="17">
        <f>IF(OR(A652="",B652=""),"",IF(AND(F652&lt;&gt;"",H652&lt;&gt;"",J652&lt;&gt;""),"Complete","Pending"))</f>
        <v/>
      </c>
    </row>
    <row r="653">
      <c r="A653" s="19" t="inlineStr">
        <is>
          <t>M106-Q02</t>
        </is>
      </c>
      <c r="B653" s="19" t="inlineStr">
        <is>
          <t>CL-M106-Q02-017</t>
        </is>
      </c>
      <c r="C653" s="17" t="inlineStr">
        <is>
          <t>[conclusion] Expressed as fractions of Nimal's former half share alone, Amal and Krishni take 203/576 each, Achini 86/576 and Amali 84/576.</t>
        </is>
      </c>
      <c r="D653" s="17" t="inlineStr">
        <is>
          <t>PROV-M106-004: Matrimonial Rights and Inheritance Ordinance s.22
PROV-M106-006: Matrimonial Rights and Inheritance Ordinance s.24
PROV-M106-009: Matrimonial Rights and Inheritance Ordinance s.27
Facts: BG-2</t>
        </is>
      </c>
      <c r="E653" s="17" t="inlineStr">
        <is>
          <t>[verified, support combined]</t>
        </is>
      </c>
      <c r="F653" s="21" t="n"/>
      <c r="G653" s="21" t="n"/>
      <c r="H653" s="21" t="n"/>
      <c r="I653" s="21" t="n"/>
      <c r="J653" s="21" t="n"/>
      <c r="K653" s="17">
        <f>IF(OR(A653="",B653=""),"",IF(AND(F653&lt;&gt;"",H653&lt;&gt;"",J653&lt;&gt;""),"Complete","Pending"))</f>
        <v/>
      </c>
    </row>
    <row r="654">
      <c r="A654" s="19" t="inlineStr">
        <is>
          <t>M106-Q02</t>
        </is>
      </c>
      <c r="B654" s="19" t="inlineStr">
        <is>
          <t>CL-M106-Q02-018</t>
        </is>
      </c>
      <c r="C654" s="17" t="inlineStr">
        <is>
          <t>[application] The arithmetic assumes that Bimal died intestate, which the scenario does not state expressly, and that Achini was born of a lawful marriage between Nimal and Malini.</t>
        </is>
      </c>
      <c r="D654" s="17" t="inlineStr">
        <is>
          <t>PROV-M106-003: Matrimonial Rights and Inheritance Ordinance s.21 (1)
Facts: BG-6, BG-7</t>
        </is>
      </c>
      <c r="E654" s="17" t="inlineStr">
        <is>
          <t>[disputed, support inferential]</t>
        </is>
      </c>
      <c r="F654" s="21" t="n"/>
      <c r="G654" s="21" t="n"/>
      <c r="H654" s="21" t="n"/>
      <c r="I654" s="21" t="n"/>
      <c r="J654" s="21" t="n"/>
      <c r="K654" s="17">
        <f>IF(OR(A654="",B654=""),"",IF(AND(F654&lt;&gt;"",H654&lt;&gt;"",J654&lt;&gt;""),"Complete","Pending"))</f>
        <v/>
      </c>
    </row>
    <row r="655">
      <c r="A655" s="19" t="inlineStr">
        <is>
          <t>M108-Q01</t>
        </is>
      </c>
      <c r="B655" s="19" t="inlineStr">
        <is>
          <t>CL-M108-Q01-001</t>
        </is>
      </c>
      <c r="C655" s="17" t="inlineStr">
        <is>
          <t>[rule] Once a Condominium Plan is registered, so much of the land parcel as is not comprised in any condominium parcel is common elements, and the common elements are held by the owners of all the condominium parcels as tenants in common in proportion to their share parcels.</t>
        </is>
      </c>
      <c r="D655" s="17" t="inlineStr">
        <is>
          <t>PROV-M108-001: Apartment Ownership Law No. 11 of 1973 s.9 (1)
PROV-M108-011: Apartment Ownership Law No. 11 of 1973 s.26</t>
        </is>
      </c>
      <c r="E655" s="17" t="inlineStr">
        <is>
          <t>[verified, support combined]</t>
        </is>
      </c>
      <c r="F655" s="21" t="n"/>
      <c r="G655" s="21" t="n"/>
      <c r="H655" s="21" t="n"/>
      <c r="I655" s="21" t="n"/>
      <c r="J655" s="21" t="n"/>
      <c r="K655" s="17">
        <f>IF(OR(A655="",B655=""),"",IF(AND(F655&lt;&gt;"",H655&lt;&gt;"",J655&lt;&gt;""),"Complete","Pending"))</f>
        <v/>
      </c>
    </row>
    <row r="656">
      <c r="A656" s="19" t="inlineStr">
        <is>
          <t>M108-Q01</t>
        </is>
      </c>
      <c r="B656" s="19" t="inlineStr">
        <is>
          <t>CL-M108-Q01-002</t>
        </is>
      </c>
      <c r="C656" s="17" t="inlineStr">
        <is>
          <t>[rule] On registration each condominium parcel together with the common elements appurtenant to it is deemed to be absolutely owned by the person described in the registered plan as owner.</t>
        </is>
      </c>
      <c r="D656" s="17" t="inlineStr">
        <is>
          <t>PROV-M108-002: Apartment Ownership Law No. 11 of 1973 s.9 (5)</t>
        </is>
      </c>
      <c r="E656" s="17" t="inlineStr">
        <is>
          <t>[verified, support direct]</t>
        </is>
      </c>
      <c r="F656" s="21" t="n"/>
      <c r="G656" s="21" t="n"/>
      <c r="H656" s="21" t="n"/>
      <c r="I656" s="21" t="n"/>
      <c r="J656" s="21" t="n"/>
      <c r="K656" s="17">
        <f>IF(OR(A656="",B656=""),"",IF(AND(F656&lt;&gt;"",H656&lt;&gt;"",J656&lt;&gt;""),"Complete","Pending"))</f>
        <v/>
      </c>
    </row>
    <row r="657">
      <c r="A657" s="19" t="inlineStr">
        <is>
          <t>M108-Q01</t>
        </is>
      </c>
      <c r="B657" s="19" t="inlineStr">
        <is>
          <t>CL-M108-Q01-003</t>
        </is>
      </c>
      <c r="C657" s="17" t="inlineStr">
        <is>
          <t>[rule] No share in the common elements of a registered Condominium Property may be disposed of or otherwise dealt with except as appurtenant to a condominium parcel of that property, and part of the common elements can pass only on a special resolution of the owners of all the parcels directing the management corporation to transfer it.</t>
        </is>
      </c>
      <c r="D657" s="17" t="inlineStr">
        <is>
          <t>PROV-M108-003: Apartment Ownership Law No. 11 of 1973 s.11
PROV-M108-009: Apartment Ownership Law No. 11 of 1973 s.16 (1)</t>
        </is>
      </c>
      <c r="E657" s="17" t="inlineStr">
        <is>
          <t>[verified, support combined]</t>
        </is>
      </c>
      <c r="F657" s="21" t="n"/>
      <c r="G657" s="21" t="n"/>
      <c r="H657" s="21" t="n"/>
      <c r="I657" s="21" t="n"/>
      <c r="J657" s="21" t="n"/>
      <c r="K657" s="17">
        <f>IF(OR(A657="",B657=""),"",IF(AND(F657&lt;&gt;"",H657&lt;&gt;"",J657&lt;&gt;""),"Complete","Pending"))</f>
        <v/>
      </c>
    </row>
    <row r="658">
      <c r="A658" s="19" t="inlineStr">
        <is>
          <t>M108-Q01</t>
        </is>
      </c>
      <c r="B658" s="19" t="inlineStr">
        <is>
          <t>CL-M108-Q01-004</t>
        </is>
      </c>
      <c r="C658" s="17" t="inlineStr">
        <is>
          <t>[rule] A deed that purports to declare a right, title or interest in land is an instrument affecting land for the purposes of the Registration of Documents Ordinance, and its executant or a person claiming a benefit under it may present it for registration.</t>
        </is>
      </c>
      <c r="D658" s="17" t="inlineStr">
        <is>
          <t>PROV-M108-006: Registration of Documents Ordinance No. 23 of 1927 s.8 (b)
PROV-M108-007: Registration of Documents Ordinance No. 23 of 1927 s.26 (1)</t>
        </is>
      </c>
      <c r="E658" s="17" t="inlineStr">
        <is>
          <t>[verified, support combined]</t>
        </is>
      </c>
      <c r="F658" s="21" t="n"/>
      <c r="G658" s="21" t="n"/>
      <c r="H658" s="21" t="n"/>
      <c r="I658" s="21" t="n"/>
      <c r="J658" s="21" t="n"/>
      <c r="K658" s="17">
        <f>IF(OR(A658="",B658=""),"",IF(AND(F658&lt;&gt;"",H658&lt;&gt;"",J658&lt;&gt;""),"Complete","Pending"))</f>
        <v/>
      </c>
    </row>
    <row r="659">
      <c r="A659" s="19" t="inlineStr">
        <is>
          <t>M108-Q01</t>
        </is>
      </c>
      <c r="B659" s="19" t="inlineStr">
        <is>
          <t>CL-M108-Q01-005</t>
        </is>
      </c>
      <c r="C659" s="17" t="inlineStr">
        <is>
          <t>[rule] The grounds on which a Registrar may or must refuse registration go to authority to present, form and mode of execution, stamp duty and fees, and not to whether the title asserted in the instrument is good.</t>
        </is>
      </c>
      <c r="D659" s="17" t="inlineStr">
        <is>
          <t>PROV-M108-008: Registration of Documents Ordinance No. 23 of 1927 s.36 (1)</t>
        </is>
      </c>
      <c r="E659" s="17" t="inlineStr">
        <is>
          <t>[verified, support direct]</t>
        </is>
      </c>
      <c r="F659" s="21" t="n"/>
      <c r="G659" s="21" t="n"/>
      <c r="H659" s="21" t="n"/>
      <c r="I659" s="21" t="n"/>
      <c r="J659" s="21" t="n"/>
      <c r="K659" s="17">
        <f>IF(OR(A659="",B659=""),"",IF(AND(F659&lt;&gt;"",H659&lt;&gt;"",J659&lt;&gt;""),"Complete","Pending"))</f>
        <v/>
      </c>
    </row>
    <row r="660">
      <c r="A660" s="19" t="inlineStr">
        <is>
          <t>M108-Q01</t>
        </is>
      </c>
      <c r="B660" s="19" t="inlineStr">
        <is>
          <t>CL-M108-Q01-006</t>
        </is>
      </c>
      <c r="C660" s="17" t="inlineStr">
        <is>
          <t>[rule] Registration under the Registration of Documents Ordinance cures no defect in an instrument and confers on it no effect or validity it would not otherwise have, apart from priority.</t>
        </is>
      </c>
      <c r="D660" s="17" t="inlineStr">
        <is>
          <t>PROV-M108-004: Registration of Documents Ordinance No. 23 of 1927 s.7 (4)</t>
        </is>
      </c>
      <c r="E660" s="17" t="inlineStr">
        <is>
          <t>[verified, support direct]</t>
        </is>
      </c>
      <c r="F660" s="21" t="n"/>
      <c r="G660" s="21" t="n"/>
      <c r="H660" s="21" t="n"/>
      <c r="I660" s="21" t="n"/>
      <c r="J660" s="21" t="n"/>
      <c r="K660" s="17">
        <f>IF(OR(A660="",B660=""),"",IF(AND(F660&lt;&gt;"",H660&lt;&gt;"",J660&lt;&gt;""),"Complete","Pending"))</f>
        <v/>
      </c>
    </row>
    <row r="661">
      <c r="A661" s="19" t="inlineStr">
        <is>
          <t>M108-Q01</t>
        </is>
      </c>
      <c r="B661" s="19" t="inlineStr">
        <is>
          <t>CL-M108-Q01-007</t>
        </is>
      </c>
      <c r="C661" s="17" t="inlineStr">
        <is>
          <t>[rule] Where the Apartment Ownership Law conflicts with another written law, including the Registration of Documents Ordinance, the Apartment Ownership Law prevails.</t>
        </is>
      </c>
      <c r="D661" s="17" t="inlineStr">
        <is>
          <t>PROV-M108-005: Apartment Ownership Law No. 11 of 1973 s.25</t>
        </is>
      </c>
      <c r="E661" s="17" t="inlineStr">
        <is>
          <t>[verified, support direct]</t>
        </is>
      </c>
      <c r="F661" s="21" t="n"/>
      <c r="G661" s="21" t="n"/>
      <c r="H661" s="21" t="n"/>
      <c r="I661" s="21" t="n"/>
      <c r="J661" s="21" t="n"/>
      <c r="K661" s="17">
        <f>IF(OR(A661="",B661=""),"",IF(AND(F661&lt;&gt;"",H661&lt;&gt;"",J661&lt;&gt;""),"Complete","Pending"))</f>
        <v/>
      </c>
    </row>
    <row r="662">
      <c r="A662" s="19" t="inlineStr">
        <is>
          <t>M108-Q01</t>
        </is>
      </c>
      <c r="B662" s="19" t="inlineStr">
        <is>
          <t>CL-M108-Q01-008</t>
        </is>
      </c>
      <c r="C662" s="17" t="inlineStr">
        <is>
          <t>[rule] The Partition Law does not apply to land or a building comprised in a registered Condominium Plan.</t>
        </is>
      </c>
      <c r="D662" s="17" t="inlineStr">
        <is>
          <t>PROV-M108-010: Apartment Ownership Law No. 11 of 1973 s.23</t>
        </is>
      </c>
      <c r="E662" s="17" t="inlineStr">
        <is>
          <t>[verified, support direct]</t>
        </is>
      </c>
      <c r="F662" s="21" t="n"/>
      <c r="G662" s="21" t="n"/>
      <c r="H662" s="21" t="n"/>
      <c r="I662" s="21" t="n"/>
      <c r="J662" s="21" t="n"/>
      <c r="K662" s="17">
        <f>IF(OR(A662="",B662=""),"",IF(AND(F662&lt;&gt;"",H662&lt;&gt;"",J662&lt;&gt;""),"Complete","Pending"))</f>
        <v/>
      </c>
    </row>
    <row r="663">
      <c r="A663" s="19" t="inlineStr">
        <is>
          <t>M108-Q01</t>
        </is>
      </c>
      <c r="B663" s="19" t="inlineStr">
        <is>
          <t>CL-M108-Q01-009</t>
        </is>
      </c>
      <c r="C663" s="17" t="inlineStr">
        <is>
          <t>[application] Because Condominium Plan No. 4127 was registered in 2011, the 32.5 perch land parcel on which the building stands is, apart from the condominium parcels themselves, common elements held by the owners of the parcels shown in that plan.</t>
        </is>
      </c>
      <c r="D663" s="17" t="inlineStr">
        <is>
          <t>PROV-M108-001: Apartment Ownership Law No. 11 of 1973 s.9 (1)
PROV-M108-011: Apartment Ownership Law No. 11 of 1973 s.26
Facts: FACT-M108-Q01-001</t>
        </is>
      </c>
      <c r="E663" s="17" t="inlineStr">
        <is>
          <t>[verified, support combined]</t>
        </is>
      </c>
      <c r="F663" s="21" t="n"/>
      <c r="G663" s="21" t="n"/>
      <c r="H663" s="21" t="n"/>
      <c r="I663" s="21" t="n"/>
      <c r="J663" s="21" t="n"/>
      <c r="K663" s="17">
        <f>IF(OR(A663="",B663=""),"",IF(AND(F663&lt;&gt;"",H663&lt;&gt;"",J663&lt;&gt;""),"Complete","Pending"))</f>
        <v/>
      </c>
    </row>
    <row r="664">
      <c r="A664" s="19" t="inlineStr">
        <is>
          <t>M108-Q01</t>
        </is>
      </c>
      <c r="B664" s="19" t="inlineStr">
        <is>
          <t>CL-M108-Q01-010</t>
        </is>
      </c>
      <c r="C664" s="17" t="inlineStr">
        <is>
          <t>[application] Gihan owns no condominium parcel in the building, so there is no parcel to which a share in the common elements could be appurtenant in his hands, and his Deed of Declaration is a dealing with a share in the common elements that section 11 forbids.</t>
        </is>
      </c>
      <c r="D664" s="17" t="inlineStr">
        <is>
          <t>PROV-M108-003: Apartment Ownership Law No. 11 of 1973 s.11
Facts: FACT-M108-Q01-002, FACT-M108-Q01-003</t>
        </is>
      </c>
      <c r="E664" s="17" t="inlineStr">
        <is>
          <t>[disputed, support combined]</t>
        </is>
      </c>
      <c r="F664" s="21" t="n"/>
      <c r="G664" s="21" t="n"/>
      <c r="H664" s="21" t="n"/>
      <c r="I664" s="21" t="n"/>
      <c r="J664" s="21" t="n"/>
      <c r="K664" s="17">
        <f>IF(OR(A664="",B664=""),"",IF(AND(F664&lt;&gt;"",H664&lt;&gt;"",J664&lt;&gt;""),"Complete","Pending"))</f>
        <v/>
      </c>
    </row>
    <row r="665">
      <c r="A665" s="19" t="inlineStr">
        <is>
          <t>M108-Q01</t>
        </is>
      </c>
      <c r="B665" s="19" t="inlineStr">
        <is>
          <t>CL-M108-Q01-011</t>
        </is>
      </c>
      <c r="C665" s="17" t="inlineStr">
        <is>
          <t>[application] No special resolution of the owners and no transfer by the management corporation has been made, so the only lawful route by which part of the common elements could have reached Gihan has not been used.</t>
        </is>
      </c>
      <c r="D665" s="17" t="inlineStr">
        <is>
          <t>PROV-M108-009: Apartment Ownership Law No. 11 of 1973 s.16 (1)
Facts: FACT-M108-Q01-004</t>
        </is>
      </c>
      <c r="E665" s="17" t="inlineStr">
        <is>
          <t>[verified, support combined]</t>
        </is>
      </c>
      <c r="F665" s="21" t="n"/>
      <c r="G665" s="21" t="n"/>
      <c r="H665" s="21" t="n"/>
      <c r="I665" s="21" t="n"/>
      <c r="J665" s="21" t="n"/>
      <c r="K665" s="17">
        <f>IF(OR(A665="",B665=""),"",IF(AND(F665&lt;&gt;"",H665&lt;&gt;"",J665&lt;&gt;""),"Complete","Pending"))</f>
        <v/>
      </c>
    </row>
    <row r="666">
      <c r="A666" s="19" t="inlineStr">
        <is>
          <t>M108-Q01</t>
        </is>
      </c>
      <c r="B666" s="19" t="inlineStr">
        <is>
          <t>CL-M108-Q01-012</t>
        </is>
      </c>
      <c r="C666" s="17" t="inlineStr">
        <is>
          <t>[application] Nothing in the Registration of Documents Ordinance obliges the Registrar to test Gihan's title before accepting the deed, so the deed may well be accepted and entered in the register, but that entry gives it no validity it lacks, and the prohibition in the Apartment Ownership Law prevails over the Ordinance in any event.</t>
        </is>
      </c>
      <c r="D666" s="17" t="inlineStr">
        <is>
          <t>PROV-M108-004: Registration of Documents Ordinance No. 23 of 1927 s.7 (4)
PROV-M108-005: Apartment Ownership Law No. 11 of 1973 s.25
PROV-M108-006: Registration of Documents Ordinance No. 23 of 1927 s.8 (b)
PROV-M108-007: Registration of Documents Ordinance No. 23 of 1927 s.26 (1)
PROV-M108-008: Registration of Documents Ordinance No. 23 of 1927 s.36 (1)
Facts: FACT-M108-Q01-003</t>
        </is>
      </c>
      <c r="E666" s="17" t="inlineStr">
        <is>
          <t>[disputed, support combined]</t>
        </is>
      </c>
      <c r="F666" s="21" t="n"/>
      <c r="G666" s="21" t="n"/>
      <c r="H666" s="21" t="n"/>
      <c r="I666" s="21" t="n"/>
      <c r="J666" s="21" t="n"/>
      <c r="K666" s="17">
        <f>IF(OR(A666="",B666=""),"",IF(AND(F666&lt;&gt;"",H666&lt;&gt;"",J666&lt;&gt;""),"Complete","Pending"))</f>
        <v/>
      </c>
    </row>
    <row r="667">
      <c r="A667" s="19" t="inlineStr">
        <is>
          <t>M108-Q01</t>
        </is>
      </c>
      <c r="B667" s="19" t="inlineStr">
        <is>
          <t>CL-M108-Q01-013</t>
        </is>
      </c>
      <c r="C667" s="17" t="inlineStr">
        <is>
          <t>[application] Gihan cannot follow the declaration with a partition action over the condominium land, because the Partition Law does not apply to land comprised in a registered Condominium Plan.</t>
        </is>
      </c>
      <c r="D667" s="17" t="inlineStr">
        <is>
          <t>PROV-M108-010: Apartment Ownership Law No. 11 of 1973 s.23
Facts: FACT-M108-Q01-001</t>
        </is>
      </c>
      <c r="E667" s="17" t="inlineStr">
        <is>
          <t>[verified, support combined]</t>
        </is>
      </c>
      <c r="F667" s="21" t="n"/>
      <c r="G667" s="21" t="n"/>
      <c r="H667" s="21" t="n"/>
      <c r="I667" s="21" t="n"/>
      <c r="J667" s="21" t="n"/>
      <c r="K667" s="17">
        <f>IF(OR(A667="",B667=""),"",IF(AND(F667&lt;&gt;"",H667&lt;&gt;"",J667&lt;&gt;""),"Complete","Pending"))</f>
        <v/>
      </c>
    </row>
    <row r="668">
      <c r="A668" s="19" t="inlineStr">
        <is>
          <t>M108-Q01</t>
        </is>
      </c>
      <c r="B668" s="19" t="inlineStr">
        <is>
          <t>CL-M108-Q01-014</t>
        </is>
      </c>
      <c r="C668" s="17" t="inlineStr">
        <is>
          <t>[conclusion] Gihan may have such a deed drawn and attested, and it may physically be accepted for registration under the Registration of Documents Ordinance, but it is of no legal effect: he acquires no half share in the land on which the condominium stands, and registration does not improve his position.</t>
        </is>
      </c>
      <c r="D668" s="17" t="inlineStr">
        <is>
          <t>PROV-M108-001: Apartment Ownership Law No. 11 of 1973 s.9 (1)
PROV-M108-002: Apartment Ownership Law No. 11 of 1973 s.9 (5)
PROV-M108-003: Apartment Ownership Law No. 11 of 1973 s.11
PROV-M108-004: Registration of Documents Ordinance No. 23 of 1927 s.7 (4)
PROV-M108-005: Apartment Ownership Law No. 11 of 1973 s.25
Facts: FACT-M108-Q01-002, FACT-M108-Q01-003, BG-1, BG-2</t>
        </is>
      </c>
      <c r="E668" s="17" t="inlineStr">
        <is>
          <t>[verified, support combined]</t>
        </is>
      </c>
      <c r="F668" s="21" t="n"/>
      <c r="G668" s="21" t="n"/>
      <c r="H668" s="21" t="n"/>
      <c r="I668" s="21" t="n"/>
      <c r="J668" s="21" t="n"/>
      <c r="K668" s="17">
        <f>IF(OR(A668="",B668=""),"",IF(AND(F668&lt;&gt;"",H668&lt;&gt;"",J668&lt;&gt;""),"Complete","Pending"))</f>
        <v/>
      </c>
    </row>
    <row r="669">
      <c r="A669" s="19" t="inlineStr">
        <is>
          <t>M112-Q01</t>
        </is>
      </c>
      <c r="B669" s="19" t="inlineStr">
        <is>
          <t>CL-M112-Q01-001</t>
        </is>
      </c>
      <c r="C669" s="17" t="inlineStr">
        <is>
          <t>[rule] A sale or transfer of immovable property is of no force in law unless the deed is in writing and attested by a licensed notary.</t>
        </is>
      </c>
      <c r="D669" s="17" t="inlineStr">
        <is>
          <t>PROV-M112-005: Prevention of Frauds Ordinance s.2 (1)</t>
        </is>
      </c>
      <c r="E669" s="17" t="inlineStr">
        <is>
          <t>[disputed, support direct]</t>
        </is>
      </c>
      <c r="F669" s="21" t="n"/>
      <c r="G669" s="21" t="n"/>
      <c r="H669" s="21" t="n"/>
      <c r="I669" s="21" t="n"/>
      <c r="J669" s="21" t="n"/>
      <c r="K669" s="17">
        <f>IF(OR(A669="",B669=""),"",IF(AND(F669&lt;&gt;"",H669&lt;&gt;"",J669&lt;&gt;""),"Complete","Pending"))</f>
        <v/>
      </c>
    </row>
    <row r="670">
      <c r="A670" s="19" t="inlineStr">
        <is>
          <t>M112-Q01</t>
        </is>
      </c>
      <c r="B670" s="19" t="inlineStr">
        <is>
          <t>CL-M112-Q01-002</t>
        </is>
      </c>
      <c r="C670" s="17" t="inlineStr">
        <is>
          <t>[rule] A notary may not authenticate or attest any deed in an area other than that in which he is authorised to practise, nor in, nor of a deed drawn in, a language other than that in which he is authorised to practise.</t>
        </is>
      </c>
      <c r="D670" s="17" t="inlineStr">
        <is>
          <t>PROV-M112-001: Notaries Ordinance s.31 rule (22)</t>
        </is>
      </c>
      <c r="E670" s="17" t="inlineStr">
        <is>
          <t>[verified, support direct]</t>
        </is>
      </c>
      <c r="F670" s="21" t="n"/>
      <c r="G670" s="21" t="n"/>
      <c r="H670" s="21" t="n"/>
      <c r="I670" s="21" t="n"/>
      <c r="J670" s="21" t="n"/>
      <c r="K670" s="17">
        <f>IF(OR(A670="",B670=""),"",IF(AND(F670&lt;&gt;"",H670&lt;&gt;"",J670&lt;&gt;""),"Complete","Pending"))</f>
        <v/>
      </c>
    </row>
    <row r="671">
      <c r="A671" s="19" t="inlineStr">
        <is>
          <t>M112-Q01</t>
        </is>
      </c>
      <c r="B671" s="19" t="inlineStr">
        <is>
          <t>CL-M112-Q01-003</t>
        </is>
      </c>
      <c r="C671" s="17" t="inlineStr">
        <is>
          <t>[rule] The area restriction in rule (22) attaches to the place at which the notary performs the attestation and to the language of the deed, and not to the district in which the land affected by the deed is situated.</t>
        </is>
      </c>
      <c r="D671" s="17" t="inlineStr">
        <is>
          <t>PROV-M112-001: Notaries Ordinance s.31 rule (22)
PROV-M112-006: Notaries Ordinance s.31 rule (16)(a)</t>
        </is>
      </c>
      <c r="E671" s="17" t="inlineStr">
        <is>
          <t>[verified, support combined]</t>
        </is>
      </c>
      <c r="F671" s="21" t="n"/>
      <c r="G671" s="21" t="n"/>
      <c r="H671" s="21" t="n"/>
      <c r="I671" s="21" t="n"/>
      <c r="J671" s="21" t="n"/>
      <c r="K671" s="17">
        <f>IF(OR(A671="",B671=""),"",IF(AND(F671&lt;&gt;"",H671&lt;&gt;"",J671&lt;&gt;""),"Complete","Pending"))</f>
        <v/>
      </c>
    </row>
    <row r="672">
      <c r="A672" s="19" t="inlineStr">
        <is>
          <t>M112-Q01</t>
        </is>
      </c>
      <c r="B672" s="19" t="inlineStr">
        <is>
          <t>CL-M112-Q01-004</t>
        </is>
      </c>
      <c r="C672" s="17" t="inlineStr">
        <is>
          <t>[rule] A warrant authorising a notary to practise in the judicial division in which he resides is deemed to authorise him to practise in the judicial zone in which he resides.</t>
        </is>
      </c>
      <c r="D672" s="17" t="inlineStr">
        <is>
          <t>PROV-M112-002: Notaries Ordinance s.4A</t>
        </is>
      </c>
      <c r="E672" s="17" t="inlineStr">
        <is>
          <t>[verified, support direct]</t>
        </is>
      </c>
      <c r="F672" s="21" t="n"/>
      <c r="G672" s="21" t="n"/>
      <c r="H672" s="21" t="n"/>
      <c r="I672" s="21" t="n"/>
      <c r="J672" s="21" t="n"/>
      <c r="K672" s="17">
        <f>IF(OR(A672="",B672=""),"",IF(AND(F672&lt;&gt;"",H672&lt;&gt;"",J672&lt;&gt;""),"Complete","Pending"))</f>
        <v/>
      </c>
    </row>
    <row r="673">
      <c r="A673" s="19" t="inlineStr">
        <is>
          <t>M112-Q01</t>
        </is>
      </c>
      <c r="B673" s="19" t="inlineStr">
        <is>
          <t>CL-M112-Q01-005</t>
        </is>
      </c>
      <c r="C673" s="17" t="inlineStr">
        <is>
          <t>[rule] The only disqualification in section 31 based on the notary's own connection with the deed is rule (13), which bars him from attesting a deed to which he is a party.</t>
        </is>
      </c>
      <c r="D673" s="17" t="inlineStr">
        <is>
          <t>PROV-M112-004: Notaries Ordinance s.31 rule (13)</t>
        </is>
      </c>
      <c r="E673" s="17" t="inlineStr">
        <is>
          <t>[verified, support direct]</t>
        </is>
      </c>
      <c r="F673" s="21" t="n"/>
      <c r="G673" s="21" t="n"/>
      <c r="H673" s="21" t="n"/>
      <c r="I673" s="21" t="n"/>
      <c r="J673" s="21" t="n"/>
      <c r="K673" s="17">
        <f>IF(OR(A673="",B673=""),"",IF(AND(F673&lt;&gt;"",H673&lt;&gt;"",J673&lt;&gt;""),"Complete","Pending"))</f>
        <v/>
      </c>
    </row>
    <row r="674">
      <c r="A674" s="19" t="inlineStr">
        <is>
          <t>M112-Q01</t>
        </is>
      </c>
      <c r="B674" s="19" t="inlineStr">
        <is>
          <t>CL-M112-Q01-006</t>
        </is>
      </c>
      <c r="C674" s="17" t="inlineStr">
        <is>
          <t>[rule] A notary may not attest a deed affecting land unless the deed embodies an accurate and clear description of the land showing its boundaries, extent and situation, specifying the district, and may not attest unless he has an assurance that the required stamp duty is provided.</t>
        </is>
      </c>
      <c r="D674" s="17" t="inlineStr">
        <is>
          <t>PROV-M112-006: Notaries Ordinance s.31 rule (16)(a)
PROV-M112-010: Notaries Ordinance s.31 rule (6)</t>
        </is>
      </c>
      <c r="E674" s="17" t="inlineStr">
        <is>
          <t>[verified, support combined]</t>
        </is>
      </c>
      <c r="F674" s="21" t="n"/>
      <c r="G674" s="21" t="n"/>
      <c r="H674" s="21" t="n"/>
      <c r="I674" s="21" t="n"/>
      <c r="J674" s="21" t="n"/>
      <c r="K674" s="17">
        <f>IF(OR(A674="",B674=""),"",IF(AND(F674&lt;&gt;"",H674&lt;&gt;"",J674&lt;&gt;""),"Complete","Pending"))</f>
        <v/>
      </c>
    </row>
    <row r="675">
      <c r="A675" s="19" t="inlineStr">
        <is>
          <t>M112-Q01</t>
        </is>
      </c>
      <c r="B675" s="19" t="inlineStr">
        <is>
          <t>CL-M112-Q01-007</t>
        </is>
      </c>
      <c r="C675" s="17" t="inlineStr">
        <is>
          <t>[application] Lal Peiris's warrant covers the Colombo judicial division in which he resides and therefore the Colombo judicial zone, and the deed is to be executed before him in Sinhala at his Colombo office, so the attestation takes place within the area and in the language in which he is authorised to practise.</t>
        </is>
      </c>
      <c r="D675" s="17" t="inlineStr">
        <is>
          <t>PROV-M112-001: Notaries Ordinance s.31 rule (22)
PROV-M112-002: Notaries Ordinance s.4A
PROV-M112-003: Notaries Ordinance s.9
PROV-M112-901: Notaries Ordinance s.31 rule (12)
Facts: FACT-M112-Q01-001, FACT-M112-Q01-003, BG-1</t>
        </is>
      </c>
      <c r="E675" s="17" t="inlineStr">
        <is>
          <t>[verified, support combined]</t>
        </is>
      </c>
      <c r="F675" s="21" t="n"/>
      <c r="G675" s="21" t="n"/>
      <c r="H675" s="21" t="n"/>
      <c r="I675" s="21" t="n"/>
      <c r="J675" s="21" t="n"/>
      <c r="K675" s="17">
        <f>IF(OR(A675="",B675=""),"",IF(AND(F675&lt;&gt;"",H675&lt;&gt;"",J675&lt;&gt;""),"Complete","Pending"))</f>
        <v/>
      </c>
    </row>
    <row r="676">
      <c r="A676" s="19" t="inlineStr">
        <is>
          <t>M112-Q01</t>
        </is>
      </c>
      <c r="B676" s="19" t="inlineStr">
        <is>
          <t>CL-M112-Q01-008</t>
        </is>
      </c>
      <c r="C676" s="17" t="inlineStr">
        <is>
          <t>[application] The situation of the land at Kumbalwella in the Matara District does not engage rule (22); it engages instead the requirement that the deed describe the land and specify its district.</t>
        </is>
      </c>
      <c r="D676" s="17" t="inlineStr">
        <is>
          <t>PROV-M112-001: Notaries Ordinance s.31 rule (22)
PROV-M112-006: Notaries Ordinance s.31 rule (16)(a)
Facts: FACT-M112-Q01-002, BG-2</t>
        </is>
      </c>
      <c r="E676" s="17" t="inlineStr">
        <is>
          <t>[verified, support combined]</t>
        </is>
      </c>
      <c r="F676" s="21" t="n"/>
      <c r="G676" s="21" t="n"/>
      <c r="H676" s="21" t="n"/>
      <c r="I676" s="21" t="n"/>
      <c r="J676" s="21" t="n"/>
      <c r="K676" s="17">
        <f>IF(OR(A676="",B676=""),"",IF(AND(F676&lt;&gt;"",H676&lt;&gt;"",J676&lt;&gt;""),"Complete","Pending"))</f>
        <v/>
      </c>
    </row>
    <row r="677">
      <c r="A677" s="19" t="inlineStr">
        <is>
          <t>M112-Q01</t>
        </is>
      </c>
      <c r="B677" s="19" t="inlineStr">
        <is>
          <t>CL-M112-Q01-009</t>
        </is>
      </c>
      <c r="C677" s="17" t="inlineStr">
        <is>
          <t>[application] Lal Peiris is not a party to the deed and takes no benefit under it, so rule (13) is not engaged and his friendship with the purchaser is not a statutory disqualification.</t>
        </is>
      </c>
      <c r="D677" s="17" t="inlineStr">
        <is>
          <t>PROV-M112-004: Notaries Ordinance s.31 rule (13)
Facts: FACT-M112-Q01-004, BG-3</t>
        </is>
      </c>
      <c r="E677" s="17" t="inlineStr">
        <is>
          <t>[verified, support direct]</t>
        </is>
      </c>
      <c r="F677" s="21" t="n"/>
      <c r="G677" s="21" t="n"/>
      <c r="H677" s="21" t="n"/>
      <c r="I677" s="21" t="n"/>
      <c r="J677" s="21" t="n"/>
      <c r="K677" s="17">
        <f>IF(OR(A677="",B677=""),"",IF(AND(F677&lt;&gt;"",H677&lt;&gt;"",J677&lt;&gt;""),"Complete","Pending"))</f>
        <v/>
      </c>
    </row>
    <row r="678">
      <c r="A678" s="19" t="inlineStr">
        <is>
          <t>M112-Q01</t>
        </is>
      </c>
      <c r="B678" s="19" t="inlineStr">
        <is>
          <t>CL-M112-Q01-010</t>
        </is>
      </c>
      <c r="C678" s="17" t="inlineStr">
        <is>
          <t>[conclusion] Lal Peiris may attest the deed, provided the parties and the two witnesses execute it before him within the Colombo judicial zone and in a language in which he is authorised to practise, the deed describes the Matara land with its district, and he has an assurance that the stamp duty is provided.</t>
        </is>
      </c>
      <c r="D678" s="17" t="inlineStr">
        <is>
          <t>PROV-M112-001: Notaries Ordinance s.31 rule (22)
PROV-M112-002: Notaries Ordinance s.4A
PROV-M112-004: Notaries Ordinance s.31 rule (13)
PROV-M112-006: Notaries Ordinance s.31 rule (16)(a)
PROV-M112-010: Notaries Ordinance s.31 rule (6)
PROV-M112-901: Notaries Ordinance s.31 rule (12)
Facts: FACT-M112-Q01-001, FACT-M112-Q01-003, FACT-M112-Q01-004</t>
        </is>
      </c>
      <c r="E678" s="17" t="inlineStr">
        <is>
          <t>[verified, support combined]</t>
        </is>
      </c>
      <c r="F678" s="21" t="n"/>
      <c r="G678" s="21" t="n"/>
      <c r="H678" s="21" t="n"/>
      <c r="I678" s="21" t="n"/>
      <c r="J678" s="21" t="n"/>
      <c r="K678" s="17">
        <f>IF(OR(A678="",B678=""),"",IF(AND(F678&lt;&gt;"",H678&lt;&gt;"",J678&lt;&gt;""),"Complete","Pending"))</f>
        <v/>
      </c>
    </row>
    <row r="679">
      <c r="A679" s="19" t="inlineStr">
        <is>
          <t>M112-Q01</t>
        </is>
      </c>
      <c r="B679" s="19" t="inlineStr">
        <is>
          <t>CL-M112-Q01-011</t>
        </is>
      </c>
      <c r="C679" s="17" t="inlineStr">
        <is>
          <t>[conclusion] If Lal Peiris were instead to attest the deed at Matara, he would be attesting in an area other than that in which he is authorised to practise and would breach rule (22).</t>
        </is>
      </c>
      <c r="D679" s="17" t="inlineStr">
        <is>
          <t>PROV-M112-001: Notaries Ordinance s.31 rule (22)
PROV-M112-002: Notaries Ordinance s.4A
Facts: FACT-M112-Q01-001</t>
        </is>
      </c>
      <c r="E679" s="17" t="inlineStr">
        <is>
          <t>[verified, support combined]</t>
        </is>
      </c>
      <c r="F679" s="21" t="n"/>
      <c r="G679" s="21" t="n"/>
      <c r="H679" s="21" t="n"/>
      <c r="I679" s="21" t="n"/>
      <c r="J679" s="21" t="n"/>
      <c r="K679" s="17">
        <f>IF(OR(A679="",B679=""),"",IF(AND(F679&lt;&gt;"",H679&lt;&gt;"",J679&lt;&gt;""),"Complete","Pending"))</f>
        <v/>
      </c>
    </row>
    <row r="680">
      <c r="A680" s="19" t="inlineStr">
        <is>
          <t>M112-Q02</t>
        </is>
      </c>
      <c r="B680" s="19" t="inlineStr">
        <is>
          <t>CL-M112-Q02-001</t>
        </is>
      </c>
      <c r="C680" s="17" t="inlineStr">
        <is>
          <t>[rule] A notary must deliver or transmit to the Registrar of Lands of the district in which he resides, so as to reach the registrar on or before the fifteenth day of every month, the duplicate of every deed or instrument except wills and codicils executed or acknowledged before or attested by him during the preceding month.</t>
        </is>
      </c>
      <c r="D680" s="17" t="inlineStr">
        <is>
          <t>PROV-M112-007: Notaries Ordinance s.31 rule (26)(a)(i)</t>
        </is>
      </c>
      <c r="E680" s="17" t="inlineStr">
        <is>
          <t>[verified, support direct]</t>
        </is>
      </c>
      <c r="F680" s="21" t="n"/>
      <c r="G680" s="21" t="n"/>
      <c r="H680" s="21" t="n"/>
      <c r="I680" s="21" t="n"/>
      <c r="J680" s="21" t="n"/>
      <c r="K680" s="17">
        <f>IF(OR(A680="",B680=""),"",IF(AND(F680&lt;&gt;"",H680&lt;&gt;"",J680&lt;&gt;""),"Complete","Pending"))</f>
        <v/>
      </c>
    </row>
    <row r="681">
      <c r="A681" s="19" t="inlineStr">
        <is>
          <t>M112-Q02</t>
        </is>
      </c>
      <c r="B681" s="19" t="inlineStr">
        <is>
          <t>CL-M112-Q02-002</t>
        </is>
      </c>
      <c r="C681" s="17" t="inlineStr">
        <is>
          <t>[rule] Where a deed other than a will or codicil affects land in a district other than that in which the attesting notary resides, he must, on or before the fifteenth day of the month next following that in which the deed was executed and besides transmitting the duplicate as already required, deliver or transmit to the Registrar of Lands of the district in which the land is situated a copy of the deed certified by him as correct, with a signed list in duplicate of the deeds relating to lands in that district.</t>
        </is>
      </c>
      <c r="D681" s="17" t="inlineStr">
        <is>
          <t>PROV-M112-008: Notaries Ordinance s.31 rule (29)
PROV-M112-902: Notaries (Amendment) Law s.10 (1)</t>
        </is>
      </c>
      <c r="E681" s="17" t="inlineStr">
        <is>
          <t>[verified, support direct]</t>
        </is>
      </c>
      <c r="F681" s="21" t="n"/>
      <c r="G681" s="21" t="n"/>
      <c r="H681" s="21" t="n"/>
      <c r="I681" s="21" t="n"/>
      <c r="J681" s="21" t="n"/>
      <c r="K681" s="17">
        <f>IF(OR(A681="",B681=""),"",IF(AND(F681&lt;&gt;"",H681&lt;&gt;"",J681&lt;&gt;""),"Complete","Pending"))</f>
        <v/>
      </c>
    </row>
    <row r="682">
      <c r="A682" s="19" t="inlineStr">
        <is>
          <t>M112-Q02</t>
        </is>
      </c>
      <c r="B682" s="19" t="inlineStr">
        <is>
          <t>CL-M112-Q02-003</t>
        </is>
      </c>
      <c r="C682" s="17" t="inlineStr">
        <is>
          <t>[rule] The rule (29) duty is additional to and not in substitution for the ordinary monthly duty, because it operates besides transmitting the duplicate in the manner already required.</t>
        </is>
      </c>
      <c r="D682" s="17" t="inlineStr">
        <is>
          <t>PROV-M112-008: Notaries Ordinance s.31 rule (29)
PROV-M112-007: Notaries Ordinance s.31 rule (26)(a)(i)</t>
        </is>
      </c>
      <c r="E682" s="17" t="inlineStr">
        <is>
          <t>[verified, support combined]</t>
        </is>
      </c>
      <c r="F682" s="21" t="n"/>
      <c r="G682" s="21" t="n"/>
      <c r="H682" s="21" t="n"/>
      <c r="I682" s="21" t="n"/>
      <c r="J682" s="21" t="n"/>
      <c r="K682" s="17">
        <f>IF(OR(A682="",B682=""),"",IF(AND(F682&lt;&gt;"",H682&lt;&gt;"",J682&lt;&gt;""),"Complete","Pending"))</f>
        <v/>
      </c>
    </row>
    <row r="683">
      <c r="A683" s="19" t="inlineStr">
        <is>
          <t>M112-Q02</t>
        </is>
      </c>
      <c r="B683" s="19" t="inlineStr">
        <is>
          <t>CL-M112-Q02-004</t>
        </is>
      </c>
      <c r="C683" s="17" t="inlineStr">
        <is>
          <t>[rule] The district in which the land is situated is the district that the deed itself must specify in its description of the land.</t>
        </is>
      </c>
      <c r="D683" s="17" t="inlineStr">
        <is>
          <t>PROV-M112-006: Notaries Ordinance s.31 rule (16)(a)</t>
        </is>
      </c>
      <c r="E683" s="17" t="inlineStr">
        <is>
          <t>[verified, support direct]</t>
        </is>
      </c>
      <c r="F683" s="21" t="n"/>
      <c r="G683" s="21" t="n"/>
      <c r="H683" s="21" t="n"/>
      <c r="I683" s="21" t="n"/>
      <c r="J683" s="21" t="n"/>
      <c r="K683" s="17">
        <f>IF(OR(A683="",B683=""),"",IF(AND(F683&lt;&gt;"",H683&lt;&gt;"",J683&lt;&gt;""),"Complete","Pending"))</f>
        <v/>
      </c>
    </row>
    <row r="684">
      <c r="A684" s="19" t="inlineStr">
        <is>
          <t>M112-Q02</t>
        </is>
      </c>
      <c r="B684" s="19" t="inlineStr">
        <is>
          <t>CL-M112-Q02-005</t>
        </is>
      </c>
      <c r="C684" s="17" t="inlineStr">
        <is>
          <t>[rule] Breach of a rule set out in section 31 makes the notary guilty of an offence triable summarily before a Magistrate, in addition to any civil liability he may incur.</t>
        </is>
      </c>
      <c r="D684" s="17" t="inlineStr">
        <is>
          <t>PROV-M112-009: Notaries Ordinance s.34 (1)(c)</t>
        </is>
      </c>
      <c r="E684" s="17" t="inlineStr">
        <is>
          <t>[disputed, support direct]</t>
        </is>
      </c>
      <c r="F684" s="21" t="n"/>
      <c r="G684" s="21" t="n"/>
      <c r="H684" s="21" t="n"/>
      <c r="I684" s="21" t="n"/>
      <c r="J684" s="21" t="n"/>
      <c r="K684" s="17">
        <f>IF(OR(A684="",B684=""),"",IF(AND(F684&lt;&gt;"",H684&lt;&gt;"",J684&lt;&gt;""),"Complete","Pending"))</f>
        <v/>
      </c>
    </row>
    <row r="685">
      <c r="A685" s="19" t="inlineStr">
        <is>
          <t>M112-Q02</t>
        </is>
      </c>
      <c r="B685" s="19" t="inlineStr">
        <is>
          <t>CL-M112-Q02-006</t>
        </is>
      </c>
      <c r="C685" s="17" t="inlineStr">
        <is>
          <t>[application] Lal Peiris resides in the Colombo District while the land conveyed is at Kumbalwella in the Matara District, so the deed affects land in a district other than that in which he resides and rule (29) is engaged.</t>
        </is>
      </c>
      <c r="D685" s="17" t="inlineStr">
        <is>
          <t>PROV-M112-008: Notaries Ordinance s.31 rule (29)
Facts: FACT-M112-Q02-001, FACT-M112-Q02-002, BG-1, BG-2</t>
        </is>
      </c>
      <c r="E685" s="17" t="inlineStr">
        <is>
          <t>[verified, support combined]</t>
        </is>
      </c>
      <c r="F685" s="21" t="n"/>
      <c r="G685" s="21" t="n"/>
      <c r="H685" s="21" t="n"/>
      <c r="I685" s="21" t="n"/>
      <c r="J685" s="21" t="n"/>
      <c r="K685" s="17">
        <f>IF(OR(A685="",B685=""),"",IF(AND(F685&lt;&gt;"",H685&lt;&gt;"",J685&lt;&gt;""),"Complete","Pending"))</f>
        <v/>
      </c>
    </row>
    <row r="686">
      <c r="A686" s="19" t="inlineStr">
        <is>
          <t>M112-Q02</t>
        </is>
      </c>
      <c r="B686" s="19" t="inlineStr">
        <is>
          <t>CL-M112-Q02-007</t>
        </is>
      </c>
      <c r="C686" s="17" t="inlineStr">
        <is>
          <t>[application] The instrument is a deed of transfer and not a will or codicil, and Lal Peiris is the only notary attesting it, so the duty of transmission falls on him.</t>
        </is>
      </c>
      <c r="D686" s="17" t="inlineStr">
        <is>
          <t>PROV-M112-008: Notaries Ordinance s.31 rule (29)
PROV-M112-007: Notaries Ordinance s.31 rule (26)(a)(i)
Facts: FACT-M112-Q02-003</t>
        </is>
      </c>
      <c r="E686" s="17" t="inlineStr">
        <is>
          <t>[verified, support combined]</t>
        </is>
      </c>
      <c r="F686" s="21" t="n"/>
      <c r="G686" s="21" t="n"/>
      <c r="H686" s="21" t="n"/>
      <c r="I686" s="21" t="n"/>
      <c r="J686" s="21" t="n"/>
      <c r="K686" s="17">
        <f>IF(OR(A686="",B686=""),"",IF(AND(F686&lt;&gt;"",H686&lt;&gt;"",J686&lt;&gt;""),"Complete","Pending"))</f>
        <v/>
      </c>
    </row>
    <row r="687">
      <c r="A687" s="19" t="inlineStr">
        <is>
          <t>M112-Q02</t>
        </is>
      </c>
      <c r="B687" s="19" t="inlineStr">
        <is>
          <t>CL-M112-Q02-008</t>
        </is>
      </c>
      <c r="C687" s="17" t="inlineStr">
        <is>
          <t>[application] The deed having been executed on 12 March 2018, both the duplicate to the Registrar of Lands, Colombo and the certified copy to the Registrar of Lands, Matara must reach or be transmitted by 15 April 2018.</t>
        </is>
      </c>
      <c r="D687" s="17" t="inlineStr">
        <is>
          <t>PROV-M112-007: Notaries Ordinance s.31 rule (26)(a)(i)
PROV-M112-008: Notaries Ordinance s.31 rule (29)
Facts: FACT-M112-Q02-003</t>
        </is>
      </c>
      <c r="E687" s="17" t="inlineStr">
        <is>
          <t>[verified, support combined]</t>
        </is>
      </c>
      <c r="F687" s="21" t="n"/>
      <c r="G687" s="21" t="n"/>
      <c r="H687" s="21" t="n"/>
      <c r="I687" s="21" t="n"/>
      <c r="J687" s="21" t="n"/>
      <c r="K687" s="17">
        <f>IF(OR(A687="",B687=""),"",IF(AND(F687&lt;&gt;"",H687&lt;&gt;"",J687&lt;&gt;""),"Complete","Pending"))</f>
        <v/>
      </c>
    </row>
    <row r="688">
      <c r="A688" s="19" t="inlineStr">
        <is>
          <t>M112-Q02</t>
        </is>
      </c>
      <c r="B688" s="19" t="inlineStr">
        <is>
          <t>CL-M112-Q02-009</t>
        </is>
      </c>
      <c r="C688" s="17" t="inlineStr">
        <is>
          <t>[conclusion] The duty cast on Lal Peiris is to deliver or transmit to the Registrar of Lands, Matara, on or before 15 April 2018, a copy of the deed certified by him as correct together with a list in duplicate signed by him of the deeds relating to lands in the Matara District, in addition to sending the duplicate and his monthly list to the Registrar of Lands, Colombo by the same date.</t>
        </is>
      </c>
      <c r="D688" s="17" t="inlineStr">
        <is>
          <t>PROV-M112-008: Notaries Ordinance s.31 rule (29)
PROV-M112-007: Notaries Ordinance s.31 rule (26)(a)(i)
Facts: FACT-M112-Q02-001, FACT-M112-Q02-002, FACT-M112-Q02-003</t>
        </is>
      </c>
      <c r="E688" s="17" t="inlineStr">
        <is>
          <t>[verified, support combined]</t>
        </is>
      </c>
      <c r="F688" s="21" t="n"/>
      <c r="G688" s="21" t="n"/>
      <c r="H688" s="21" t="n"/>
      <c r="I688" s="21" t="n"/>
      <c r="J688" s="21" t="n"/>
      <c r="K688" s="17">
        <f>IF(OR(A688="",B688=""),"",IF(AND(F688&lt;&gt;"",H688&lt;&gt;"",J688&lt;&gt;""),"Complete","Pending"))</f>
        <v/>
      </c>
    </row>
    <row r="689">
      <c r="A689" s="19" t="inlineStr">
        <is>
          <t>M112-Q02</t>
        </is>
      </c>
      <c r="B689" s="19" t="inlineStr">
        <is>
          <t>CL-M112-Q02-010</t>
        </is>
      </c>
      <c r="C689" s="17" t="inlineStr">
        <is>
          <t>[conclusion] If he fails to observe that duty he commits an offence under section 34 of the Notaries Ordinance in addition to any civil liability, though the fine applicable in April 2018 cannot be stated from the corpus.</t>
        </is>
      </c>
      <c r="D689" s="17" t="inlineStr">
        <is>
          <t>PROV-M112-009: Notaries Ordinance s.34 (1)(c)</t>
        </is>
      </c>
      <c r="E689" s="17" t="inlineStr">
        <is>
          <t>[disputed, support inferential]</t>
        </is>
      </c>
      <c r="F689" s="21" t="n"/>
      <c r="G689" s="21" t="n"/>
      <c r="H689" s="21" t="n"/>
      <c r="I689" s="21" t="n"/>
      <c r="J689" s="21" t="n"/>
      <c r="K689" s="17">
        <f>IF(OR(A689="",B689=""),"",IF(AND(F689&lt;&gt;"",H689&lt;&gt;"",J689&lt;&gt;""),"Complete","Pending"))</f>
        <v/>
      </c>
    </row>
  </sheetData>
  <autoFilter ref="A5:K689"/>
  <mergeCells count="2">
    <mergeCell ref="A2:K2"/>
    <mergeCell ref="A3:K3"/>
  </mergeCells>
  <conditionalFormatting sqref="K6:K689">
    <cfRule type="cellIs" priority="1" operator="equal" dxfId="8">
      <formula>"Complete"</formula>
    </cfRule>
    <cfRule type="cellIs" priority="2" operator="equal" dxfId="9">
      <formula>"Pending"</formula>
    </cfRule>
  </conditionalFormatting>
  <dataValidations count="2">
    <dataValidation sqref="F6:F689" showDropDown="0" showInputMessage="0" showErrorMessage="0" allowBlank="1" type="list">
      <formula1>"Correct,Incorrect,Misstated,Needs case law / common law,Outside my expertise"</formula1>
    </dataValidation>
    <dataValidation sqref="H6:H689" showDropDown="0" showInputMessage="0" showErrorMessage="0" allowBlank="1" type="list">
      <formula1>"Yes,No,Unclear"</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J1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2" customWidth="1" min="3" max="3"/>
    <col width="18" customWidth="1" min="4" max="4"/>
    <col width="18" customWidth="1" min="5" max="5"/>
    <col width="48" customWidth="1" min="6" max="6"/>
    <col width="30" customWidth="1" min="7" max="7"/>
    <col width="16" customWidth="1" min="8" max="8"/>
    <col width="38" customWidth="1" min="9" max="9"/>
    <col width="15" customWidth="1" min="10" max="10"/>
  </cols>
  <sheetData>
    <row r="2" ht="24" customHeight="1">
      <c r="A2" s="29" t="inlineStr">
        <is>
          <t>Statutory QA Lawyer Review - Missing provisions</t>
        </is>
      </c>
    </row>
    <row r="3" ht="48" customHeight="1">
      <c r="A3" s="5" t="inlineStr">
        <is>
          <t>Add one row for every legally necessary provision the agents omitted. Three blank rows are provided per question; add more rows if needed, using the question ID exactly as shown in the other sheets.</t>
        </is>
      </c>
    </row>
    <row r="4">
      <c r="A4" s="30" t="n"/>
      <c r="B4" s="30" t="n"/>
      <c r="C4" s="30" t="n"/>
      <c r="D4" s="30" t="n"/>
      <c r="E4" s="30" t="n"/>
      <c r="F4" s="30" t="n"/>
      <c r="G4" s="30" t="n"/>
      <c r="H4" s="30" t="n"/>
      <c r="I4" s="30" t="n"/>
      <c r="J4" s="30" t="n"/>
    </row>
    <row r="5" ht="34" customHeight="1">
      <c r="A5" s="31" t="inlineStr">
        <is>
          <t>Question ID</t>
        </is>
      </c>
      <c r="B5" s="31" t="inlineStr">
        <is>
          <t>Missing Provision ID</t>
        </is>
      </c>
      <c r="C5" s="31" t="inlineStr">
        <is>
          <t>Act / Instrument</t>
        </is>
      </c>
      <c r="D5" s="31" t="inlineStr">
        <is>
          <t>Section / Rule</t>
        </is>
      </c>
      <c r="E5" s="31" t="inlineStr">
        <is>
          <t>Importance</t>
        </is>
      </c>
      <c r="F5" s="31" t="inlineStr">
        <is>
          <t>Why Required</t>
        </is>
      </c>
      <c r="G5" s="31" t="inlineStr">
        <is>
          <t>Source Link</t>
        </is>
      </c>
      <c r="H5" s="31" t="inlineStr">
        <is>
          <t>Reviewer ID</t>
        </is>
      </c>
      <c r="I5" s="31" t="inlineStr">
        <is>
          <t>Notes</t>
        </is>
      </c>
      <c r="J5" s="31" t="inlineStr">
        <is>
          <t>Review Status</t>
        </is>
      </c>
    </row>
    <row r="6">
      <c r="A6" s="19" t="inlineStr">
        <is>
          <t>M001-Q03</t>
        </is>
      </c>
      <c r="B6" s="19" t="inlineStr">
        <is>
          <t>MISS-M001-Q03-01</t>
        </is>
      </c>
      <c r="C6" s="21" t="n"/>
      <c r="D6" s="21" t="n"/>
      <c r="E6" s="21" t="n"/>
      <c r="F6" s="21" t="n"/>
      <c r="G6" s="21" t="n"/>
      <c r="H6" s="21" t="n"/>
      <c r="I6" s="21" t="n"/>
      <c r="J6" s="17">
        <f>IF(AND(B6="",C6="",D6="",E6="",F6="",G6="",H6="",I6=""),"",IF(AND(A6&lt;&gt;"",C6&lt;&gt;"",D6&lt;&gt;"",E6&lt;&gt;"",F6&lt;&gt;"",H6&lt;&gt;""),"Complete","Pending"))</f>
        <v/>
      </c>
    </row>
    <row r="7">
      <c r="A7" s="19" t="inlineStr">
        <is>
          <t>M001-Q03</t>
        </is>
      </c>
      <c r="B7" s="19" t="inlineStr">
        <is>
          <t>MISS-M001-Q03-02</t>
        </is>
      </c>
      <c r="C7" s="21" t="n"/>
      <c r="D7" s="21" t="n"/>
      <c r="E7" s="21" t="n"/>
      <c r="F7" s="21" t="n"/>
      <c r="G7" s="21" t="n"/>
      <c r="H7" s="21" t="n"/>
      <c r="I7" s="21" t="n"/>
      <c r="J7" s="17">
        <f>IF(AND(B7="",C7="",D7="",E7="",F7="",G7="",H7="",I7=""),"",IF(AND(A7&lt;&gt;"",C7&lt;&gt;"",D7&lt;&gt;"",E7&lt;&gt;"",F7&lt;&gt;"",H7&lt;&gt;""),"Complete","Pending"))</f>
        <v/>
      </c>
    </row>
    <row r="8">
      <c r="A8" s="19" t="inlineStr">
        <is>
          <t>M001-Q03</t>
        </is>
      </c>
      <c r="B8" s="19" t="inlineStr">
        <is>
          <t>MISS-M001-Q03-03</t>
        </is>
      </c>
      <c r="C8" s="21" t="n"/>
      <c r="D8" s="21" t="n"/>
      <c r="E8" s="21" t="n"/>
      <c r="F8" s="21" t="n"/>
      <c r="G8" s="21" t="n"/>
      <c r="H8" s="21" t="n"/>
      <c r="I8" s="21" t="n"/>
      <c r="J8" s="17">
        <f>IF(AND(B8="",C8="",D8="",E8="",F8="",G8="",H8="",I8=""),"",IF(AND(A8&lt;&gt;"",C8&lt;&gt;"",D8&lt;&gt;"",E8&lt;&gt;"",F8&lt;&gt;"",H8&lt;&gt;""),"Complete","Pending"))</f>
        <v/>
      </c>
    </row>
    <row r="9">
      <c r="A9" s="19" t="inlineStr">
        <is>
          <t>M002-Q01</t>
        </is>
      </c>
      <c r="B9" s="19" t="inlineStr">
        <is>
          <t>MISS-M002-Q01-01</t>
        </is>
      </c>
      <c r="C9" s="21" t="n"/>
      <c r="D9" s="21" t="n"/>
      <c r="E9" s="21" t="n"/>
      <c r="F9" s="21" t="n"/>
      <c r="G9" s="21" t="n"/>
      <c r="H9" s="21" t="n"/>
      <c r="I9" s="21" t="n"/>
      <c r="J9" s="17">
        <f>IF(AND(B9="",C9="",D9="",E9="",F9="",G9="",H9="",I9=""),"",IF(AND(A9&lt;&gt;"",C9&lt;&gt;"",D9&lt;&gt;"",E9&lt;&gt;"",F9&lt;&gt;"",H9&lt;&gt;""),"Complete","Pending"))</f>
        <v/>
      </c>
    </row>
    <row r="10">
      <c r="A10" s="19" t="inlineStr">
        <is>
          <t>M002-Q01</t>
        </is>
      </c>
      <c r="B10" s="19" t="inlineStr">
        <is>
          <t>MISS-M002-Q01-02</t>
        </is>
      </c>
      <c r="C10" s="21" t="n"/>
      <c r="D10" s="21" t="n"/>
      <c r="E10" s="21" t="n"/>
      <c r="F10" s="21" t="n"/>
      <c r="G10" s="21" t="n"/>
      <c r="H10" s="21" t="n"/>
      <c r="I10" s="21" t="n"/>
      <c r="J10" s="17">
        <f>IF(AND(B10="",C10="",D10="",E10="",F10="",G10="",H10="",I10=""),"",IF(AND(A10&lt;&gt;"",C10&lt;&gt;"",D10&lt;&gt;"",E10&lt;&gt;"",F10&lt;&gt;"",H10&lt;&gt;""),"Complete","Pending"))</f>
        <v/>
      </c>
    </row>
    <row r="11">
      <c r="A11" s="19" t="inlineStr">
        <is>
          <t>M002-Q01</t>
        </is>
      </c>
      <c r="B11" s="19" t="inlineStr">
        <is>
          <t>MISS-M002-Q01-03</t>
        </is>
      </c>
      <c r="C11" s="21" t="n"/>
      <c r="D11" s="21" t="n"/>
      <c r="E11" s="21" t="n"/>
      <c r="F11" s="21" t="n"/>
      <c r="G11" s="21" t="n"/>
      <c r="H11" s="21" t="n"/>
      <c r="I11" s="21" t="n"/>
      <c r="J11" s="17">
        <f>IF(AND(B11="",C11="",D11="",E11="",F11="",G11="",H11="",I11=""),"",IF(AND(A11&lt;&gt;"",C11&lt;&gt;"",D11&lt;&gt;"",E11&lt;&gt;"",F11&lt;&gt;"",H11&lt;&gt;""),"Complete","Pending"))</f>
        <v/>
      </c>
    </row>
    <row r="12">
      <c r="A12" s="19" t="inlineStr">
        <is>
          <t>M003-Q02</t>
        </is>
      </c>
      <c r="B12" s="19" t="inlineStr">
        <is>
          <t>MISS-M003-Q02-01</t>
        </is>
      </c>
      <c r="C12" s="21" t="n"/>
      <c r="D12" s="21" t="n"/>
      <c r="E12" s="21" t="n"/>
      <c r="F12" s="21" t="n"/>
      <c r="G12" s="21" t="n"/>
      <c r="H12" s="21" t="n"/>
      <c r="I12" s="21" t="n"/>
      <c r="J12" s="17">
        <f>IF(AND(B12="",C12="",D12="",E12="",F12="",G12="",H12="",I12=""),"",IF(AND(A12&lt;&gt;"",C12&lt;&gt;"",D12&lt;&gt;"",E12&lt;&gt;"",F12&lt;&gt;"",H12&lt;&gt;""),"Complete","Pending"))</f>
        <v/>
      </c>
    </row>
    <row r="13">
      <c r="A13" s="19" t="inlineStr">
        <is>
          <t>M003-Q02</t>
        </is>
      </c>
      <c r="B13" s="19" t="inlineStr">
        <is>
          <t>MISS-M003-Q02-02</t>
        </is>
      </c>
      <c r="C13" s="21" t="n"/>
      <c r="D13" s="21" t="n"/>
      <c r="E13" s="21" t="n"/>
      <c r="F13" s="21" t="n"/>
      <c r="G13" s="21" t="n"/>
      <c r="H13" s="21" t="n"/>
      <c r="I13" s="21" t="n"/>
      <c r="J13" s="17">
        <f>IF(AND(B13="",C13="",D13="",E13="",F13="",G13="",H13="",I13=""),"",IF(AND(A13&lt;&gt;"",C13&lt;&gt;"",D13&lt;&gt;"",E13&lt;&gt;"",F13&lt;&gt;"",H13&lt;&gt;""),"Complete","Pending"))</f>
        <v/>
      </c>
    </row>
    <row r="14">
      <c r="A14" s="19" t="inlineStr">
        <is>
          <t>M003-Q02</t>
        </is>
      </c>
      <c r="B14" s="19" t="inlineStr">
        <is>
          <t>MISS-M003-Q02-03</t>
        </is>
      </c>
      <c r="C14" s="21" t="n"/>
      <c r="D14" s="21" t="n"/>
      <c r="E14" s="21" t="n"/>
      <c r="F14" s="21" t="n"/>
      <c r="G14" s="21" t="n"/>
      <c r="H14" s="21" t="n"/>
      <c r="I14" s="21" t="n"/>
      <c r="J14" s="17">
        <f>IF(AND(B14="",C14="",D14="",E14="",F14="",G14="",H14="",I14=""),"",IF(AND(A14&lt;&gt;"",C14&lt;&gt;"",D14&lt;&gt;"",E14&lt;&gt;"",F14&lt;&gt;"",H14&lt;&gt;""),"Complete","Pending"))</f>
        <v/>
      </c>
    </row>
    <row r="15">
      <c r="A15" s="19" t="inlineStr">
        <is>
          <t>M005-Q01</t>
        </is>
      </c>
      <c r="B15" s="19" t="inlineStr">
        <is>
          <t>MISS-M005-Q01-01</t>
        </is>
      </c>
      <c r="C15" s="21" t="n"/>
      <c r="D15" s="21" t="n"/>
      <c r="E15" s="21" t="n"/>
      <c r="F15" s="21" t="n"/>
      <c r="G15" s="21" t="n"/>
      <c r="H15" s="21" t="n"/>
      <c r="I15" s="21" t="n"/>
      <c r="J15" s="17">
        <f>IF(AND(B15="",C15="",D15="",E15="",F15="",G15="",H15="",I15=""),"",IF(AND(A15&lt;&gt;"",C15&lt;&gt;"",D15&lt;&gt;"",E15&lt;&gt;"",F15&lt;&gt;"",H15&lt;&gt;""),"Complete","Pending"))</f>
        <v/>
      </c>
    </row>
    <row r="16">
      <c r="A16" s="19" t="inlineStr">
        <is>
          <t>M005-Q01</t>
        </is>
      </c>
      <c r="B16" s="19" t="inlineStr">
        <is>
          <t>MISS-M005-Q01-02</t>
        </is>
      </c>
      <c r="C16" s="21" t="n"/>
      <c r="D16" s="21" t="n"/>
      <c r="E16" s="21" t="n"/>
      <c r="F16" s="21" t="n"/>
      <c r="G16" s="21" t="n"/>
      <c r="H16" s="21" t="n"/>
      <c r="I16" s="21" t="n"/>
      <c r="J16" s="17">
        <f>IF(AND(B16="",C16="",D16="",E16="",F16="",G16="",H16="",I16=""),"",IF(AND(A16&lt;&gt;"",C16&lt;&gt;"",D16&lt;&gt;"",E16&lt;&gt;"",F16&lt;&gt;"",H16&lt;&gt;""),"Complete","Pending"))</f>
        <v/>
      </c>
    </row>
    <row r="17">
      <c r="A17" s="19" t="inlineStr">
        <is>
          <t>M005-Q01</t>
        </is>
      </c>
      <c r="B17" s="19" t="inlineStr">
        <is>
          <t>MISS-M005-Q01-03</t>
        </is>
      </c>
      <c r="C17" s="21" t="n"/>
      <c r="D17" s="21" t="n"/>
      <c r="E17" s="21" t="n"/>
      <c r="F17" s="21" t="n"/>
      <c r="G17" s="21" t="n"/>
      <c r="H17" s="21" t="n"/>
      <c r="I17" s="21" t="n"/>
      <c r="J17" s="17">
        <f>IF(AND(B17="",C17="",D17="",E17="",F17="",G17="",H17="",I17=""),"",IF(AND(A17&lt;&gt;"",C17&lt;&gt;"",D17&lt;&gt;"",E17&lt;&gt;"",F17&lt;&gt;"",H17&lt;&gt;""),"Complete","Pending"))</f>
        <v/>
      </c>
    </row>
    <row r="18">
      <c r="A18" s="19" t="inlineStr">
        <is>
          <t>M006-Q01</t>
        </is>
      </c>
      <c r="B18" s="19" t="inlineStr">
        <is>
          <t>MISS-M006-Q01-01</t>
        </is>
      </c>
      <c r="C18" s="21" t="n"/>
      <c r="D18" s="21" t="n"/>
      <c r="E18" s="21" t="n"/>
      <c r="F18" s="21" t="n"/>
      <c r="G18" s="21" t="n"/>
      <c r="H18" s="21" t="n"/>
      <c r="I18" s="21" t="n"/>
      <c r="J18" s="17">
        <f>IF(AND(B18="",C18="",D18="",E18="",F18="",G18="",H18="",I18=""),"",IF(AND(A18&lt;&gt;"",C18&lt;&gt;"",D18&lt;&gt;"",E18&lt;&gt;"",F18&lt;&gt;"",H18&lt;&gt;""),"Complete","Pending"))</f>
        <v/>
      </c>
    </row>
    <row r="19">
      <c r="A19" s="19" t="inlineStr">
        <is>
          <t>M006-Q01</t>
        </is>
      </c>
      <c r="B19" s="19" t="inlineStr">
        <is>
          <t>MISS-M006-Q01-02</t>
        </is>
      </c>
      <c r="C19" s="21" t="n"/>
      <c r="D19" s="21" t="n"/>
      <c r="E19" s="21" t="n"/>
      <c r="F19" s="21" t="n"/>
      <c r="G19" s="21" t="n"/>
      <c r="H19" s="21" t="n"/>
      <c r="I19" s="21" t="n"/>
      <c r="J19" s="17">
        <f>IF(AND(B19="",C19="",D19="",E19="",F19="",G19="",H19="",I19=""),"",IF(AND(A19&lt;&gt;"",C19&lt;&gt;"",D19&lt;&gt;"",E19&lt;&gt;"",F19&lt;&gt;"",H19&lt;&gt;""),"Complete","Pending"))</f>
        <v/>
      </c>
    </row>
    <row r="20">
      <c r="A20" s="19" t="inlineStr">
        <is>
          <t>M006-Q01</t>
        </is>
      </c>
      <c r="B20" s="19" t="inlineStr">
        <is>
          <t>MISS-M006-Q01-03</t>
        </is>
      </c>
      <c r="C20" s="21" t="n"/>
      <c r="D20" s="21" t="n"/>
      <c r="E20" s="21" t="n"/>
      <c r="F20" s="21" t="n"/>
      <c r="G20" s="21" t="n"/>
      <c r="H20" s="21" t="n"/>
      <c r="I20" s="21" t="n"/>
      <c r="J20" s="17">
        <f>IF(AND(B20="",C20="",D20="",E20="",F20="",G20="",H20="",I20=""),"",IF(AND(A20&lt;&gt;"",C20&lt;&gt;"",D20&lt;&gt;"",E20&lt;&gt;"",F20&lt;&gt;"",H20&lt;&gt;""),"Complete","Pending"))</f>
        <v/>
      </c>
    </row>
    <row r="21">
      <c r="A21" s="19" t="inlineStr">
        <is>
          <t>M008-Q02</t>
        </is>
      </c>
      <c r="B21" s="19" t="inlineStr">
        <is>
          <t>MISS-M008-Q02-01</t>
        </is>
      </c>
      <c r="C21" s="21" t="n"/>
      <c r="D21" s="21" t="n"/>
      <c r="E21" s="21" t="n"/>
      <c r="F21" s="21" t="n"/>
      <c r="G21" s="21" t="n"/>
      <c r="H21" s="21" t="n"/>
      <c r="I21" s="21" t="n"/>
      <c r="J21" s="17">
        <f>IF(AND(B21="",C21="",D21="",E21="",F21="",G21="",H21="",I21=""),"",IF(AND(A21&lt;&gt;"",C21&lt;&gt;"",D21&lt;&gt;"",E21&lt;&gt;"",F21&lt;&gt;"",H21&lt;&gt;""),"Complete","Pending"))</f>
        <v/>
      </c>
    </row>
    <row r="22">
      <c r="A22" s="19" t="inlineStr">
        <is>
          <t>M008-Q02</t>
        </is>
      </c>
      <c r="B22" s="19" t="inlineStr">
        <is>
          <t>MISS-M008-Q02-02</t>
        </is>
      </c>
      <c r="C22" s="21" t="n"/>
      <c r="D22" s="21" t="n"/>
      <c r="E22" s="21" t="n"/>
      <c r="F22" s="21" t="n"/>
      <c r="G22" s="21" t="n"/>
      <c r="H22" s="21" t="n"/>
      <c r="I22" s="21" t="n"/>
      <c r="J22" s="17">
        <f>IF(AND(B22="",C22="",D22="",E22="",F22="",G22="",H22="",I22=""),"",IF(AND(A22&lt;&gt;"",C22&lt;&gt;"",D22&lt;&gt;"",E22&lt;&gt;"",F22&lt;&gt;"",H22&lt;&gt;""),"Complete","Pending"))</f>
        <v/>
      </c>
    </row>
    <row r="23">
      <c r="A23" s="19" t="inlineStr">
        <is>
          <t>M008-Q02</t>
        </is>
      </c>
      <c r="B23" s="19" t="inlineStr">
        <is>
          <t>MISS-M008-Q02-03</t>
        </is>
      </c>
      <c r="C23" s="21" t="n"/>
      <c r="D23" s="21" t="n"/>
      <c r="E23" s="21" t="n"/>
      <c r="F23" s="21" t="n"/>
      <c r="G23" s="21" t="n"/>
      <c r="H23" s="21" t="n"/>
      <c r="I23" s="21" t="n"/>
      <c r="J23" s="17">
        <f>IF(AND(B23="",C23="",D23="",E23="",F23="",G23="",H23="",I23=""),"",IF(AND(A23&lt;&gt;"",C23&lt;&gt;"",D23&lt;&gt;"",E23&lt;&gt;"",F23&lt;&gt;"",H23&lt;&gt;""),"Complete","Pending"))</f>
        <v/>
      </c>
    </row>
    <row r="24">
      <c r="A24" s="19" t="inlineStr">
        <is>
          <t>M010-Q01</t>
        </is>
      </c>
      <c r="B24" s="19" t="inlineStr">
        <is>
          <t>MISS-M010-Q01-01</t>
        </is>
      </c>
      <c r="C24" s="21" t="n"/>
      <c r="D24" s="21" t="n"/>
      <c r="E24" s="21" t="n"/>
      <c r="F24" s="21" t="n"/>
      <c r="G24" s="21" t="n"/>
      <c r="H24" s="21" t="n"/>
      <c r="I24" s="21" t="n"/>
      <c r="J24" s="17">
        <f>IF(AND(B24="",C24="",D24="",E24="",F24="",G24="",H24="",I24=""),"",IF(AND(A24&lt;&gt;"",C24&lt;&gt;"",D24&lt;&gt;"",E24&lt;&gt;"",F24&lt;&gt;"",H24&lt;&gt;""),"Complete","Pending"))</f>
        <v/>
      </c>
    </row>
    <row r="25">
      <c r="A25" s="19" t="inlineStr">
        <is>
          <t>M010-Q01</t>
        </is>
      </c>
      <c r="B25" s="19" t="inlineStr">
        <is>
          <t>MISS-M010-Q01-02</t>
        </is>
      </c>
      <c r="C25" s="21" t="n"/>
      <c r="D25" s="21" t="n"/>
      <c r="E25" s="21" t="n"/>
      <c r="F25" s="21" t="n"/>
      <c r="G25" s="21" t="n"/>
      <c r="H25" s="21" t="n"/>
      <c r="I25" s="21" t="n"/>
      <c r="J25" s="17">
        <f>IF(AND(B25="",C25="",D25="",E25="",F25="",G25="",H25="",I25=""),"",IF(AND(A25&lt;&gt;"",C25&lt;&gt;"",D25&lt;&gt;"",E25&lt;&gt;"",F25&lt;&gt;"",H25&lt;&gt;""),"Complete","Pending"))</f>
        <v/>
      </c>
    </row>
    <row r="26">
      <c r="A26" s="19" t="inlineStr">
        <is>
          <t>M010-Q01</t>
        </is>
      </c>
      <c r="B26" s="19" t="inlineStr">
        <is>
          <t>MISS-M010-Q01-03</t>
        </is>
      </c>
      <c r="C26" s="21" t="n"/>
      <c r="D26" s="21" t="n"/>
      <c r="E26" s="21" t="n"/>
      <c r="F26" s="21" t="n"/>
      <c r="G26" s="21" t="n"/>
      <c r="H26" s="21" t="n"/>
      <c r="I26" s="21" t="n"/>
      <c r="J26" s="17">
        <f>IF(AND(B26="",C26="",D26="",E26="",F26="",G26="",H26="",I26=""),"",IF(AND(A26&lt;&gt;"",C26&lt;&gt;"",D26&lt;&gt;"",E26&lt;&gt;"",F26&lt;&gt;"",H26&lt;&gt;""),"Complete","Pending"))</f>
        <v/>
      </c>
    </row>
    <row r="27">
      <c r="A27" s="19" t="inlineStr">
        <is>
          <t>M010-Q02</t>
        </is>
      </c>
      <c r="B27" s="19" t="inlineStr">
        <is>
          <t>MISS-M010-Q02-01</t>
        </is>
      </c>
      <c r="C27" s="21" t="n"/>
      <c r="D27" s="21" t="n"/>
      <c r="E27" s="21" t="n"/>
      <c r="F27" s="21" t="n"/>
      <c r="G27" s="21" t="n"/>
      <c r="H27" s="21" t="n"/>
      <c r="I27" s="21" t="n"/>
      <c r="J27" s="17">
        <f>IF(AND(B27="",C27="",D27="",E27="",F27="",G27="",H27="",I27=""),"",IF(AND(A27&lt;&gt;"",C27&lt;&gt;"",D27&lt;&gt;"",E27&lt;&gt;"",F27&lt;&gt;"",H27&lt;&gt;""),"Complete","Pending"))</f>
        <v/>
      </c>
    </row>
    <row r="28">
      <c r="A28" s="19" t="inlineStr">
        <is>
          <t>M010-Q02</t>
        </is>
      </c>
      <c r="B28" s="19" t="inlineStr">
        <is>
          <t>MISS-M010-Q02-02</t>
        </is>
      </c>
      <c r="C28" s="21" t="n"/>
      <c r="D28" s="21" t="n"/>
      <c r="E28" s="21" t="n"/>
      <c r="F28" s="21" t="n"/>
      <c r="G28" s="21" t="n"/>
      <c r="H28" s="21" t="n"/>
      <c r="I28" s="21" t="n"/>
      <c r="J28" s="17">
        <f>IF(AND(B28="",C28="",D28="",E28="",F28="",G28="",H28="",I28=""),"",IF(AND(A28&lt;&gt;"",C28&lt;&gt;"",D28&lt;&gt;"",E28&lt;&gt;"",F28&lt;&gt;"",H28&lt;&gt;""),"Complete","Pending"))</f>
        <v/>
      </c>
    </row>
    <row r="29">
      <c r="A29" s="19" t="inlineStr">
        <is>
          <t>M010-Q02</t>
        </is>
      </c>
      <c r="B29" s="19" t="inlineStr">
        <is>
          <t>MISS-M010-Q02-03</t>
        </is>
      </c>
      <c r="C29" s="21" t="n"/>
      <c r="D29" s="21" t="n"/>
      <c r="E29" s="21" t="n"/>
      <c r="F29" s="21" t="n"/>
      <c r="G29" s="21" t="n"/>
      <c r="H29" s="21" t="n"/>
      <c r="I29" s="21" t="n"/>
      <c r="J29" s="17">
        <f>IF(AND(B29="",C29="",D29="",E29="",F29="",G29="",H29="",I29=""),"",IF(AND(A29&lt;&gt;"",C29&lt;&gt;"",D29&lt;&gt;"",E29&lt;&gt;"",F29&lt;&gt;"",H29&lt;&gt;""),"Complete","Pending"))</f>
        <v/>
      </c>
    </row>
    <row r="30">
      <c r="A30" s="19" t="inlineStr">
        <is>
          <t>M013-Q01</t>
        </is>
      </c>
      <c r="B30" s="19" t="inlineStr">
        <is>
          <t>MISS-M013-Q01-01</t>
        </is>
      </c>
      <c r="C30" s="21" t="n"/>
      <c r="D30" s="21" t="n"/>
      <c r="E30" s="21" t="n"/>
      <c r="F30" s="21" t="n"/>
      <c r="G30" s="21" t="n"/>
      <c r="H30" s="21" t="n"/>
      <c r="I30" s="21" t="n"/>
      <c r="J30" s="17">
        <f>IF(AND(B30="",C30="",D30="",E30="",F30="",G30="",H30="",I30=""),"",IF(AND(A30&lt;&gt;"",C30&lt;&gt;"",D30&lt;&gt;"",E30&lt;&gt;"",F30&lt;&gt;"",H30&lt;&gt;""),"Complete","Pending"))</f>
        <v/>
      </c>
    </row>
    <row r="31">
      <c r="A31" s="19" t="inlineStr">
        <is>
          <t>M013-Q01</t>
        </is>
      </c>
      <c r="B31" s="19" t="inlineStr">
        <is>
          <t>MISS-M013-Q01-02</t>
        </is>
      </c>
      <c r="C31" s="21" t="n"/>
      <c r="D31" s="21" t="n"/>
      <c r="E31" s="21" t="n"/>
      <c r="F31" s="21" t="n"/>
      <c r="G31" s="21" t="n"/>
      <c r="H31" s="21" t="n"/>
      <c r="I31" s="21" t="n"/>
      <c r="J31" s="17">
        <f>IF(AND(B31="",C31="",D31="",E31="",F31="",G31="",H31="",I31=""),"",IF(AND(A31&lt;&gt;"",C31&lt;&gt;"",D31&lt;&gt;"",E31&lt;&gt;"",F31&lt;&gt;"",H31&lt;&gt;""),"Complete","Pending"))</f>
        <v/>
      </c>
    </row>
    <row r="32">
      <c r="A32" s="19" t="inlineStr">
        <is>
          <t>M013-Q01</t>
        </is>
      </c>
      <c r="B32" s="19" t="inlineStr">
        <is>
          <t>MISS-M013-Q01-03</t>
        </is>
      </c>
      <c r="C32" s="21" t="n"/>
      <c r="D32" s="21" t="n"/>
      <c r="E32" s="21" t="n"/>
      <c r="F32" s="21" t="n"/>
      <c r="G32" s="21" t="n"/>
      <c r="H32" s="21" t="n"/>
      <c r="I32" s="21" t="n"/>
      <c r="J32" s="17">
        <f>IF(AND(B32="",C32="",D32="",E32="",F32="",G32="",H32="",I32=""),"",IF(AND(A32&lt;&gt;"",C32&lt;&gt;"",D32&lt;&gt;"",E32&lt;&gt;"",F32&lt;&gt;"",H32&lt;&gt;""),"Complete","Pending"))</f>
        <v/>
      </c>
    </row>
    <row r="33">
      <c r="A33" s="19" t="inlineStr">
        <is>
          <t>M015-Q01</t>
        </is>
      </c>
      <c r="B33" s="19" t="inlineStr">
        <is>
          <t>MISS-M015-Q01-01</t>
        </is>
      </c>
      <c r="C33" s="21" t="n"/>
      <c r="D33" s="21" t="n"/>
      <c r="E33" s="21" t="n"/>
      <c r="F33" s="21" t="n"/>
      <c r="G33" s="21" t="n"/>
      <c r="H33" s="21" t="n"/>
      <c r="I33" s="21" t="n"/>
      <c r="J33" s="17">
        <f>IF(AND(B33="",C33="",D33="",E33="",F33="",G33="",H33="",I33=""),"",IF(AND(A33&lt;&gt;"",C33&lt;&gt;"",D33&lt;&gt;"",E33&lt;&gt;"",F33&lt;&gt;"",H33&lt;&gt;""),"Complete","Pending"))</f>
        <v/>
      </c>
    </row>
    <row r="34">
      <c r="A34" s="19" t="inlineStr">
        <is>
          <t>M015-Q01</t>
        </is>
      </c>
      <c r="B34" s="19" t="inlineStr">
        <is>
          <t>MISS-M015-Q01-02</t>
        </is>
      </c>
      <c r="C34" s="21" t="n"/>
      <c r="D34" s="21" t="n"/>
      <c r="E34" s="21" t="n"/>
      <c r="F34" s="21" t="n"/>
      <c r="G34" s="21" t="n"/>
      <c r="H34" s="21" t="n"/>
      <c r="I34" s="21" t="n"/>
      <c r="J34" s="17">
        <f>IF(AND(B34="",C34="",D34="",E34="",F34="",G34="",H34="",I34=""),"",IF(AND(A34&lt;&gt;"",C34&lt;&gt;"",D34&lt;&gt;"",E34&lt;&gt;"",F34&lt;&gt;"",H34&lt;&gt;""),"Complete","Pending"))</f>
        <v/>
      </c>
    </row>
    <row r="35">
      <c r="A35" s="19" t="inlineStr">
        <is>
          <t>M015-Q01</t>
        </is>
      </c>
      <c r="B35" s="19" t="inlineStr">
        <is>
          <t>MISS-M015-Q01-03</t>
        </is>
      </c>
      <c r="C35" s="21" t="n"/>
      <c r="D35" s="21" t="n"/>
      <c r="E35" s="21" t="n"/>
      <c r="F35" s="21" t="n"/>
      <c r="G35" s="21" t="n"/>
      <c r="H35" s="21" t="n"/>
      <c r="I35" s="21" t="n"/>
      <c r="J35" s="17">
        <f>IF(AND(B35="",C35="",D35="",E35="",F35="",G35="",H35="",I35=""),"",IF(AND(A35&lt;&gt;"",C35&lt;&gt;"",D35&lt;&gt;"",E35&lt;&gt;"",F35&lt;&gt;"",H35&lt;&gt;""),"Complete","Pending"))</f>
        <v/>
      </c>
    </row>
    <row r="36">
      <c r="A36" s="19" t="inlineStr">
        <is>
          <t>M016-Q01</t>
        </is>
      </c>
      <c r="B36" s="19" t="inlineStr">
        <is>
          <t>MISS-M016-Q01-01</t>
        </is>
      </c>
      <c r="C36" s="21" t="n"/>
      <c r="D36" s="21" t="n"/>
      <c r="E36" s="21" t="n"/>
      <c r="F36" s="21" t="n"/>
      <c r="G36" s="21" t="n"/>
      <c r="H36" s="21" t="n"/>
      <c r="I36" s="21" t="n"/>
      <c r="J36" s="17">
        <f>IF(AND(B36="",C36="",D36="",E36="",F36="",G36="",H36="",I36=""),"",IF(AND(A36&lt;&gt;"",C36&lt;&gt;"",D36&lt;&gt;"",E36&lt;&gt;"",F36&lt;&gt;"",H36&lt;&gt;""),"Complete","Pending"))</f>
        <v/>
      </c>
    </row>
    <row r="37">
      <c r="A37" s="19" t="inlineStr">
        <is>
          <t>M016-Q01</t>
        </is>
      </c>
      <c r="B37" s="19" t="inlineStr">
        <is>
          <t>MISS-M016-Q01-02</t>
        </is>
      </c>
      <c r="C37" s="21" t="n"/>
      <c r="D37" s="21" t="n"/>
      <c r="E37" s="21" t="n"/>
      <c r="F37" s="21" t="n"/>
      <c r="G37" s="21" t="n"/>
      <c r="H37" s="21" t="n"/>
      <c r="I37" s="21" t="n"/>
      <c r="J37" s="17">
        <f>IF(AND(B37="",C37="",D37="",E37="",F37="",G37="",H37="",I37=""),"",IF(AND(A37&lt;&gt;"",C37&lt;&gt;"",D37&lt;&gt;"",E37&lt;&gt;"",F37&lt;&gt;"",H37&lt;&gt;""),"Complete","Pending"))</f>
        <v/>
      </c>
    </row>
    <row r="38">
      <c r="A38" s="19" t="inlineStr">
        <is>
          <t>M016-Q01</t>
        </is>
      </c>
      <c r="B38" s="19" t="inlineStr">
        <is>
          <t>MISS-M016-Q01-03</t>
        </is>
      </c>
      <c r="C38" s="21" t="n"/>
      <c r="D38" s="21" t="n"/>
      <c r="E38" s="21" t="n"/>
      <c r="F38" s="21" t="n"/>
      <c r="G38" s="21" t="n"/>
      <c r="H38" s="21" t="n"/>
      <c r="I38" s="21" t="n"/>
      <c r="J38" s="17">
        <f>IF(AND(B38="",C38="",D38="",E38="",F38="",G38="",H38="",I38=""),"",IF(AND(A38&lt;&gt;"",C38&lt;&gt;"",D38&lt;&gt;"",E38&lt;&gt;"",F38&lt;&gt;"",H38&lt;&gt;""),"Complete","Pending"))</f>
        <v/>
      </c>
    </row>
    <row r="39">
      <c r="A39" s="19" t="inlineStr">
        <is>
          <t>M021-Q01</t>
        </is>
      </c>
      <c r="B39" s="19" t="inlineStr">
        <is>
          <t>MISS-M021-Q01-01</t>
        </is>
      </c>
      <c r="C39" s="21" t="n"/>
      <c r="D39" s="21" t="n"/>
      <c r="E39" s="21" t="n"/>
      <c r="F39" s="21" t="n"/>
      <c r="G39" s="21" t="n"/>
      <c r="H39" s="21" t="n"/>
      <c r="I39" s="21" t="n"/>
      <c r="J39" s="17">
        <f>IF(AND(B39="",C39="",D39="",E39="",F39="",G39="",H39="",I39=""),"",IF(AND(A39&lt;&gt;"",C39&lt;&gt;"",D39&lt;&gt;"",E39&lt;&gt;"",F39&lt;&gt;"",H39&lt;&gt;""),"Complete","Pending"))</f>
        <v/>
      </c>
    </row>
    <row r="40">
      <c r="A40" s="19" t="inlineStr">
        <is>
          <t>M021-Q01</t>
        </is>
      </c>
      <c r="B40" s="19" t="inlineStr">
        <is>
          <t>MISS-M021-Q01-02</t>
        </is>
      </c>
      <c r="C40" s="21" t="n"/>
      <c r="D40" s="21" t="n"/>
      <c r="E40" s="21" t="n"/>
      <c r="F40" s="21" t="n"/>
      <c r="G40" s="21" t="n"/>
      <c r="H40" s="21" t="n"/>
      <c r="I40" s="21" t="n"/>
      <c r="J40" s="17">
        <f>IF(AND(B40="",C40="",D40="",E40="",F40="",G40="",H40="",I40=""),"",IF(AND(A40&lt;&gt;"",C40&lt;&gt;"",D40&lt;&gt;"",E40&lt;&gt;"",F40&lt;&gt;"",H40&lt;&gt;""),"Complete","Pending"))</f>
        <v/>
      </c>
    </row>
    <row r="41">
      <c r="A41" s="19" t="inlineStr">
        <is>
          <t>M021-Q01</t>
        </is>
      </c>
      <c r="B41" s="19" t="inlineStr">
        <is>
          <t>MISS-M021-Q01-03</t>
        </is>
      </c>
      <c r="C41" s="21" t="n"/>
      <c r="D41" s="21" t="n"/>
      <c r="E41" s="21" t="n"/>
      <c r="F41" s="21" t="n"/>
      <c r="G41" s="21" t="n"/>
      <c r="H41" s="21" t="n"/>
      <c r="I41" s="21" t="n"/>
      <c r="J41" s="17">
        <f>IF(AND(B41="",C41="",D41="",E41="",F41="",G41="",H41="",I41=""),"",IF(AND(A41&lt;&gt;"",C41&lt;&gt;"",D41&lt;&gt;"",E41&lt;&gt;"",F41&lt;&gt;"",H41&lt;&gt;""),"Complete","Pending"))</f>
        <v/>
      </c>
    </row>
    <row r="42">
      <c r="A42" s="19" t="inlineStr">
        <is>
          <t>M023-Q02</t>
        </is>
      </c>
      <c r="B42" s="19" t="inlineStr">
        <is>
          <t>MISS-M023-Q02-01</t>
        </is>
      </c>
      <c r="C42" s="21" t="n"/>
      <c r="D42" s="21" t="n"/>
      <c r="E42" s="21" t="n"/>
      <c r="F42" s="21" t="n"/>
      <c r="G42" s="21" t="n"/>
      <c r="H42" s="21" t="n"/>
      <c r="I42" s="21" t="n"/>
      <c r="J42" s="17">
        <f>IF(AND(B42="",C42="",D42="",E42="",F42="",G42="",H42="",I42=""),"",IF(AND(A42&lt;&gt;"",C42&lt;&gt;"",D42&lt;&gt;"",E42&lt;&gt;"",F42&lt;&gt;"",H42&lt;&gt;""),"Complete","Pending"))</f>
        <v/>
      </c>
    </row>
    <row r="43">
      <c r="A43" s="19" t="inlineStr">
        <is>
          <t>M023-Q02</t>
        </is>
      </c>
      <c r="B43" s="19" t="inlineStr">
        <is>
          <t>MISS-M023-Q02-02</t>
        </is>
      </c>
      <c r="C43" s="21" t="n"/>
      <c r="D43" s="21" t="n"/>
      <c r="E43" s="21" t="n"/>
      <c r="F43" s="21" t="n"/>
      <c r="G43" s="21" t="n"/>
      <c r="H43" s="21" t="n"/>
      <c r="I43" s="21" t="n"/>
      <c r="J43" s="17">
        <f>IF(AND(B43="",C43="",D43="",E43="",F43="",G43="",H43="",I43=""),"",IF(AND(A43&lt;&gt;"",C43&lt;&gt;"",D43&lt;&gt;"",E43&lt;&gt;"",F43&lt;&gt;"",H43&lt;&gt;""),"Complete","Pending"))</f>
        <v/>
      </c>
    </row>
    <row r="44">
      <c r="A44" s="19" t="inlineStr">
        <is>
          <t>M023-Q02</t>
        </is>
      </c>
      <c r="B44" s="19" t="inlineStr">
        <is>
          <t>MISS-M023-Q02-03</t>
        </is>
      </c>
      <c r="C44" s="21" t="n"/>
      <c r="D44" s="21" t="n"/>
      <c r="E44" s="21" t="n"/>
      <c r="F44" s="21" t="n"/>
      <c r="G44" s="21" t="n"/>
      <c r="H44" s="21" t="n"/>
      <c r="I44" s="21" t="n"/>
      <c r="J44" s="17">
        <f>IF(AND(B44="",C44="",D44="",E44="",F44="",G44="",H44="",I44=""),"",IF(AND(A44&lt;&gt;"",C44&lt;&gt;"",D44&lt;&gt;"",E44&lt;&gt;"",F44&lt;&gt;"",H44&lt;&gt;""),"Complete","Pending"))</f>
        <v/>
      </c>
    </row>
    <row r="45">
      <c r="A45" s="19" t="inlineStr">
        <is>
          <t>M025-Q01</t>
        </is>
      </c>
      <c r="B45" s="19" t="inlineStr">
        <is>
          <t>MISS-M025-Q01-01</t>
        </is>
      </c>
      <c r="C45" s="21" t="n"/>
      <c r="D45" s="21" t="n"/>
      <c r="E45" s="21" t="n"/>
      <c r="F45" s="21" t="n"/>
      <c r="G45" s="21" t="n"/>
      <c r="H45" s="21" t="n"/>
      <c r="I45" s="21" t="n"/>
      <c r="J45" s="17">
        <f>IF(AND(B45="",C45="",D45="",E45="",F45="",G45="",H45="",I45=""),"",IF(AND(A45&lt;&gt;"",C45&lt;&gt;"",D45&lt;&gt;"",E45&lt;&gt;"",F45&lt;&gt;"",H45&lt;&gt;""),"Complete","Pending"))</f>
        <v/>
      </c>
    </row>
    <row r="46">
      <c r="A46" s="19" t="inlineStr">
        <is>
          <t>M025-Q01</t>
        </is>
      </c>
      <c r="B46" s="19" t="inlineStr">
        <is>
          <t>MISS-M025-Q01-02</t>
        </is>
      </c>
      <c r="C46" s="21" t="n"/>
      <c r="D46" s="21" t="n"/>
      <c r="E46" s="21" t="n"/>
      <c r="F46" s="21" t="n"/>
      <c r="G46" s="21" t="n"/>
      <c r="H46" s="21" t="n"/>
      <c r="I46" s="21" t="n"/>
      <c r="J46" s="17">
        <f>IF(AND(B46="",C46="",D46="",E46="",F46="",G46="",H46="",I46=""),"",IF(AND(A46&lt;&gt;"",C46&lt;&gt;"",D46&lt;&gt;"",E46&lt;&gt;"",F46&lt;&gt;"",H46&lt;&gt;""),"Complete","Pending"))</f>
        <v/>
      </c>
    </row>
    <row r="47">
      <c r="A47" s="19" t="inlineStr">
        <is>
          <t>M025-Q01</t>
        </is>
      </c>
      <c r="B47" s="19" t="inlineStr">
        <is>
          <t>MISS-M025-Q01-03</t>
        </is>
      </c>
      <c r="C47" s="21" t="n"/>
      <c r="D47" s="21" t="n"/>
      <c r="E47" s="21" t="n"/>
      <c r="F47" s="21" t="n"/>
      <c r="G47" s="21" t="n"/>
      <c r="H47" s="21" t="n"/>
      <c r="I47" s="21" t="n"/>
      <c r="J47" s="17">
        <f>IF(AND(B47="",C47="",D47="",E47="",F47="",G47="",H47="",I47=""),"",IF(AND(A47&lt;&gt;"",C47&lt;&gt;"",D47&lt;&gt;"",E47&lt;&gt;"",F47&lt;&gt;"",H47&lt;&gt;""),"Complete","Pending"))</f>
        <v/>
      </c>
    </row>
    <row r="48">
      <c r="A48" s="19" t="inlineStr">
        <is>
          <t>M025-Q02</t>
        </is>
      </c>
      <c r="B48" s="19" t="inlineStr">
        <is>
          <t>MISS-M025-Q02-01</t>
        </is>
      </c>
      <c r="C48" s="21" t="n"/>
      <c r="D48" s="21" t="n"/>
      <c r="E48" s="21" t="n"/>
      <c r="F48" s="21" t="n"/>
      <c r="G48" s="21" t="n"/>
      <c r="H48" s="21" t="n"/>
      <c r="I48" s="21" t="n"/>
      <c r="J48" s="17">
        <f>IF(AND(B48="",C48="",D48="",E48="",F48="",G48="",H48="",I48=""),"",IF(AND(A48&lt;&gt;"",C48&lt;&gt;"",D48&lt;&gt;"",E48&lt;&gt;"",F48&lt;&gt;"",H48&lt;&gt;""),"Complete","Pending"))</f>
        <v/>
      </c>
    </row>
    <row r="49">
      <c r="A49" s="19" t="inlineStr">
        <is>
          <t>M025-Q02</t>
        </is>
      </c>
      <c r="B49" s="19" t="inlineStr">
        <is>
          <t>MISS-M025-Q02-02</t>
        </is>
      </c>
      <c r="C49" s="21" t="n"/>
      <c r="D49" s="21" t="n"/>
      <c r="E49" s="21" t="n"/>
      <c r="F49" s="21" t="n"/>
      <c r="G49" s="21" t="n"/>
      <c r="H49" s="21" t="n"/>
      <c r="I49" s="21" t="n"/>
      <c r="J49" s="17">
        <f>IF(AND(B49="",C49="",D49="",E49="",F49="",G49="",H49="",I49=""),"",IF(AND(A49&lt;&gt;"",C49&lt;&gt;"",D49&lt;&gt;"",E49&lt;&gt;"",F49&lt;&gt;"",H49&lt;&gt;""),"Complete","Pending"))</f>
        <v/>
      </c>
    </row>
    <row r="50">
      <c r="A50" s="19" t="inlineStr">
        <is>
          <t>M025-Q02</t>
        </is>
      </c>
      <c r="B50" s="19" t="inlineStr">
        <is>
          <t>MISS-M025-Q02-03</t>
        </is>
      </c>
      <c r="C50" s="21" t="n"/>
      <c r="D50" s="21" t="n"/>
      <c r="E50" s="21" t="n"/>
      <c r="F50" s="21" t="n"/>
      <c r="G50" s="21" t="n"/>
      <c r="H50" s="21" t="n"/>
      <c r="I50" s="21" t="n"/>
      <c r="J50" s="17">
        <f>IF(AND(B50="",C50="",D50="",E50="",F50="",G50="",H50="",I50=""),"",IF(AND(A50&lt;&gt;"",C50&lt;&gt;"",D50&lt;&gt;"",E50&lt;&gt;"",F50&lt;&gt;"",H50&lt;&gt;""),"Complete","Pending"))</f>
        <v/>
      </c>
    </row>
    <row r="51">
      <c r="A51" s="19" t="inlineStr">
        <is>
          <t>M027-Q01</t>
        </is>
      </c>
      <c r="B51" s="19" t="inlineStr">
        <is>
          <t>MISS-M027-Q01-01</t>
        </is>
      </c>
      <c r="C51" s="21" t="n"/>
      <c r="D51" s="21" t="n"/>
      <c r="E51" s="21" t="n"/>
      <c r="F51" s="21" t="n"/>
      <c r="G51" s="21" t="n"/>
      <c r="H51" s="21" t="n"/>
      <c r="I51" s="21" t="n"/>
      <c r="J51" s="17">
        <f>IF(AND(B51="",C51="",D51="",E51="",F51="",G51="",H51="",I51=""),"",IF(AND(A51&lt;&gt;"",C51&lt;&gt;"",D51&lt;&gt;"",E51&lt;&gt;"",F51&lt;&gt;"",H51&lt;&gt;""),"Complete","Pending"))</f>
        <v/>
      </c>
    </row>
    <row r="52">
      <c r="A52" s="19" t="inlineStr">
        <is>
          <t>M027-Q01</t>
        </is>
      </c>
      <c r="B52" s="19" t="inlineStr">
        <is>
          <t>MISS-M027-Q01-02</t>
        </is>
      </c>
      <c r="C52" s="21" t="n"/>
      <c r="D52" s="21" t="n"/>
      <c r="E52" s="21" t="n"/>
      <c r="F52" s="21" t="n"/>
      <c r="G52" s="21" t="n"/>
      <c r="H52" s="21" t="n"/>
      <c r="I52" s="21" t="n"/>
      <c r="J52" s="17">
        <f>IF(AND(B52="",C52="",D52="",E52="",F52="",G52="",H52="",I52=""),"",IF(AND(A52&lt;&gt;"",C52&lt;&gt;"",D52&lt;&gt;"",E52&lt;&gt;"",F52&lt;&gt;"",H52&lt;&gt;""),"Complete","Pending"))</f>
        <v/>
      </c>
    </row>
    <row r="53">
      <c r="A53" s="19" t="inlineStr">
        <is>
          <t>M027-Q01</t>
        </is>
      </c>
      <c r="B53" s="19" t="inlineStr">
        <is>
          <t>MISS-M027-Q01-03</t>
        </is>
      </c>
      <c r="C53" s="21" t="n"/>
      <c r="D53" s="21" t="n"/>
      <c r="E53" s="21" t="n"/>
      <c r="F53" s="21" t="n"/>
      <c r="G53" s="21" t="n"/>
      <c r="H53" s="21" t="n"/>
      <c r="I53" s="21" t="n"/>
      <c r="J53" s="17">
        <f>IF(AND(B53="",C53="",D53="",E53="",F53="",G53="",H53="",I53=""),"",IF(AND(A53&lt;&gt;"",C53&lt;&gt;"",D53&lt;&gt;"",E53&lt;&gt;"",F53&lt;&gt;"",H53&lt;&gt;""),"Complete","Pending"))</f>
        <v/>
      </c>
    </row>
    <row r="54">
      <c r="A54" s="19" t="inlineStr">
        <is>
          <t>M027-Q02</t>
        </is>
      </c>
      <c r="B54" s="19" t="inlineStr">
        <is>
          <t>MISS-M027-Q02-01</t>
        </is>
      </c>
      <c r="C54" s="21" t="n"/>
      <c r="D54" s="21" t="n"/>
      <c r="E54" s="21" t="n"/>
      <c r="F54" s="21" t="n"/>
      <c r="G54" s="21" t="n"/>
      <c r="H54" s="21" t="n"/>
      <c r="I54" s="21" t="n"/>
      <c r="J54" s="17">
        <f>IF(AND(B54="",C54="",D54="",E54="",F54="",G54="",H54="",I54=""),"",IF(AND(A54&lt;&gt;"",C54&lt;&gt;"",D54&lt;&gt;"",E54&lt;&gt;"",F54&lt;&gt;"",H54&lt;&gt;""),"Complete","Pending"))</f>
        <v/>
      </c>
    </row>
    <row r="55">
      <c r="A55" s="19" t="inlineStr">
        <is>
          <t>M027-Q02</t>
        </is>
      </c>
      <c r="B55" s="19" t="inlineStr">
        <is>
          <t>MISS-M027-Q02-02</t>
        </is>
      </c>
      <c r="C55" s="21" t="n"/>
      <c r="D55" s="21" t="n"/>
      <c r="E55" s="21" t="n"/>
      <c r="F55" s="21" t="n"/>
      <c r="G55" s="21" t="n"/>
      <c r="H55" s="21" t="n"/>
      <c r="I55" s="21" t="n"/>
      <c r="J55" s="17">
        <f>IF(AND(B55="",C55="",D55="",E55="",F55="",G55="",H55="",I55=""),"",IF(AND(A55&lt;&gt;"",C55&lt;&gt;"",D55&lt;&gt;"",E55&lt;&gt;"",F55&lt;&gt;"",H55&lt;&gt;""),"Complete","Pending"))</f>
        <v/>
      </c>
    </row>
    <row r="56">
      <c r="A56" s="19" t="inlineStr">
        <is>
          <t>M027-Q02</t>
        </is>
      </c>
      <c r="B56" s="19" t="inlineStr">
        <is>
          <t>MISS-M027-Q02-03</t>
        </is>
      </c>
      <c r="C56" s="21" t="n"/>
      <c r="D56" s="21" t="n"/>
      <c r="E56" s="21" t="n"/>
      <c r="F56" s="21" t="n"/>
      <c r="G56" s="21" t="n"/>
      <c r="H56" s="21" t="n"/>
      <c r="I56" s="21" t="n"/>
      <c r="J56" s="17">
        <f>IF(AND(B56="",C56="",D56="",E56="",F56="",G56="",H56="",I56=""),"",IF(AND(A56&lt;&gt;"",C56&lt;&gt;"",D56&lt;&gt;"",E56&lt;&gt;"",F56&lt;&gt;"",H56&lt;&gt;""),"Complete","Pending"))</f>
        <v/>
      </c>
    </row>
    <row r="57">
      <c r="A57" s="19" t="inlineStr">
        <is>
          <t>M032-Q01</t>
        </is>
      </c>
      <c r="B57" s="19" t="inlineStr">
        <is>
          <t>MISS-M032-Q01-01</t>
        </is>
      </c>
      <c r="C57" s="21" t="n"/>
      <c r="D57" s="21" t="n"/>
      <c r="E57" s="21" t="n"/>
      <c r="F57" s="21" t="n"/>
      <c r="G57" s="21" t="n"/>
      <c r="H57" s="21" t="n"/>
      <c r="I57" s="21" t="n"/>
      <c r="J57" s="17">
        <f>IF(AND(B57="",C57="",D57="",E57="",F57="",G57="",H57="",I57=""),"",IF(AND(A57&lt;&gt;"",C57&lt;&gt;"",D57&lt;&gt;"",E57&lt;&gt;"",F57&lt;&gt;"",H57&lt;&gt;""),"Complete","Pending"))</f>
        <v/>
      </c>
    </row>
    <row r="58">
      <c r="A58" s="19" t="inlineStr">
        <is>
          <t>M032-Q01</t>
        </is>
      </c>
      <c r="B58" s="19" t="inlineStr">
        <is>
          <t>MISS-M032-Q01-02</t>
        </is>
      </c>
      <c r="C58" s="21" t="n"/>
      <c r="D58" s="21" t="n"/>
      <c r="E58" s="21" t="n"/>
      <c r="F58" s="21" t="n"/>
      <c r="G58" s="21" t="n"/>
      <c r="H58" s="21" t="n"/>
      <c r="I58" s="21" t="n"/>
      <c r="J58" s="17">
        <f>IF(AND(B58="",C58="",D58="",E58="",F58="",G58="",H58="",I58=""),"",IF(AND(A58&lt;&gt;"",C58&lt;&gt;"",D58&lt;&gt;"",E58&lt;&gt;"",F58&lt;&gt;"",H58&lt;&gt;""),"Complete","Pending"))</f>
        <v/>
      </c>
    </row>
    <row r="59">
      <c r="A59" s="19" t="inlineStr">
        <is>
          <t>M032-Q01</t>
        </is>
      </c>
      <c r="B59" s="19" t="inlineStr">
        <is>
          <t>MISS-M032-Q01-03</t>
        </is>
      </c>
      <c r="C59" s="21" t="n"/>
      <c r="D59" s="21" t="n"/>
      <c r="E59" s="21" t="n"/>
      <c r="F59" s="21" t="n"/>
      <c r="G59" s="21" t="n"/>
      <c r="H59" s="21" t="n"/>
      <c r="I59" s="21" t="n"/>
      <c r="J59" s="17">
        <f>IF(AND(B59="",C59="",D59="",E59="",F59="",G59="",H59="",I59=""),"",IF(AND(A59&lt;&gt;"",C59&lt;&gt;"",D59&lt;&gt;"",E59&lt;&gt;"",F59&lt;&gt;"",H59&lt;&gt;""),"Complete","Pending"))</f>
        <v/>
      </c>
    </row>
    <row r="60">
      <c r="A60" s="19" t="inlineStr">
        <is>
          <t>M036-Q01</t>
        </is>
      </c>
      <c r="B60" s="19" t="inlineStr">
        <is>
          <t>MISS-M036-Q01-01</t>
        </is>
      </c>
      <c r="C60" s="21" t="n"/>
      <c r="D60" s="21" t="n"/>
      <c r="E60" s="21" t="n"/>
      <c r="F60" s="21" t="n"/>
      <c r="G60" s="21" t="n"/>
      <c r="H60" s="21" t="n"/>
      <c r="I60" s="21" t="n"/>
      <c r="J60" s="17">
        <f>IF(AND(B60="",C60="",D60="",E60="",F60="",G60="",H60="",I60=""),"",IF(AND(A60&lt;&gt;"",C60&lt;&gt;"",D60&lt;&gt;"",E60&lt;&gt;"",F60&lt;&gt;"",H60&lt;&gt;""),"Complete","Pending"))</f>
        <v/>
      </c>
    </row>
    <row r="61">
      <c r="A61" s="19" t="inlineStr">
        <is>
          <t>M036-Q01</t>
        </is>
      </c>
      <c r="B61" s="19" t="inlineStr">
        <is>
          <t>MISS-M036-Q01-02</t>
        </is>
      </c>
      <c r="C61" s="21" t="n"/>
      <c r="D61" s="21" t="n"/>
      <c r="E61" s="21" t="n"/>
      <c r="F61" s="21" t="n"/>
      <c r="G61" s="21" t="n"/>
      <c r="H61" s="21" t="n"/>
      <c r="I61" s="21" t="n"/>
      <c r="J61" s="17">
        <f>IF(AND(B61="",C61="",D61="",E61="",F61="",G61="",H61="",I61=""),"",IF(AND(A61&lt;&gt;"",C61&lt;&gt;"",D61&lt;&gt;"",E61&lt;&gt;"",F61&lt;&gt;"",H61&lt;&gt;""),"Complete","Pending"))</f>
        <v/>
      </c>
    </row>
    <row r="62">
      <c r="A62" s="19" t="inlineStr">
        <is>
          <t>M036-Q01</t>
        </is>
      </c>
      <c r="B62" s="19" t="inlineStr">
        <is>
          <t>MISS-M036-Q01-03</t>
        </is>
      </c>
      <c r="C62" s="21" t="n"/>
      <c r="D62" s="21" t="n"/>
      <c r="E62" s="21" t="n"/>
      <c r="F62" s="21" t="n"/>
      <c r="G62" s="21" t="n"/>
      <c r="H62" s="21" t="n"/>
      <c r="I62" s="21" t="n"/>
      <c r="J62" s="17">
        <f>IF(AND(B62="",C62="",D62="",E62="",F62="",G62="",H62="",I62=""),"",IF(AND(A62&lt;&gt;"",C62&lt;&gt;"",D62&lt;&gt;"",E62&lt;&gt;"",F62&lt;&gt;"",H62&lt;&gt;""),"Complete","Pending"))</f>
        <v/>
      </c>
    </row>
    <row r="63">
      <c r="A63" s="19" t="inlineStr">
        <is>
          <t>M036-Q02</t>
        </is>
      </c>
      <c r="B63" s="19" t="inlineStr">
        <is>
          <t>MISS-M036-Q02-01</t>
        </is>
      </c>
      <c r="C63" s="21" t="n"/>
      <c r="D63" s="21" t="n"/>
      <c r="E63" s="21" t="n"/>
      <c r="F63" s="21" t="n"/>
      <c r="G63" s="21" t="n"/>
      <c r="H63" s="21" t="n"/>
      <c r="I63" s="21" t="n"/>
      <c r="J63" s="17">
        <f>IF(AND(B63="",C63="",D63="",E63="",F63="",G63="",H63="",I63=""),"",IF(AND(A63&lt;&gt;"",C63&lt;&gt;"",D63&lt;&gt;"",E63&lt;&gt;"",F63&lt;&gt;"",H63&lt;&gt;""),"Complete","Pending"))</f>
        <v/>
      </c>
    </row>
    <row r="64">
      <c r="A64" s="19" t="inlineStr">
        <is>
          <t>M036-Q02</t>
        </is>
      </c>
      <c r="B64" s="19" t="inlineStr">
        <is>
          <t>MISS-M036-Q02-02</t>
        </is>
      </c>
      <c r="C64" s="21" t="n"/>
      <c r="D64" s="21" t="n"/>
      <c r="E64" s="21" t="n"/>
      <c r="F64" s="21" t="n"/>
      <c r="G64" s="21" t="n"/>
      <c r="H64" s="21" t="n"/>
      <c r="I64" s="21" t="n"/>
      <c r="J64" s="17">
        <f>IF(AND(B64="",C64="",D64="",E64="",F64="",G64="",H64="",I64=""),"",IF(AND(A64&lt;&gt;"",C64&lt;&gt;"",D64&lt;&gt;"",E64&lt;&gt;"",F64&lt;&gt;"",H64&lt;&gt;""),"Complete","Pending"))</f>
        <v/>
      </c>
    </row>
    <row r="65">
      <c r="A65" s="19" t="inlineStr">
        <is>
          <t>M036-Q02</t>
        </is>
      </c>
      <c r="B65" s="19" t="inlineStr">
        <is>
          <t>MISS-M036-Q02-03</t>
        </is>
      </c>
      <c r="C65" s="21" t="n"/>
      <c r="D65" s="21" t="n"/>
      <c r="E65" s="21" t="n"/>
      <c r="F65" s="21" t="n"/>
      <c r="G65" s="21" t="n"/>
      <c r="H65" s="21" t="n"/>
      <c r="I65" s="21" t="n"/>
      <c r="J65" s="17">
        <f>IF(AND(B65="",C65="",D65="",E65="",F65="",G65="",H65="",I65=""),"",IF(AND(A65&lt;&gt;"",C65&lt;&gt;"",D65&lt;&gt;"",E65&lt;&gt;"",F65&lt;&gt;"",H65&lt;&gt;""),"Complete","Pending"))</f>
        <v/>
      </c>
    </row>
    <row r="66">
      <c r="A66" s="19" t="inlineStr">
        <is>
          <t>M039-Q01</t>
        </is>
      </c>
      <c r="B66" s="19" t="inlineStr">
        <is>
          <t>MISS-M039-Q01-01</t>
        </is>
      </c>
      <c r="C66" s="21" t="n"/>
      <c r="D66" s="21" t="n"/>
      <c r="E66" s="21" t="n"/>
      <c r="F66" s="21" t="n"/>
      <c r="G66" s="21" t="n"/>
      <c r="H66" s="21" t="n"/>
      <c r="I66" s="21" t="n"/>
      <c r="J66" s="17">
        <f>IF(AND(B66="",C66="",D66="",E66="",F66="",G66="",H66="",I66=""),"",IF(AND(A66&lt;&gt;"",C66&lt;&gt;"",D66&lt;&gt;"",E66&lt;&gt;"",F66&lt;&gt;"",H66&lt;&gt;""),"Complete","Pending"))</f>
        <v/>
      </c>
    </row>
    <row r="67">
      <c r="A67" s="19" t="inlineStr">
        <is>
          <t>M039-Q01</t>
        </is>
      </c>
      <c r="B67" s="19" t="inlineStr">
        <is>
          <t>MISS-M039-Q01-02</t>
        </is>
      </c>
      <c r="C67" s="21" t="n"/>
      <c r="D67" s="21" t="n"/>
      <c r="E67" s="21" t="n"/>
      <c r="F67" s="21" t="n"/>
      <c r="G67" s="21" t="n"/>
      <c r="H67" s="21" t="n"/>
      <c r="I67" s="21" t="n"/>
      <c r="J67" s="17">
        <f>IF(AND(B67="",C67="",D67="",E67="",F67="",G67="",H67="",I67=""),"",IF(AND(A67&lt;&gt;"",C67&lt;&gt;"",D67&lt;&gt;"",E67&lt;&gt;"",F67&lt;&gt;"",H67&lt;&gt;""),"Complete","Pending"))</f>
        <v/>
      </c>
    </row>
    <row r="68">
      <c r="A68" s="19" t="inlineStr">
        <is>
          <t>M039-Q01</t>
        </is>
      </c>
      <c r="B68" s="19" t="inlineStr">
        <is>
          <t>MISS-M039-Q01-03</t>
        </is>
      </c>
      <c r="C68" s="21" t="n"/>
      <c r="D68" s="21" t="n"/>
      <c r="E68" s="21" t="n"/>
      <c r="F68" s="21" t="n"/>
      <c r="G68" s="21" t="n"/>
      <c r="H68" s="21" t="n"/>
      <c r="I68" s="21" t="n"/>
      <c r="J68" s="17">
        <f>IF(AND(B68="",C68="",D68="",E68="",F68="",G68="",H68="",I68=""),"",IF(AND(A68&lt;&gt;"",C68&lt;&gt;"",D68&lt;&gt;"",E68&lt;&gt;"",F68&lt;&gt;"",H68&lt;&gt;""),"Complete","Pending"))</f>
        <v/>
      </c>
    </row>
    <row r="69">
      <c r="A69" s="19" t="inlineStr">
        <is>
          <t>M047-Q01</t>
        </is>
      </c>
      <c r="B69" s="19" t="inlineStr">
        <is>
          <t>MISS-M047-Q01-01</t>
        </is>
      </c>
      <c r="C69" s="21" t="n"/>
      <c r="D69" s="21" t="n"/>
      <c r="E69" s="21" t="n"/>
      <c r="F69" s="21" t="n"/>
      <c r="G69" s="21" t="n"/>
      <c r="H69" s="21" t="n"/>
      <c r="I69" s="21" t="n"/>
      <c r="J69" s="17">
        <f>IF(AND(B69="",C69="",D69="",E69="",F69="",G69="",H69="",I69=""),"",IF(AND(A69&lt;&gt;"",C69&lt;&gt;"",D69&lt;&gt;"",E69&lt;&gt;"",F69&lt;&gt;"",H69&lt;&gt;""),"Complete","Pending"))</f>
        <v/>
      </c>
    </row>
    <row r="70">
      <c r="A70" s="19" t="inlineStr">
        <is>
          <t>M047-Q01</t>
        </is>
      </c>
      <c r="B70" s="19" t="inlineStr">
        <is>
          <t>MISS-M047-Q01-02</t>
        </is>
      </c>
      <c r="C70" s="21" t="n"/>
      <c r="D70" s="21" t="n"/>
      <c r="E70" s="21" t="n"/>
      <c r="F70" s="21" t="n"/>
      <c r="G70" s="21" t="n"/>
      <c r="H70" s="21" t="n"/>
      <c r="I70" s="21" t="n"/>
      <c r="J70" s="17">
        <f>IF(AND(B70="",C70="",D70="",E70="",F70="",G70="",H70="",I70=""),"",IF(AND(A70&lt;&gt;"",C70&lt;&gt;"",D70&lt;&gt;"",E70&lt;&gt;"",F70&lt;&gt;"",H70&lt;&gt;""),"Complete","Pending"))</f>
        <v/>
      </c>
    </row>
    <row r="71">
      <c r="A71" s="19" t="inlineStr">
        <is>
          <t>M047-Q01</t>
        </is>
      </c>
      <c r="B71" s="19" t="inlineStr">
        <is>
          <t>MISS-M047-Q01-03</t>
        </is>
      </c>
      <c r="C71" s="21" t="n"/>
      <c r="D71" s="21" t="n"/>
      <c r="E71" s="21" t="n"/>
      <c r="F71" s="21" t="n"/>
      <c r="G71" s="21" t="n"/>
      <c r="H71" s="21" t="n"/>
      <c r="I71" s="21" t="n"/>
      <c r="J71" s="17">
        <f>IF(AND(B71="",C71="",D71="",E71="",F71="",G71="",H71="",I71=""),"",IF(AND(A71&lt;&gt;"",C71&lt;&gt;"",D71&lt;&gt;"",E71&lt;&gt;"",F71&lt;&gt;"",H71&lt;&gt;""),"Complete","Pending"))</f>
        <v/>
      </c>
    </row>
    <row r="72">
      <c r="A72" s="19" t="inlineStr">
        <is>
          <t>M049-Q01</t>
        </is>
      </c>
      <c r="B72" s="19" t="inlineStr">
        <is>
          <t>MISS-M049-Q01-01</t>
        </is>
      </c>
      <c r="C72" s="21" t="n"/>
      <c r="D72" s="21" t="n"/>
      <c r="E72" s="21" t="n"/>
      <c r="F72" s="21" t="n"/>
      <c r="G72" s="21" t="n"/>
      <c r="H72" s="21" t="n"/>
      <c r="I72" s="21" t="n"/>
      <c r="J72" s="17">
        <f>IF(AND(B72="",C72="",D72="",E72="",F72="",G72="",H72="",I72=""),"",IF(AND(A72&lt;&gt;"",C72&lt;&gt;"",D72&lt;&gt;"",E72&lt;&gt;"",F72&lt;&gt;"",H72&lt;&gt;""),"Complete","Pending"))</f>
        <v/>
      </c>
    </row>
    <row r="73">
      <c r="A73" s="19" t="inlineStr">
        <is>
          <t>M049-Q01</t>
        </is>
      </c>
      <c r="B73" s="19" t="inlineStr">
        <is>
          <t>MISS-M049-Q01-02</t>
        </is>
      </c>
      <c r="C73" s="21" t="n"/>
      <c r="D73" s="21" t="n"/>
      <c r="E73" s="21" t="n"/>
      <c r="F73" s="21" t="n"/>
      <c r="G73" s="21" t="n"/>
      <c r="H73" s="21" t="n"/>
      <c r="I73" s="21" t="n"/>
      <c r="J73" s="17">
        <f>IF(AND(B73="",C73="",D73="",E73="",F73="",G73="",H73="",I73=""),"",IF(AND(A73&lt;&gt;"",C73&lt;&gt;"",D73&lt;&gt;"",E73&lt;&gt;"",F73&lt;&gt;"",H73&lt;&gt;""),"Complete","Pending"))</f>
        <v/>
      </c>
    </row>
    <row r="74">
      <c r="A74" s="19" t="inlineStr">
        <is>
          <t>M049-Q01</t>
        </is>
      </c>
      <c r="B74" s="19" t="inlineStr">
        <is>
          <t>MISS-M049-Q01-03</t>
        </is>
      </c>
      <c r="C74" s="21" t="n"/>
      <c r="D74" s="21" t="n"/>
      <c r="E74" s="21" t="n"/>
      <c r="F74" s="21" t="n"/>
      <c r="G74" s="21" t="n"/>
      <c r="H74" s="21" t="n"/>
      <c r="I74" s="21" t="n"/>
      <c r="J74" s="17">
        <f>IF(AND(B74="",C74="",D74="",E74="",F74="",G74="",H74="",I74=""),"",IF(AND(A74&lt;&gt;"",C74&lt;&gt;"",D74&lt;&gt;"",E74&lt;&gt;"",F74&lt;&gt;"",H74&lt;&gt;""),"Complete","Pending"))</f>
        <v/>
      </c>
    </row>
    <row r="75">
      <c r="A75" s="19" t="inlineStr">
        <is>
          <t>M051-Q01</t>
        </is>
      </c>
      <c r="B75" s="19" t="inlineStr">
        <is>
          <t>MISS-M051-Q01-01</t>
        </is>
      </c>
      <c r="C75" s="21" t="n"/>
      <c r="D75" s="21" t="n"/>
      <c r="E75" s="21" t="n"/>
      <c r="F75" s="21" t="n"/>
      <c r="G75" s="21" t="n"/>
      <c r="H75" s="21" t="n"/>
      <c r="I75" s="21" t="n"/>
      <c r="J75" s="17">
        <f>IF(AND(B75="",C75="",D75="",E75="",F75="",G75="",H75="",I75=""),"",IF(AND(A75&lt;&gt;"",C75&lt;&gt;"",D75&lt;&gt;"",E75&lt;&gt;"",F75&lt;&gt;"",H75&lt;&gt;""),"Complete","Pending"))</f>
        <v/>
      </c>
    </row>
    <row r="76">
      <c r="A76" s="19" t="inlineStr">
        <is>
          <t>M051-Q01</t>
        </is>
      </c>
      <c r="B76" s="19" t="inlineStr">
        <is>
          <t>MISS-M051-Q01-02</t>
        </is>
      </c>
      <c r="C76" s="21" t="n"/>
      <c r="D76" s="21" t="n"/>
      <c r="E76" s="21" t="n"/>
      <c r="F76" s="21" t="n"/>
      <c r="G76" s="21" t="n"/>
      <c r="H76" s="21" t="n"/>
      <c r="I76" s="21" t="n"/>
      <c r="J76" s="17">
        <f>IF(AND(B76="",C76="",D76="",E76="",F76="",G76="",H76="",I76=""),"",IF(AND(A76&lt;&gt;"",C76&lt;&gt;"",D76&lt;&gt;"",E76&lt;&gt;"",F76&lt;&gt;"",H76&lt;&gt;""),"Complete","Pending"))</f>
        <v/>
      </c>
    </row>
    <row r="77">
      <c r="A77" s="19" t="inlineStr">
        <is>
          <t>M051-Q01</t>
        </is>
      </c>
      <c r="B77" s="19" t="inlineStr">
        <is>
          <t>MISS-M051-Q01-03</t>
        </is>
      </c>
      <c r="C77" s="21" t="n"/>
      <c r="D77" s="21" t="n"/>
      <c r="E77" s="21" t="n"/>
      <c r="F77" s="21" t="n"/>
      <c r="G77" s="21" t="n"/>
      <c r="H77" s="21" t="n"/>
      <c r="I77" s="21" t="n"/>
      <c r="J77" s="17">
        <f>IF(AND(B77="",C77="",D77="",E77="",F77="",G77="",H77="",I77=""),"",IF(AND(A77&lt;&gt;"",C77&lt;&gt;"",D77&lt;&gt;"",E77&lt;&gt;"",F77&lt;&gt;"",H77&lt;&gt;""),"Complete","Pending"))</f>
        <v/>
      </c>
    </row>
    <row r="78">
      <c r="A78" s="19" t="inlineStr">
        <is>
          <t>M052-Q01</t>
        </is>
      </c>
      <c r="B78" s="19" t="inlineStr">
        <is>
          <t>MISS-M052-Q01-01</t>
        </is>
      </c>
      <c r="C78" s="21" t="n"/>
      <c r="D78" s="21" t="n"/>
      <c r="E78" s="21" t="n"/>
      <c r="F78" s="21" t="n"/>
      <c r="G78" s="21" t="n"/>
      <c r="H78" s="21" t="n"/>
      <c r="I78" s="21" t="n"/>
      <c r="J78" s="17">
        <f>IF(AND(B78="",C78="",D78="",E78="",F78="",G78="",H78="",I78=""),"",IF(AND(A78&lt;&gt;"",C78&lt;&gt;"",D78&lt;&gt;"",E78&lt;&gt;"",F78&lt;&gt;"",H78&lt;&gt;""),"Complete","Pending"))</f>
        <v/>
      </c>
    </row>
    <row r="79">
      <c r="A79" s="19" t="inlineStr">
        <is>
          <t>M052-Q01</t>
        </is>
      </c>
      <c r="B79" s="19" t="inlineStr">
        <is>
          <t>MISS-M052-Q01-02</t>
        </is>
      </c>
      <c r="C79" s="21" t="n"/>
      <c r="D79" s="21" t="n"/>
      <c r="E79" s="21" t="n"/>
      <c r="F79" s="21" t="n"/>
      <c r="G79" s="21" t="n"/>
      <c r="H79" s="21" t="n"/>
      <c r="I79" s="21" t="n"/>
      <c r="J79" s="17">
        <f>IF(AND(B79="",C79="",D79="",E79="",F79="",G79="",H79="",I79=""),"",IF(AND(A79&lt;&gt;"",C79&lt;&gt;"",D79&lt;&gt;"",E79&lt;&gt;"",F79&lt;&gt;"",H79&lt;&gt;""),"Complete","Pending"))</f>
        <v/>
      </c>
    </row>
    <row r="80">
      <c r="A80" s="19" t="inlineStr">
        <is>
          <t>M052-Q01</t>
        </is>
      </c>
      <c r="B80" s="19" t="inlineStr">
        <is>
          <t>MISS-M052-Q01-03</t>
        </is>
      </c>
      <c r="C80" s="21" t="n"/>
      <c r="D80" s="21" t="n"/>
      <c r="E80" s="21" t="n"/>
      <c r="F80" s="21" t="n"/>
      <c r="G80" s="21" t="n"/>
      <c r="H80" s="21" t="n"/>
      <c r="I80" s="21" t="n"/>
      <c r="J80" s="17">
        <f>IF(AND(B80="",C80="",D80="",E80="",F80="",G80="",H80="",I80=""),"",IF(AND(A80&lt;&gt;"",C80&lt;&gt;"",D80&lt;&gt;"",E80&lt;&gt;"",F80&lt;&gt;"",H80&lt;&gt;""),"Complete","Pending"))</f>
        <v/>
      </c>
    </row>
    <row r="81">
      <c r="A81" s="19" t="inlineStr">
        <is>
          <t>M055-Q01</t>
        </is>
      </c>
      <c r="B81" s="19" t="inlineStr">
        <is>
          <t>MISS-M055-Q01-01</t>
        </is>
      </c>
      <c r="C81" s="21" t="n"/>
      <c r="D81" s="21" t="n"/>
      <c r="E81" s="21" t="n"/>
      <c r="F81" s="21" t="n"/>
      <c r="G81" s="21" t="n"/>
      <c r="H81" s="21" t="n"/>
      <c r="I81" s="21" t="n"/>
      <c r="J81" s="17">
        <f>IF(AND(B81="",C81="",D81="",E81="",F81="",G81="",H81="",I81=""),"",IF(AND(A81&lt;&gt;"",C81&lt;&gt;"",D81&lt;&gt;"",E81&lt;&gt;"",F81&lt;&gt;"",H81&lt;&gt;""),"Complete","Pending"))</f>
        <v/>
      </c>
    </row>
    <row r="82">
      <c r="A82" s="19" t="inlineStr">
        <is>
          <t>M055-Q01</t>
        </is>
      </c>
      <c r="B82" s="19" t="inlineStr">
        <is>
          <t>MISS-M055-Q01-02</t>
        </is>
      </c>
      <c r="C82" s="21" t="n"/>
      <c r="D82" s="21" t="n"/>
      <c r="E82" s="21" t="n"/>
      <c r="F82" s="21" t="n"/>
      <c r="G82" s="21" t="n"/>
      <c r="H82" s="21" t="n"/>
      <c r="I82" s="21" t="n"/>
      <c r="J82" s="17">
        <f>IF(AND(B82="",C82="",D82="",E82="",F82="",G82="",H82="",I82=""),"",IF(AND(A82&lt;&gt;"",C82&lt;&gt;"",D82&lt;&gt;"",E82&lt;&gt;"",F82&lt;&gt;"",H82&lt;&gt;""),"Complete","Pending"))</f>
        <v/>
      </c>
    </row>
    <row r="83">
      <c r="A83" s="19" t="inlineStr">
        <is>
          <t>M055-Q01</t>
        </is>
      </c>
      <c r="B83" s="19" t="inlineStr">
        <is>
          <t>MISS-M055-Q01-03</t>
        </is>
      </c>
      <c r="C83" s="21" t="n"/>
      <c r="D83" s="21" t="n"/>
      <c r="E83" s="21" t="n"/>
      <c r="F83" s="21" t="n"/>
      <c r="G83" s="21" t="n"/>
      <c r="H83" s="21" t="n"/>
      <c r="I83" s="21" t="n"/>
      <c r="J83" s="17">
        <f>IF(AND(B83="",C83="",D83="",E83="",F83="",G83="",H83="",I83=""),"",IF(AND(A83&lt;&gt;"",C83&lt;&gt;"",D83&lt;&gt;"",E83&lt;&gt;"",F83&lt;&gt;"",H83&lt;&gt;""),"Complete","Pending"))</f>
        <v/>
      </c>
    </row>
    <row r="84">
      <c r="A84" s="19" t="inlineStr">
        <is>
          <t>M056-Q01</t>
        </is>
      </c>
      <c r="B84" s="19" t="inlineStr">
        <is>
          <t>MISS-M056-Q01-01</t>
        </is>
      </c>
      <c r="C84" s="21" t="n"/>
      <c r="D84" s="21" t="n"/>
      <c r="E84" s="21" t="n"/>
      <c r="F84" s="21" t="n"/>
      <c r="G84" s="21" t="n"/>
      <c r="H84" s="21" t="n"/>
      <c r="I84" s="21" t="n"/>
      <c r="J84" s="17">
        <f>IF(AND(B84="",C84="",D84="",E84="",F84="",G84="",H84="",I84=""),"",IF(AND(A84&lt;&gt;"",C84&lt;&gt;"",D84&lt;&gt;"",E84&lt;&gt;"",F84&lt;&gt;"",H84&lt;&gt;""),"Complete","Pending"))</f>
        <v/>
      </c>
    </row>
    <row r="85">
      <c r="A85" s="19" t="inlineStr">
        <is>
          <t>M056-Q01</t>
        </is>
      </c>
      <c r="B85" s="19" t="inlineStr">
        <is>
          <t>MISS-M056-Q01-02</t>
        </is>
      </c>
      <c r="C85" s="21" t="n"/>
      <c r="D85" s="21" t="n"/>
      <c r="E85" s="21" t="n"/>
      <c r="F85" s="21" t="n"/>
      <c r="G85" s="21" t="n"/>
      <c r="H85" s="21" t="n"/>
      <c r="I85" s="21" t="n"/>
      <c r="J85" s="17">
        <f>IF(AND(B85="",C85="",D85="",E85="",F85="",G85="",H85="",I85=""),"",IF(AND(A85&lt;&gt;"",C85&lt;&gt;"",D85&lt;&gt;"",E85&lt;&gt;"",F85&lt;&gt;"",H85&lt;&gt;""),"Complete","Pending"))</f>
        <v/>
      </c>
    </row>
    <row r="86">
      <c r="A86" s="19" t="inlineStr">
        <is>
          <t>M056-Q01</t>
        </is>
      </c>
      <c r="B86" s="19" t="inlineStr">
        <is>
          <t>MISS-M056-Q01-03</t>
        </is>
      </c>
      <c r="C86" s="21" t="n"/>
      <c r="D86" s="21" t="n"/>
      <c r="E86" s="21" t="n"/>
      <c r="F86" s="21" t="n"/>
      <c r="G86" s="21" t="n"/>
      <c r="H86" s="21" t="n"/>
      <c r="I86" s="21" t="n"/>
      <c r="J86" s="17">
        <f>IF(AND(B86="",C86="",D86="",E86="",F86="",G86="",H86="",I86=""),"",IF(AND(A86&lt;&gt;"",C86&lt;&gt;"",D86&lt;&gt;"",E86&lt;&gt;"",F86&lt;&gt;"",H86&lt;&gt;""),"Complete","Pending"))</f>
        <v/>
      </c>
    </row>
    <row r="87">
      <c r="A87" s="19" t="inlineStr">
        <is>
          <t>M056-Q04</t>
        </is>
      </c>
      <c r="B87" s="19" t="inlineStr">
        <is>
          <t>MISS-M056-Q04-01</t>
        </is>
      </c>
      <c r="C87" s="21" t="n"/>
      <c r="D87" s="21" t="n"/>
      <c r="E87" s="21" t="n"/>
      <c r="F87" s="21" t="n"/>
      <c r="G87" s="21" t="n"/>
      <c r="H87" s="21" t="n"/>
      <c r="I87" s="21" t="n"/>
      <c r="J87" s="17">
        <f>IF(AND(B87="",C87="",D87="",E87="",F87="",G87="",H87="",I87=""),"",IF(AND(A87&lt;&gt;"",C87&lt;&gt;"",D87&lt;&gt;"",E87&lt;&gt;"",F87&lt;&gt;"",H87&lt;&gt;""),"Complete","Pending"))</f>
        <v/>
      </c>
    </row>
    <row r="88">
      <c r="A88" s="19" t="inlineStr">
        <is>
          <t>M056-Q04</t>
        </is>
      </c>
      <c r="B88" s="19" t="inlineStr">
        <is>
          <t>MISS-M056-Q04-02</t>
        </is>
      </c>
      <c r="C88" s="21" t="n"/>
      <c r="D88" s="21" t="n"/>
      <c r="E88" s="21" t="n"/>
      <c r="F88" s="21" t="n"/>
      <c r="G88" s="21" t="n"/>
      <c r="H88" s="21" t="n"/>
      <c r="I88" s="21" t="n"/>
      <c r="J88" s="17">
        <f>IF(AND(B88="",C88="",D88="",E88="",F88="",G88="",H88="",I88=""),"",IF(AND(A88&lt;&gt;"",C88&lt;&gt;"",D88&lt;&gt;"",E88&lt;&gt;"",F88&lt;&gt;"",H88&lt;&gt;""),"Complete","Pending"))</f>
        <v/>
      </c>
    </row>
    <row r="89">
      <c r="A89" s="19" t="inlineStr">
        <is>
          <t>M056-Q04</t>
        </is>
      </c>
      <c r="B89" s="19" t="inlineStr">
        <is>
          <t>MISS-M056-Q04-03</t>
        </is>
      </c>
      <c r="C89" s="21" t="n"/>
      <c r="D89" s="21" t="n"/>
      <c r="E89" s="21" t="n"/>
      <c r="F89" s="21" t="n"/>
      <c r="G89" s="21" t="n"/>
      <c r="H89" s="21" t="n"/>
      <c r="I89" s="21" t="n"/>
      <c r="J89" s="17">
        <f>IF(AND(B89="",C89="",D89="",E89="",F89="",G89="",H89="",I89=""),"",IF(AND(A89&lt;&gt;"",C89&lt;&gt;"",D89&lt;&gt;"",E89&lt;&gt;"",F89&lt;&gt;"",H89&lt;&gt;""),"Complete","Pending"))</f>
        <v/>
      </c>
    </row>
    <row r="90">
      <c r="A90" s="19" t="inlineStr">
        <is>
          <t>M057-Q01</t>
        </is>
      </c>
      <c r="B90" s="19" t="inlineStr">
        <is>
          <t>MISS-M057-Q01-01</t>
        </is>
      </c>
      <c r="C90" s="21" t="n"/>
      <c r="D90" s="21" t="n"/>
      <c r="E90" s="21" t="n"/>
      <c r="F90" s="21" t="n"/>
      <c r="G90" s="21" t="n"/>
      <c r="H90" s="21" t="n"/>
      <c r="I90" s="21" t="n"/>
      <c r="J90" s="17">
        <f>IF(AND(B90="",C90="",D90="",E90="",F90="",G90="",H90="",I90=""),"",IF(AND(A90&lt;&gt;"",C90&lt;&gt;"",D90&lt;&gt;"",E90&lt;&gt;"",F90&lt;&gt;"",H90&lt;&gt;""),"Complete","Pending"))</f>
        <v/>
      </c>
    </row>
    <row r="91">
      <c r="A91" s="19" t="inlineStr">
        <is>
          <t>M057-Q01</t>
        </is>
      </c>
      <c r="B91" s="19" t="inlineStr">
        <is>
          <t>MISS-M057-Q01-02</t>
        </is>
      </c>
      <c r="C91" s="21" t="n"/>
      <c r="D91" s="21" t="n"/>
      <c r="E91" s="21" t="n"/>
      <c r="F91" s="21" t="n"/>
      <c r="G91" s="21" t="n"/>
      <c r="H91" s="21" t="n"/>
      <c r="I91" s="21" t="n"/>
      <c r="J91" s="17">
        <f>IF(AND(B91="",C91="",D91="",E91="",F91="",G91="",H91="",I91=""),"",IF(AND(A91&lt;&gt;"",C91&lt;&gt;"",D91&lt;&gt;"",E91&lt;&gt;"",F91&lt;&gt;"",H91&lt;&gt;""),"Complete","Pending"))</f>
        <v/>
      </c>
    </row>
    <row r="92">
      <c r="A92" s="19" t="inlineStr">
        <is>
          <t>M057-Q01</t>
        </is>
      </c>
      <c r="B92" s="19" t="inlineStr">
        <is>
          <t>MISS-M057-Q01-03</t>
        </is>
      </c>
      <c r="C92" s="21" t="n"/>
      <c r="D92" s="21" t="n"/>
      <c r="E92" s="21" t="n"/>
      <c r="F92" s="21" t="n"/>
      <c r="G92" s="21" t="n"/>
      <c r="H92" s="21" t="n"/>
      <c r="I92" s="21" t="n"/>
      <c r="J92" s="17">
        <f>IF(AND(B92="",C92="",D92="",E92="",F92="",G92="",H92="",I92=""),"",IF(AND(A92&lt;&gt;"",C92&lt;&gt;"",D92&lt;&gt;"",E92&lt;&gt;"",F92&lt;&gt;"",H92&lt;&gt;""),"Complete","Pending"))</f>
        <v/>
      </c>
    </row>
    <row r="93">
      <c r="A93" s="19" t="inlineStr">
        <is>
          <t>M059-Q01</t>
        </is>
      </c>
      <c r="B93" s="19" t="inlineStr">
        <is>
          <t>MISS-M059-Q01-01</t>
        </is>
      </c>
      <c r="C93" s="21" t="n"/>
      <c r="D93" s="21" t="n"/>
      <c r="E93" s="21" t="n"/>
      <c r="F93" s="21" t="n"/>
      <c r="G93" s="21" t="n"/>
      <c r="H93" s="21" t="n"/>
      <c r="I93" s="21" t="n"/>
      <c r="J93" s="17">
        <f>IF(AND(B93="",C93="",D93="",E93="",F93="",G93="",H93="",I93=""),"",IF(AND(A93&lt;&gt;"",C93&lt;&gt;"",D93&lt;&gt;"",E93&lt;&gt;"",F93&lt;&gt;"",H93&lt;&gt;""),"Complete","Pending"))</f>
        <v/>
      </c>
    </row>
    <row r="94">
      <c r="A94" s="19" t="inlineStr">
        <is>
          <t>M059-Q01</t>
        </is>
      </c>
      <c r="B94" s="19" t="inlineStr">
        <is>
          <t>MISS-M059-Q01-02</t>
        </is>
      </c>
      <c r="C94" s="21" t="n"/>
      <c r="D94" s="21" t="n"/>
      <c r="E94" s="21" t="n"/>
      <c r="F94" s="21" t="n"/>
      <c r="G94" s="21" t="n"/>
      <c r="H94" s="21" t="n"/>
      <c r="I94" s="21" t="n"/>
      <c r="J94" s="17">
        <f>IF(AND(B94="",C94="",D94="",E94="",F94="",G94="",H94="",I94=""),"",IF(AND(A94&lt;&gt;"",C94&lt;&gt;"",D94&lt;&gt;"",E94&lt;&gt;"",F94&lt;&gt;"",H94&lt;&gt;""),"Complete","Pending"))</f>
        <v/>
      </c>
    </row>
    <row r="95">
      <c r="A95" s="19" t="inlineStr">
        <is>
          <t>M059-Q01</t>
        </is>
      </c>
      <c r="B95" s="19" t="inlineStr">
        <is>
          <t>MISS-M059-Q01-03</t>
        </is>
      </c>
      <c r="C95" s="21" t="n"/>
      <c r="D95" s="21" t="n"/>
      <c r="E95" s="21" t="n"/>
      <c r="F95" s="21" t="n"/>
      <c r="G95" s="21" t="n"/>
      <c r="H95" s="21" t="n"/>
      <c r="I95" s="21" t="n"/>
      <c r="J95" s="17">
        <f>IF(AND(B95="",C95="",D95="",E95="",F95="",G95="",H95="",I95=""),"",IF(AND(A95&lt;&gt;"",C95&lt;&gt;"",D95&lt;&gt;"",E95&lt;&gt;"",F95&lt;&gt;"",H95&lt;&gt;""),"Complete","Pending"))</f>
        <v/>
      </c>
    </row>
    <row r="96">
      <c r="A96" s="19" t="inlineStr">
        <is>
          <t>M061-Q01</t>
        </is>
      </c>
      <c r="B96" s="19" t="inlineStr">
        <is>
          <t>MISS-M061-Q01-01</t>
        </is>
      </c>
      <c r="C96" s="21" t="n"/>
      <c r="D96" s="21" t="n"/>
      <c r="E96" s="21" t="n"/>
      <c r="F96" s="21" t="n"/>
      <c r="G96" s="21" t="n"/>
      <c r="H96" s="21" t="n"/>
      <c r="I96" s="21" t="n"/>
      <c r="J96" s="17">
        <f>IF(AND(B96="",C96="",D96="",E96="",F96="",G96="",H96="",I96=""),"",IF(AND(A96&lt;&gt;"",C96&lt;&gt;"",D96&lt;&gt;"",E96&lt;&gt;"",F96&lt;&gt;"",H96&lt;&gt;""),"Complete","Pending"))</f>
        <v/>
      </c>
    </row>
    <row r="97">
      <c r="A97" s="19" t="inlineStr">
        <is>
          <t>M061-Q01</t>
        </is>
      </c>
      <c r="B97" s="19" t="inlineStr">
        <is>
          <t>MISS-M061-Q01-02</t>
        </is>
      </c>
      <c r="C97" s="21" t="n"/>
      <c r="D97" s="21" t="n"/>
      <c r="E97" s="21" t="n"/>
      <c r="F97" s="21" t="n"/>
      <c r="G97" s="21" t="n"/>
      <c r="H97" s="21" t="n"/>
      <c r="I97" s="21" t="n"/>
      <c r="J97" s="17">
        <f>IF(AND(B97="",C97="",D97="",E97="",F97="",G97="",H97="",I97=""),"",IF(AND(A97&lt;&gt;"",C97&lt;&gt;"",D97&lt;&gt;"",E97&lt;&gt;"",F97&lt;&gt;"",H97&lt;&gt;""),"Complete","Pending"))</f>
        <v/>
      </c>
    </row>
    <row r="98">
      <c r="A98" s="19" t="inlineStr">
        <is>
          <t>M061-Q01</t>
        </is>
      </c>
      <c r="B98" s="19" t="inlineStr">
        <is>
          <t>MISS-M061-Q01-03</t>
        </is>
      </c>
      <c r="C98" s="21" t="n"/>
      <c r="D98" s="21" t="n"/>
      <c r="E98" s="21" t="n"/>
      <c r="F98" s="21" t="n"/>
      <c r="G98" s="21" t="n"/>
      <c r="H98" s="21" t="n"/>
      <c r="I98" s="21" t="n"/>
      <c r="J98" s="17">
        <f>IF(AND(B98="",C98="",D98="",E98="",F98="",G98="",H98="",I98=""),"",IF(AND(A98&lt;&gt;"",C98&lt;&gt;"",D98&lt;&gt;"",E98&lt;&gt;"",F98&lt;&gt;"",H98&lt;&gt;""),"Complete","Pending"))</f>
        <v/>
      </c>
    </row>
    <row r="99">
      <c r="A99" s="19" t="inlineStr">
        <is>
          <t>M061-Q02</t>
        </is>
      </c>
      <c r="B99" s="19" t="inlineStr">
        <is>
          <t>MISS-M061-Q02-01</t>
        </is>
      </c>
      <c r="C99" s="21" t="n"/>
      <c r="D99" s="21" t="n"/>
      <c r="E99" s="21" t="n"/>
      <c r="F99" s="21" t="n"/>
      <c r="G99" s="21" t="n"/>
      <c r="H99" s="21" t="n"/>
      <c r="I99" s="21" t="n"/>
      <c r="J99" s="17">
        <f>IF(AND(B99="",C99="",D99="",E99="",F99="",G99="",H99="",I99=""),"",IF(AND(A99&lt;&gt;"",C99&lt;&gt;"",D99&lt;&gt;"",E99&lt;&gt;"",F99&lt;&gt;"",H99&lt;&gt;""),"Complete","Pending"))</f>
        <v/>
      </c>
    </row>
    <row r="100">
      <c r="A100" s="19" t="inlineStr">
        <is>
          <t>M061-Q02</t>
        </is>
      </c>
      <c r="B100" s="19" t="inlineStr">
        <is>
          <t>MISS-M061-Q02-02</t>
        </is>
      </c>
      <c r="C100" s="21" t="n"/>
      <c r="D100" s="21" t="n"/>
      <c r="E100" s="21" t="n"/>
      <c r="F100" s="21" t="n"/>
      <c r="G100" s="21" t="n"/>
      <c r="H100" s="21" t="n"/>
      <c r="I100" s="21" t="n"/>
      <c r="J100" s="17">
        <f>IF(AND(B100="",C100="",D100="",E100="",F100="",G100="",H100="",I100=""),"",IF(AND(A100&lt;&gt;"",C100&lt;&gt;"",D100&lt;&gt;"",E100&lt;&gt;"",F100&lt;&gt;"",H100&lt;&gt;""),"Complete","Pending"))</f>
        <v/>
      </c>
    </row>
    <row r="101">
      <c r="A101" s="19" t="inlineStr">
        <is>
          <t>M061-Q02</t>
        </is>
      </c>
      <c r="B101" s="19" t="inlineStr">
        <is>
          <t>MISS-M061-Q02-03</t>
        </is>
      </c>
      <c r="C101" s="21" t="n"/>
      <c r="D101" s="21" t="n"/>
      <c r="E101" s="21" t="n"/>
      <c r="F101" s="21" t="n"/>
      <c r="G101" s="21" t="n"/>
      <c r="H101" s="21" t="n"/>
      <c r="I101" s="21" t="n"/>
      <c r="J101" s="17">
        <f>IF(AND(B101="",C101="",D101="",E101="",F101="",G101="",H101="",I101=""),"",IF(AND(A101&lt;&gt;"",C101&lt;&gt;"",D101&lt;&gt;"",E101&lt;&gt;"",F101&lt;&gt;"",H101&lt;&gt;""),"Complete","Pending"))</f>
        <v/>
      </c>
    </row>
    <row r="102">
      <c r="A102" s="19" t="inlineStr">
        <is>
          <t>M064-Q01</t>
        </is>
      </c>
      <c r="B102" s="19" t="inlineStr">
        <is>
          <t>MISS-M064-Q01-01</t>
        </is>
      </c>
      <c r="C102" s="21" t="n"/>
      <c r="D102" s="21" t="n"/>
      <c r="E102" s="21" t="n"/>
      <c r="F102" s="21" t="n"/>
      <c r="G102" s="21" t="n"/>
      <c r="H102" s="21" t="n"/>
      <c r="I102" s="21" t="n"/>
      <c r="J102" s="17">
        <f>IF(AND(B102="",C102="",D102="",E102="",F102="",G102="",H102="",I102=""),"",IF(AND(A102&lt;&gt;"",C102&lt;&gt;"",D102&lt;&gt;"",E102&lt;&gt;"",F102&lt;&gt;"",H102&lt;&gt;""),"Complete","Pending"))</f>
        <v/>
      </c>
    </row>
    <row r="103">
      <c r="A103" s="19" t="inlineStr">
        <is>
          <t>M064-Q01</t>
        </is>
      </c>
      <c r="B103" s="19" t="inlineStr">
        <is>
          <t>MISS-M064-Q01-02</t>
        </is>
      </c>
      <c r="C103" s="21" t="n"/>
      <c r="D103" s="21" t="n"/>
      <c r="E103" s="21" t="n"/>
      <c r="F103" s="21" t="n"/>
      <c r="G103" s="21" t="n"/>
      <c r="H103" s="21" t="n"/>
      <c r="I103" s="21" t="n"/>
      <c r="J103" s="17">
        <f>IF(AND(B103="",C103="",D103="",E103="",F103="",G103="",H103="",I103=""),"",IF(AND(A103&lt;&gt;"",C103&lt;&gt;"",D103&lt;&gt;"",E103&lt;&gt;"",F103&lt;&gt;"",H103&lt;&gt;""),"Complete","Pending"))</f>
        <v/>
      </c>
    </row>
    <row r="104">
      <c r="A104" s="19" t="inlineStr">
        <is>
          <t>M064-Q01</t>
        </is>
      </c>
      <c r="B104" s="19" t="inlineStr">
        <is>
          <t>MISS-M064-Q01-03</t>
        </is>
      </c>
      <c r="C104" s="21" t="n"/>
      <c r="D104" s="21" t="n"/>
      <c r="E104" s="21" t="n"/>
      <c r="F104" s="21" t="n"/>
      <c r="G104" s="21" t="n"/>
      <c r="H104" s="21" t="n"/>
      <c r="I104" s="21" t="n"/>
      <c r="J104" s="17">
        <f>IF(AND(B104="",C104="",D104="",E104="",F104="",G104="",H104="",I104=""),"",IF(AND(A104&lt;&gt;"",C104&lt;&gt;"",D104&lt;&gt;"",E104&lt;&gt;"",F104&lt;&gt;"",H104&lt;&gt;""),"Complete","Pending"))</f>
        <v/>
      </c>
    </row>
    <row r="105">
      <c r="A105" s="19" t="inlineStr">
        <is>
          <t>M065-Q01</t>
        </is>
      </c>
      <c r="B105" s="19" t="inlineStr">
        <is>
          <t>MISS-M065-Q01-01</t>
        </is>
      </c>
      <c r="C105" s="21" t="n"/>
      <c r="D105" s="21" t="n"/>
      <c r="E105" s="21" t="n"/>
      <c r="F105" s="21" t="n"/>
      <c r="G105" s="21" t="n"/>
      <c r="H105" s="21" t="n"/>
      <c r="I105" s="21" t="n"/>
      <c r="J105" s="17">
        <f>IF(AND(B105="",C105="",D105="",E105="",F105="",G105="",H105="",I105=""),"",IF(AND(A105&lt;&gt;"",C105&lt;&gt;"",D105&lt;&gt;"",E105&lt;&gt;"",F105&lt;&gt;"",H105&lt;&gt;""),"Complete","Pending"))</f>
        <v/>
      </c>
    </row>
    <row r="106">
      <c r="A106" s="19" t="inlineStr">
        <is>
          <t>M065-Q01</t>
        </is>
      </c>
      <c r="B106" s="19" t="inlineStr">
        <is>
          <t>MISS-M065-Q01-02</t>
        </is>
      </c>
      <c r="C106" s="21" t="n"/>
      <c r="D106" s="21" t="n"/>
      <c r="E106" s="21" t="n"/>
      <c r="F106" s="21" t="n"/>
      <c r="G106" s="21" t="n"/>
      <c r="H106" s="21" t="n"/>
      <c r="I106" s="21" t="n"/>
      <c r="J106" s="17">
        <f>IF(AND(B106="",C106="",D106="",E106="",F106="",G106="",H106="",I106=""),"",IF(AND(A106&lt;&gt;"",C106&lt;&gt;"",D106&lt;&gt;"",E106&lt;&gt;"",F106&lt;&gt;"",H106&lt;&gt;""),"Complete","Pending"))</f>
        <v/>
      </c>
    </row>
    <row r="107">
      <c r="A107" s="19" t="inlineStr">
        <is>
          <t>M065-Q01</t>
        </is>
      </c>
      <c r="B107" s="19" t="inlineStr">
        <is>
          <t>MISS-M065-Q01-03</t>
        </is>
      </c>
      <c r="C107" s="21" t="n"/>
      <c r="D107" s="21" t="n"/>
      <c r="E107" s="21" t="n"/>
      <c r="F107" s="21" t="n"/>
      <c r="G107" s="21" t="n"/>
      <c r="H107" s="21" t="n"/>
      <c r="I107" s="21" t="n"/>
      <c r="J107" s="17">
        <f>IF(AND(B107="",C107="",D107="",E107="",F107="",G107="",H107="",I107=""),"",IF(AND(A107&lt;&gt;"",C107&lt;&gt;"",D107&lt;&gt;"",E107&lt;&gt;"",F107&lt;&gt;"",H107&lt;&gt;""),"Complete","Pending"))</f>
        <v/>
      </c>
    </row>
    <row r="108">
      <c r="A108" s="19" t="inlineStr">
        <is>
          <t>M068-Q02</t>
        </is>
      </c>
      <c r="B108" s="19" t="inlineStr">
        <is>
          <t>MISS-M068-Q02-01</t>
        </is>
      </c>
      <c r="C108" s="21" t="n"/>
      <c r="D108" s="21" t="n"/>
      <c r="E108" s="21" t="n"/>
      <c r="F108" s="21" t="n"/>
      <c r="G108" s="21" t="n"/>
      <c r="H108" s="21" t="n"/>
      <c r="I108" s="21" t="n"/>
      <c r="J108" s="17">
        <f>IF(AND(B108="",C108="",D108="",E108="",F108="",G108="",H108="",I108=""),"",IF(AND(A108&lt;&gt;"",C108&lt;&gt;"",D108&lt;&gt;"",E108&lt;&gt;"",F108&lt;&gt;"",H108&lt;&gt;""),"Complete","Pending"))</f>
        <v/>
      </c>
    </row>
    <row r="109">
      <c r="A109" s="19" t="inlineStr">
        <is>
          <t>M068-Q02</t>
        </is>
      </c>
      <c r="B109" s="19" t="inlineStr">
        <is>
          <t>MISS-M068-Q02-02</t>
        </is>
      </c>
      <c r="C109" s="21" t="n"/>
      <c r="D109" s="21" t="n"/>
      <c r="E109" s="21" t="n"/>
      <c r="F109" s="21" t="n"/>
      <c r="G109" s="21" t="n"/>
      <c r="H109" s="21" t="n"/>
      <c r="I109" s="21" t="n"/>
      <c r="J109" s="17">
        <f>IF(AND(B109="",C109="",D109="",E109="",F109="",G109="",H109="",I109=""),"",IF(AND(A109&lt;&gt;"",C109&lt;&gt;"",D109&lt;&gt;"",E109&lt;&gt;"",F109&lt;&gt;"",H109&lt;&gt;""),"Complete","Pending"))</f>
        <v/>
      </c>
    </row>
    <row r="110">
      <c r="A110" s="19" t="inlineStr">
        <is>
          <t>M068-Q02</t>
        </is>
      </c>
      <c r="B110" s="19" t="inlineStr">
        <is>
          <t>MISS-M068-Q02-03</t>
        </is>
      </c>
      <c r="C110" s="21" t="n"/>
      <c r="D110" s="21" t="n"/>
      <c r="E110" s="21" t="n"/>
      <c r="F110" s="21" t="n"/>
      <c r="G110" s="21" t="n"/>
      <c r="H110" s="21" t="n"/>
      <c r="I110" s="21" t="n"/>
      <c r="J110" s="17">
        <f>IF(AND(B110="",C110="",D110="",E110="",F110="",G110="",H110="",I110=""),"",IF(AND(A110&lt;&gt;"",C110&lt;&gt;"",D110&lt;&gt;"",E110&lt;&gt;"",F110&lt;&gt;"",H110&lt;&gt;""),"Complete","Pending"))</f>
        <v/>
      </c>
    </row>
    <row r="111">
      <c r="A111" s="19" t="inlineStr">
        <is>
          <t>M071-Q01</t>
        </is>
      </c>
      <c r="B111" s="19" t="inlineStr">
        <is>
          <t>MISS-M071-Q01-01</t>
        </is>
      </c>
      <c r="C111" s="21" t="n"/>
      <c r="D111" s="21" t="n"/>
      <c r="E111" s="21" t="n"/>
      <c r="F111" s="21" t="n"/>
      <c r="G111" s="21" t="n"/>
      <c r="H111" s="21" t="n"/>
      <c r="I111" s="21" t="n"/>
      <c r="J111" s="17">
        <f>IF(AND(B111="",C111="",D111="",E111="",F111="",G111="",H111="",I111=""),"",IF(AND(A111&lt;&gt;"",C111&lt;&gt;"",D111&lt;&gt;"",E111&lt;&gt;"",F111&lt;&gt;"",H111&lt;&gt;""),"Complete","Pending"))</f>
        <v/>
      </c>
    </row>
    <row r="112">
      <c r="A112" s="19" t="inlineStr">
        <is>
          <t>M071-Q01</t>
        </is>
      </c>
      <c r="B112" s="19" t="inlineStr">
        <is>
          <t>MISS-M071-Q01-02</t>
        </is>
      </c>
      <c r="C112" s="21" t="n"/>
      <c r="D112" s="21" t="n"/>
      <c r="E112" s="21" t="n"/>
      <c r="F112" s="21" t="n"/>
      <c r="G112" s="21" t="n"/>
      <c r="H112" s="21" t="n"/>
      <c r="I112" s="21" t="n"/>
      <c r="J112" s="17">
        <f>IF(AND(B112="",C112="",D112="",E112="",F112="",G112="",H112="",I112=""),"",IF(AND(A112&lt;&gt;"",C112&lt;&gt;"",D112&lt;&gt;"",E112&lt;&gt;"",F112&lt;&gt;"",H112&lt;&gt;""),"Complete","Pending"))</f>
        <v/>
      </c>
    </row>
    <row r="113">
      <c r="A113" s="19" t="inlineStr">
        <is>
          <t>M071-Q01</t>
        </is>
      </c>
      <c r="B113" s="19" t="inlineStr">
        <is>
          <t>MISS-M071-Q01-03</t>
        </is>
      </c>
      <c r="C113" s="21" t="n"/>
      <c r="D113" s="21" t="n"/>
      <c r="E113" s="21" t="n"/>
      <c r="F113" s="21" t="n"/>
      <c r="G113" s="21" t="n"/>
      <c r="H113" s="21" t="n"/>
      <c r="I113" s="21" t="n"/>
      <c r="J113" s="17">
        <f>IF(AND(B113="",C113="",D113="",E113="",F113="",G113="",H113="",I113=""),"",IF(AND(A113&lt;&gt;"",C113&lt;&gt;"",D113&lt;&gt;"",E113&lt;&gt;"",F113&lt;&gt;"",H113&lt;&gt;""),"Complete","Pending"))</f>
        <v/>
      </c>
    </row>
    <row r="114">
      <c r="A114" s="19" t="inlineStr">
        <is>
          <t>M078-Q01</t>
        </is>
      </c>
      <c r="B114" s="19" t="inlineStr">
        <is>
          <t>MISS-M078-Q01-01</t>
        </is>
      </c>
      <c r="C114" s="21" t="n"/>
      <c r="D114" s="21" t="n"/>
      <c r="E114" s="21" t="n"/>
      <c r="F114" s="21" t="n"/>
      <c r="G114" s="21" t="n"/>
      <c r="H114" s="21" t="n"/>
      <c r="I114" s="21" t="n"/>
      <c r="J114" s="17">
        <f>IF(AND(B114="",C114="",D114="",E114="",F114="",G114="",H114="",I114=""),"",IF(AND(A114&lt;&gt;"",C114&lt;&gt;"",D114&lt;&gt;"",E114&lt;&gt;"",F114&lt;&gt;"",H114&lt;&gt;""),"Complete","Pending"))</f>
        <v/>
      </c>
    </row>
    <row r="115">
      <c r="A115" s="19" t="inlineStr">
        <is>
          <t>M078-Q01</t>
        </is>
      </c>
      <c r="B115" s="19" t="inlineStr">
        <is>
          <t>MISS-M078-Q01-02</t>
        </is>
      </c>
      <c r="C115" s="21" t="n"/>
      <c r="D115" s="21" t="n"/>
      <c r="E115" s="21" t="n"/>
      <c r="F115" s="21" t="n"/>
      <c r="G115" s="21" t="n"/>
      <c r="H115" s="21" t="n"/>
      <c r="I115" s="21" t="n"/>
      <c r="J115" s="17">
        <f>IF(AND(B115="",C115="",D115="",E115="",F115="",G115="",H115="",I115=""),"",IF(AND(A115&lt;&gt;"",C115&lt;&gt;"",D115&lt;&gt;"",E115&lt;&gt;"",F115&lt;&gt;"",H115&lt;&gt;""),"Complete","Pending"))</f>
        <v/>
      </c>
    </row>
    <row r="116">
      <c r="A116" s="19" t="inlineStr">
        <is>
          <t>M078-Q01</t>
        </is>
      </c>
      <c r="B116" s="19" t="inlineStr">
        <is>
          <t>MISS-M078-Q01-03</t>
        </is>
      </c>
      <c r="C116" s="21" t="n"/>
      <c r="D116" s="21" t="n"/>
      <c r="E116" s="21" t="n"/>
      <c r="F116" s="21" t="n"/>
      <c r="G116" s="21" t="n"/>
      <c r="H116" s="21" t="n"/>
      <c r="I116" s="21" t="n"/>
      <c r="J116" s="17">
        <f>IF(AND(B116="",C116="",D116="",E116="",F116="",G116="",H116="",I116=""),"",IF(AND(A116&lt;&gt;"",C116&lt;&gt;"",D116&lt;&gt;"",E116&lt;&gt;"",F116&lt;&gt;"",H116&lt;&gt;""),"Complete","Pending"))</f>
        <v/>
      </c>
    </row>
    <row r="117">
      <c r="A117" s="19" t="inlineStr">
        <is>
          <t>M078-Q04</t>
        </is>
      </c>
      <c r="B117" s="19" t="inlineStr">
        <is>
          <t>MISS-M078-Q04-01</t>
        </is>
      </c>
      <c r="C117" s="21" t="n"/>
      <c r="D117" s="21" t="n"/>
      <c r="E117" s="21" t="n"/>
      <c r="F117" s="21" t="n"/>
      <c r="G117" s="21" t="n"/>
      <c r="H117" s="21" t="n"/>
      <c r="I117" s="21" t="n"/>
      <c r="J117" s="17">
        <f>IF(AND(B117="",C117="",D117="",E117="",F117="",G117="",H117="",I117=""),"",IF(AND(A117&lt;&gt;"",C117&lt;&gt;"",D117&lt;&gt;"",E117&lt;&gt;"",F117&lt;&gt;"",H117&lt;&gt;""),"Complete","Pending"))</f>
        <v/>
      </c>
    </row>
    <row r="118">
      <c r="A118" s="19" t="inlineStr">
        <is>
          <t>M078-Q04</t>
        </is>
      </c>
      <c r="B118" s="19" t="inlineStr">
        <is>
          <t>MISS-M078-Q04-02</t>
        </is>
      </c>
      <c r="C118" s="21" t="n"/>
      <c r="D118" s="21" t="n"/>
      <c r="E118" s="21" t="n"/>
      <c r="F118" s="21" t="n"/>
      <c r="G118" s="21" t="n"/>
      <c r="H118" s="21" t="n"/>
      <c r="I118" s="21" t="n"/>
      <c r="J118" s="17">
        <f>IF(AND(B118="",C118="",D118="",E118="",F118="",G118="",H118="",I118=""),"",IF(AND(A118&lt;&gt;"",C118&lt;&gt;"",D118&lt;&gt;"",E118&lt;&gt;"",F118&lt;&gt;"",H118&lt;&gt;""),"Complete","Pending"))</f>
        <v/>
      </c>
    </row>
    <row r="119">
      <c r="A119" s="19" t="inlineStr">
        <is>
          <t>M078-Q04</t>
        </is>
      </c>
      <c r="B119" s="19" t="inlineStr">
        <is>
          <t>MISS-M078-Q04-03</t>
        </is>
      </c>
      <c r="C119" s="21" t="n"/>
      <c r="D119" s="21" t="n"/>
      <c r="E119" s="21" t="n"/>
      <c r="F119" s="21" t="n"/>
      <c r="G119" s="21" t="n"/>
      <c r="H119" s="21" t="n"/>
      <c r="I119" s="21" t="n"/>
      <c r="J119" s="17">
        <f>IF(AND(B119="",C119="",D119="",E119="",F119="",G119="",H119="",I119=""),"",IF(AND(A119&lt;&gt;"",C119&lt;&gt;"",D119&lt;&gt;"",E119&lt;&gt;"",F119&lt;&gt;"",H119&lt;&gt;""),"Complete","Pending"))</f>
        <v/>
      </c>
    </row>
    <row r="120">
      <c r="A120" s="19" t="inlineStr">
        <is>
          <t>M079-Q02</t>
        </is>
      </c>
      <c r="B120" s="19" t="inlineStr">
        <is>
          <t>MISS-M079-Q02-01</t>
        </is>
      </c>
      <c r="C120" s="21" t="n"/>
      <c r="D120" s="21" t="n"/>
      <c r="E120" s="21" t="n"/>
      <c r="F120" s="21" t="n"/>
      <c r="G120" s="21" t="n"/>
      <c r="H120" s="21" t="n"/>
      <c r="I120" s="21" t="n"/>
      <c r="J120" s="17">
        <f>IF(AND(B120="",C120="",D120="",E120="",F120="",G120="",H120="",I120=""),"",IF(AND(A120&lt;&gt;"",C120&lt;&gt;"",D120&lt;&gt;"",E120&lt;&gt;"",F120&lt;&gt;"",H120&lt;&gt;""),"Complete","Pending"))</f>
        <v/>
      </c>
    </row>
    <row r="121">
      <c r="A121" s="19" t="inlineStr">
        <is>
          <t>M079-Q02</t>
        </is>
      </c>
      <c r="B121" s="19" t="inlineStr">
        <is>
          <t>MISS-M079-Q02-02</t>
        </is>
      </c>
      <c r="C121" s="21" t="n"/>
      <c r="D121" s="21" t="n"/>
      <c r="E121" s="21" t="n"/>
      <c r="F121" s="21" t="n"/>
      <c r="G121" s="21" t="n"/>
      <c r="H121" s="21" t="n"/>
      <c r="I121" s="21" t="n"/>
      <c r="J121" s="17">
        <f>IF(AND(B121="",C121="",D121="",E121="",F121="",G121="",H121="",I121=""),"",IF(AND(A121&lt;&gt;"",C121&lt;&gt;"",D121&lt;&gt;"",E121&lt;&gt;"",F121&lt;&gt;"",H121&lt;&gt;""),"Complete","Pending"))</f>
        <v/>
      </c>
    </row>
    <row r="122">
      <c r="A122" s="19" t="inlineStr">
        <is>
          <t>M079-Q02</t>
        </is>
      </c>
      <c r="B122" s="19" t="inlineStr">
        <is>
          <t>MISS-M079-Q02-03</t>
        </is>
      </c>
      <c r="C122" s="21" t="n"/>
      <c r="D122" s="21" t="n"/>
      <c r="E122" s="21" t="n"/>
      <c r="F122" s="21" t="n"/>
      <c r="G122" s="21" t="n"/>
      <c r="H122" s="21" t="n"/>
      <c r="I122" s="21" t="n"/>
      <c r="J122" s="17">
        <f>IF(AND(B122="",C122="",D122="",E122="",F122="",G122="",H122="",I122=""),"",IF(AND(A122&lt;&gt;"",C122&lt;&gt;"",D122&lt;&gt;"",E122&lt;&gt;"",F122&lt;&gt;"",H122&lt;&gt;""),"Complete","Pending"))</f>
        <v/>
      </c>
    </row>
    <row r="123">
      <c r="A123" s="19" t="inlineStr">
        <is>
          <t>M080-Q01</t>
        </is>
      </c>
      <c r="B123" s="19" t="inlineStr">
        <is>
          <t>MISS-M080-Q01-01</t>
        </is>
      </c>
      <c r="C123" s="21" t="n"/>
      <c r="D123" s="21" t="n"/>
      <c r="E123" s="21" t="n"/>
      <c r="F123" s="21" t="n"/>
      <c r="G123" s="21" t="n"/>
      <c r="H123" s="21" t="n"/>
      <c r="I123" s="21" t="n"/>
      <c r="J123" s="17">
        <f>IF(AND(B123="",C123="",D123="",E123="",F123="",G123="",H123="",I123=""),"",IF(AND(A123&lt;&gt;"",C123&lt;&gt;"",D123&lt;&gt;"",E123&lt;&gt;"",F123&lt;&gt;"",H123&lt;&gt;""),"Complete","Pending"))</f>
        <v/>
      </c>
    </row>
    <row r="124">
      <c r="A124" s="19" t="inlineStr">
        <is>
          <t>M080-Q01</t>
        </is>
      </c>
      <c r="B124" s="19" t="inlineStr">
        <is>
          <t>MISS-M080-Q01-02</t>
        </is>
      </c>
      <c r="C124" s="21" t="n"/>
      <c r="D124" s="21" t="n"/>
      <c r="E124" s="21" t="n"/>
      <c r="F124" s="21" t="n"/>
      <c r="G124" s="21" t="n"/>
      <c r="H124" s="21" t="n"/>
      <c r="I124" s="21" t="n"/>
      <c r="J124" s="17">
        <f>IF(AND(B124="",C124="",D124="",E124="",F124="",G124="",H124="",I124=""),"",IF(AND(A124&lt;&gt;"",C124&lt;&gt;"",D124&lt;&gt;"",E124&lt;&gt;"",F124&lt;&gt;"",H124&lt;&gt;""),"Complete","Pending"))</f>
        <v/>
      </c>
    </row>
    <row r="125">
      <c r="A125" s="19" t="inlineStr">
        <is>
          <t>M080-Q01</t>
        </is>
      </c>
      <c r="B125" s="19" t="inlineStr">
        <is>
          <t>MISS-M080-Q01-03</t>
        </is>
      </c>
      <c r="C125" s="21" t="n"/>
      <c r="D125" s="21" t="n"/>
      <c r="E125" s="21" t="n"/>
      <c r="F125" s="21" t="n"/>
      <c r="G125" s="21" t="n"/>
      <c r="H125" s="21" t="n"/>
      <c r="I125" s="21" t="n"/>
      <c r="J125" s="17">
        <f>IF(AND(B125="",C125="",D125="",E125="",F125="",G125="",H125="",I125=""),"",IF(AND(A125&lt;&gt;"",C125&lt;&gt;"",D125&lt;&gt;"",E125&lt;&gt;"",F125&lt;&gt;"",H125&lt;&gt;""),"Complete","Pending"))</f>
        <v/>
      </c>
    </row>
    <row r="126">
      <c r="A126" s="19" t="inlineStr">
        <is>
          <t>M081-Q01</t>
        </is>
      </c>
      <c r="B126" s="19" t="inlineStr">
        <is>
          <t>MISS-M081-Q01-01</t>
        </is>
      </c>
      <c r="C126" s="21" t="n"/>
      <c r="D126" s="21" t="n"/>
      <c r="E126" s="21" t="n"/>
      <c r="F126" s="21" t="n"/>
      <c r="G126" s="21" t="n"/>
      <c r="H126" s="21" t="n"/>
      <c r="I126" s="21" t="n"/>
      <c r="J126" s="17">
        <f>IF(AND(B126="",C126="",D126="",E126="",F126="",G126="",H126="",I126=""),"",IF(AND(A126&lt;&gt;"",C126&lt;&gt;"",D126&lt;&gt;"",E126&lt;&gt;"",F126&lt;&gt;"",H126&lt;&gt;""),"Complete","Pending"))</f>
        <v/>
      </c>
    </row>
    <row r="127">
      <c r="A127" s="19" t="inlineStr">
        <is>
          <t>M081-Q01</t>
        </is>
      </c>
      <c r="B127" s="19" t="inlineStr">
        <is>
          <t>MISS-M081-Q01-02</t>
        </is>
      </c>
      <c r="C127" s="21" t="n"/>
      <c r="D127" s="21" t="n"/>
      <c r="E127" s="21" t="n"/>
      <c r="F127" s="21" t="n"/>
      <c r="G127" s="21" t="n"/>
      <c r="H127" s="21" t="n"/>
      <c r="I127" s="21" t="n"/>
      <c r="J127" s="17">
        <f>IF(AND(B127="",C127="",D127="",E127="",F127="",G127="",H127="",I127=""),"",IF(AND(A127&lt;&gt;"",C127&lt;&gt;"",D127&lt;&gt;"",E127&lt;&gt;"",F127&lt;&gt;"",H127&lt;&gt;""),"Complete","Pending"))</f>
        <v/>
      </c>
    </row>
    <row r="128">
      <c r="A128" s="19" t="inlineStr">
        <is>
          <t>M081-Q01</t>
        </is>
      </c>
      <c r="B128" s="19" t="inlineStr">
        <is>
          <t>MISS-M081-Q01-03</t>
        </is>
      </c>
      <c r="C128" s="21" t="n"/>
      <c r="D128" s="21" t="n"/>
      <c r="E128" s="21" t="n"/>
      <c r="F128" s="21" t="n"/>
      <c r="G128" s="21" t="n"/>
      <c r="H128" s="21" t="n"/>
      <c r="I128" s="21" t="n"/>
      <c r="J128" s="17">
        <f>IF(AND(B128="",C128="",D128="",E128="",F128="",G128="",H128="",I128=""),"",IF(AND(A128&lt;&gt;"",C128&lt;&gt;"",D128&lt;&gt;"",E128&lt;&gt;"",F128&lt;&gt;"",H128&lt;&gt;""),"Complete","Pending"))</f>
        <v/>
      </c>
    </row>
    <row r="129">
      <c r="A129" s="19" t="inlineStr">
        <is>
          <t>M084-Q01</t>
        </is>
      </c>
      <c r="B129" s="19" t="inlineStr">
        <is>
          <t>MISS-M084-Q01-01</t>
        </is>
      </c>
      <c r="C129" s="21" t="n"/>
      <c r="D129" s="21" t="n"/>
      <c r="E129" s="21" t="n"/>
      <c r="F129" s="21" t="n"/>
      <c r="G129" s="21" t="n"/>
      <c r="H129" s="21" t="n"/>
      <c r="I129" s="21" t="n"/>
      <c r="J129" s="17">
        <f>IF(AND(B129="",C129="",D129="",E129="",F129="",G129="",H129="",I129=""),"",IF(AND(A129&lt;&gt;"",C129&lt;&gt;"",D129&lt;&gt;"",E129&lt;&gt;"",F129&lt;&gt;"",H129&lt;&gt;""),"Complete","Pending"))</f>
        <v/>
      </c>
    </row>
    <row r="130">
      <c r="A130" s="19" t="inlineStr">
        <is>
          <t>M084-Q01</t>
        </is>
      </c>
      <c r="B130" s="19" t="inlineStr">
        <is>
          <t>MISS-M084-Q01-02</t>
        </is>
      </c>
      <c r="C130" s="21" t="n"/>
      <c r="D130" s="21" t="n"/>
      <c r="E130" s="21" t="n"/>
      <c r="F130" s="21" t="n"/>
      <c r="G130" s="21" t="n"/>
      <c r="H130" s="21" t="n"/>
      <c r="I130" s="21" t="n"/>
      <c r="J130" s="17">
        <f>IF(AND(B130="",C130="",D130="",E130="",F130="",G130="",H130="",I130=""),"",IF(AND(A130&lt;&gt;"",C130&lt;&gt;"",D130&lt;&gt;"",E130&lt;&gt;"",F130&lt;&gt;"",H130&lt;&gt;""),"Complete","Pending"))</f>
        <v/>
      </c>
    </row>
    <row r="131">
      <c r="A131" s="19" t="inlineStr">
        <is>
          <t>M084-Q01</t>
        </is>
      </c>
      <c r="B131" s="19" t="inlineStr">
        <is>
          <t>MISS-M084-Q01-03</t>
        </is>
      </c>
      <c r="C131" s="21" t="n"/>
      <c r="D131" s="21" t="n"/>
      <c r="E131" s="21" t="n"/>
      <c r="F131" s="21" t="n"/>
      <c r="G131" s="21" t="n"/>
      <c r="H131" s="21" t="n"/>
      <c r="I131" s="21" t="n"/>
      <c r="J131" s="17">
        <f>IF(AND(B131="",C131="",D131="",E131="",F131="",G131="",H131="",I131=""),"",IF(AND(A131&lt;&gt;"",C131&lt;&gt;"",D131&lt;&gt;"",E131&lt;&gt;"",F131&lt;&gt;"",H131&lt;&gt;""),"Complete","Pending"))</f>
        <v/>
      </c>
    </row>
    <row r="132">
      <c r="A132" s="19" t="inlineStr">
        <is>
          <t>M087-Q01</t>
        </is>
      </c>
      <c r="B132" s="19" t="inlineStr">
        <is>
          <t>MISS-M087-Q01-01</t>
        </is>
      </c>
      <c r="C132" s="21" t="n"/>
      <c r="D132" s="21" t="n"/>
      <c r="E132" s="21" t="n"/>
      <c r="F132" s="21" t="n"/>
      <c r="G132" s="21" t="n"/>
      <c r="H132" s="21" t="n"/>
      <c r="I132" s="21" t="n"/>
      <c r="J132" s="17">
        <f>IF(AND(B132="",C132="",D132="",E132="",F132="",G132="",H132="",I132=""),"",IF(AND(A132&lt;&gt;"",C132&lt;&gt;"",D132&lt;&gt;"",E132&lt;&gt;"",F132&lt;&gt;"",H132&lt;&gt;""),"Complete","Pending"))</f>
        <v/>
      </c>
    </row>
    <row r="133">
      <c r="A133" s="19" t="inlineStr">
        <is>
          <t>M087-Q01</t>
        </is>
      </c>
      <c r="B133" s="19" t="inlineStr">
        <is>
          <t>MISS-M087-Q01-02</t>
        </is>
      </c>
      <c r="C133" s="21" t="n"/>
      <c r="D133" s="21" t="n"/>
      <c r="E133" s="21" t="n"/>
      <c r="F133" s="21" t="n"/>
      <c r="G133" s="21" t="n"/>
      <c r="H133" s="21" t="n"/>
      <c r="I133" s="21" t="n"/>
      <c r="J133" s="17">
        <f>IF(AND(B133="",C133="",D133="",E133="",F133="",G133="",H133="",I133=""),"",IF(AND(A133&lt;&gt;"",C133&lt;&gt;"",D133&lt;&gt;"",E133&lt;&gt;"",F133&lt;&gt;"",H133&lt;&gt;""),"Complete","Pending"))</f>
        <v/>
      </c>
    </row>
    <row r="134">
      <c r="A134" s="19" t="inlineStr">
        <is>
          <t>M087-Q01</t>
        </is>
      </c>
      <c r="B134" s="19" t="inlineStr">
        <is>
          <t>MISS-M087-Q01-03</t>
        </is>
      </c>
      <c r="C134" s="21" t="n"/>
      <c r="D134" s="21" t="n"/>
      <c r="E134" s="21" t="n"/>
      <c r="F134" s="21" t="n"/>
      <c r="G134" s="21" t="n"/>
      <c r="H134" s="21" t="n"/>
      <c r="I134" s="21" t="n"/>
      <c r="J134" s="17">
        <f>IF(AND(B134="",C134="",D134="",E134="",F134="",G134="",H134="",I134=""),"",IF(AND(A134&lt;&gt;"",C134&lt;&gt;"",D134&lt;&gt;"",E134&lt;&gt;"",F134&lt;&gt;"",H134&lt;&gt;""),"Complete","Pending"))</f>
        <v/>
      </c>
    </row>
    <row r="135">
      <c r="A135" s="19" t="inlineStr">
        <is>
          <t>M087-Q03</t>
        </is>
      </c>
      <c r="B135" s="19" t="inlineStr">
        <is>
          <t>MISS-M087-Q03-01</t>
        </is>
      </c>
      <c r="C135" s="21" t="n"/>
      <c r="D135" s="21" t="n"/>
      <c r="E135" s="21" t="n"/>
      <c r="F135" s="21" t="n"/>
      <c r="G135" s="21" t="n"/>
      <c r="H135" s="21" t="n"/>
      <c r="I135" s="21" t="n"/>
      <c r="J135" s="17">
        <f>IF(AND(B135="",C135="",D135="",E135="",F135="",G135="",H135="",I135=""),"",IF(AND(A135&lt;&gt;"",C135&lt;&gt;"",D135&lt;&gt;"",E135&lt;&gt;"",F135&lt;&gt;"",H135&lt;&gt;""),"Complete","Pending"))</f>
        <v/>
      </c>
    </row>
    <row r="136">
      <c r="A136" s="19" t="inlineStr">
        <is>
          <t>M087-Q03</t>
        </is>
      </c>
      <c r="B136" s="19" t="inlineStr">
        <is>
          <t>MISS-M087-Q03-02</t>
        </is>
      </c>
      <c r="C136" s="21" t="n"/>
      <c r="D136" s="21" t="n"/>
      <c r="E136" s="21" t="n"/>
      <c r="F136" s="21" t="n"/>
      <c r="G136" s="21" t="n"/>
      <c r="H136" s="21" t="n"/>
      <c r="I136" s="21" t="n"/>
      <c r="J136" s="17">
        <f>IF(AND(B136="",C136="",D136="",E136="",F136="",G136="",H136="",I136=""),"",IF(AND(A136&lt;&gt;"",C136&lt;&gt;"",D136&lt;&gt;"",E136&lt;&gt;"",F136&lt;&gt;"",H136&lt;&gt;""),"Complete","Pending"))</f>
        <v/>
      </c>
    </row>
    <row r="137">
      <c r="A137" s="19" t="inlineStr">
        <is>
          <t>M087-Q03</t>
        </is>
      </c>
      <c r="B137" s="19" t="inlineStr">
        <is>
          <t>MISS-M087-Q03-03</t>
        </is>
      </c>
      <c r="C137" s="21" t="n"/>
      <c r="D137" s="21" t="n"/>
      <c r="E137" s="21" t="n"/>
      <c r="F137" s="21" t="n"/>
      <c r="G137" s="21" t="n"/>
      <c r="H137" s="21" t="n"/>
      <c r="I137" s="21" t="n"/>
      <c r="J137" s="17">
        <f>IF(AND(B137="",C137="",D137="",E137="",F137="",G137="",H137="",I137=""),"",IF(AND(A137&lt;&gt;"",C137&lt;&gt;"",D137&lt;&gt;"",E137&lt;&gt;"",F137&lt;&gt;"",H137&lt;&gt;""),"Complete","Pending"))</f>
        <v/>
      </c>
    </row>
    <row r="138">
      <c r="A138" s="19" t="inlineStr">
        <is>
          <t>M098-Q02</t>
        </is>
      </c>
      <c r="B138" s="19" t="inlineStr">
        <is>
          <t>MISS-M098-Q02-01</t>
        </is>
      </c>
      <c r="C138" s="21" t="n"/>
      <c r="D138" s="21" t="n"/>
      <c r="E138" s="21" t="n"/>
      <c r="F138" s="21" t="n"/>
      <c r="G138" s="21" t="n"/>
      <c r="H138" s="21" t="n"/>
      <c r="I138" s="21" t="n"/>
      <c r="J138" s="17">
        <f>IF(AND(B138="",C138="",D138="",E138="",F138="",G138="",H138="",I138=""),"",IF(AND(A138&lt;&gt;"",C138&lt;&gt;"",D138&lt;&gt;"",E138&lt;&gt;"",F138&lt;&gt;"",H138&lt;&gt;""),"Complete","Pending"))</f>
        <v/>
      </c>
    </row>
    <row r="139">
      <c r="A139" s="19" t="inlineStr">
        <is>
          <t>M098-Q02</t>
        </is>
      </c>
      <c r="B139" s="19" t="inlineStr">
        <is>
          <t>MISS-M098-Q02-02</t>
        </is>
      </c>
      <c r="C139" s="21" t="n"/>
      <c r="D139" s="21" t="n"/>
      <c r="E139" s="21" t="n"/>
      <c r="F139" s="21" t="n"/>
      <c r="G139" s="21" t="n"/>
      <c r="H139" s="21" t="n"/>
      <c r="I139" s="21" t="n"/>
      <c r="J139" s="17">
        <f>IF(AND(B139="",C139="",D139="",E139="",F139="",G139="",H139="",I139=""),"",IF(AND(A139&lt;&gt;"",C139&lt;&gt;"",D139&lt;&gt;"",E139&lt;&gt;"",F139&lt;&gt;"",H139&lt;&gt;""),"Complete","Pending"))</f>
        <v/>
      </c>
    </row>
    <row r="140">
      <c r="A140" s="19" t="inlineStr">
        <is>
          <t>M098-Q02</t>
        </is>
      </c>
      <c r="B140" s="19" t="inlineStr">
        <is>
          <t>MISS-M098-Q02-03</t>
        </is>
      </c>
      <c r="C140" s="21" t="n"/>
      <c r="D140" s="21" t="n"/>
      <c r="E140" s="21" t="n"/>
      <c r="F140" s="21" t="n"/>
      <c r="G140" s="21" t="n"/>
      <c r="H140" s="21" t="n"/>
      <c r="I140" s="21" t="n"/>
      <c r="J140" s="17">
        <f>IF(AND(B140="",C140="",D140="",E140="",F140="",G140="",H140="",I140=""),"",IF(AND(A140&lt;&gt;"",C140&lt;&gt;"",D140&lt;&gt;"",E140&lt;&gt;"",F140&lt;&gt;"",H140&lt;&gt;""),"Complete","Pending"))</f>
        <v/>
      </c>
    </row>
    <row r="141">
      <c r="A141" s="19" t="inlineStr">
        <is>
          <t>M106-Q01</t>
        </is>
      </c>
      <c r="B141" s="19" t="inlineStr">
        <is>
          <t>MISS-M106-Q01-01</t>
        </is>
      </c>
      <c r="C141" s="21" t="n"/>
      <c r="D141" s="21" t="n"/>
      <c r="E141" s="21" t="n"/>
      <c r="F141" s="21" t="n"/>
      <c r="G141" s="21" t="n"/>
      <c r="H141" s="21" t="n"/>
      <c r="I141" s="21" t="n"/>
      <c r="J141" s="17">
        <f>IF(AND(B141="",C141="",D141="",E141="",F141="",G141="",H141="",I141=""),"",IF(AND(A141&lt;&gt;"",C141&lt;&gt;"",D141&lt;&gt;"",E141&lt;&gt;"",F141&lt;&gt;"",H141&lt;&gt;""),"Complete","Pending"))</f>
        <v/>
      </c>
    </row>
    <row r="142">
      <c r="A142" s="19" t="inlineStr">
        <is>
          <t>M106-Q01</t>
        </is>
      </c>
      <c r="B142" s="19" t="inlineStr">
        <is>
          <t>MISS-M106-Q01-02</t>
        </is>
      </c>
      <c r="C142" s="21" t="n"/>
      <c r="D142" s="21" t="n"/>
      <c r="E142" s="21" t="n"/>
      <c r="F142" s="21" t="n"/>
      <c r="G142" s="21" t="n"/>
      <c r="H142" s="21" t="n"/>
      <c r="I142" s="21" t="n"/>
      <c r="J142" s="17">
        <f>IF(AND(B142="",C142="",D142="",E142="",F142="",G142="",H142="",I142=""),"",IF(AND(A142&lt;&gt;"",C142&lt;&gt;"",D142&lt;&gt;"",E142&lt;&gt;"",F142&lt;&gt;"",H142&lt;&gt;""),"Complete","Pending"))</f>
        <v/>
      </c>
    </row>
    <row r="143">
      <c r="A143" s="19" t="inlineStr">
        <is>
          <t>M106-Q01</t>
        </is>
      </c>
      <c r="B143" s="19" t="inlineStr">
        <is>
          <t>MISS-M106-Q01-03</t>
        </is>
      </c>
      <c r="C143" s="21" t="n"/>
      <c r="D143" s="21" t="n"/>
      <c r="E143" s="21" t="n"/>
      <c r="F143" s="21" t="n"/>
      <c r="G143" s="21" t="n"/>
      <c r="H143" s="21" t="n"/>
      <c r="I143" s="21" t="n"/>
      <c r="J143" s="17">
        <f>IF(AND(B143="",C143="",D143="",E143="",F143="",G143="",H143="",I143=""),"",IF(AND(A143&lt;&gt;"",C143&lt;&gt;"",D143&lt;&gt;"",E143&lt;&gt;"",F143&lt;&gt;"",H143&lt;&gt;""),"Complete","Pending"))</f>
        <v/>
      </c>
    </row>
    <row r="144">
      <c r="A144" s="19" t="inlineStr">
        <is>
          <t>M106-Q02</t>
        </is>
      </c>
      <c r="B144" s="19" t="inlineStr">
        <is>
          <t>MISS-M106-Q02-01</t>
        </is>
      </c>
      <c r="C144" s="21" t="n"/>
      <c r="D144" s="21" t="n"/>
      <c r="E144" s="21" t="n"/>
      <c r="F144" s="21" t="n"/>
      <c r="G144" s="21" t="n"/>
      <c r="H144" s="21" t="n"/>
      <c r="I144" s="21" t="n"/>
      <c r="J144" s="17">
        <f>IF(AND(B144="",C144="",D144="",E144="",F144="",G144="",H144="",I144=""),"",IF(AND(A144&lt;&gt;"",C144&lt;&gt;"",D144&lt;&gt;"",E144&lt;&gt;"",F144&lt;&gt;"",H144&lt;&gt;""),"Complete","Pending"))</f>
        <v/>
      </c>
    </row>
    <row r="145">
      <c r="A145" s="19" t="inlineStr">
        <is>
          <t>M106-Q02</t>
        </is>
      </c>
      <c r="B145" s="19" t="inlineStr">
        <is>
          <t>MISS-M106-Q02-02</t>
        </is>
      </c>
      <c r="C145" s="21" t="n"/>
      <c r="D145" s="21" t="n"/>
      <c r="E145" s="21" t="n"/>
      <c r="F145" s="21" t="n"/>
      <c r="G145" s="21" t="n"/>
      <c r="H145" s="21" t="n"/>
      <c r="I145" s="21" t="n"/>
      <c r="J145" s="17">
        <f>IF(AND(B145="",C145="",D145="",E145="",F145="",G145="",H145="",I145=""),"",IF(AND(A145&lt;&gt;"",C145&lt;&gt;"",D145&lt;&gt;"",E145&lt;&gt;"",F145&lt;&gt;"",H145&lt;&gt;""),"Complete","Pending"))</f>
        <v/>
      </c>
    </row>
    <row r="146">
      <c r="A146" s="19" t="inlineStr">
        <is>
          <t>M106-Q02</t>
        </is>
      </c>
      <c r="B146" s="19" t="inlineStr">
        <is>
          <t>MISS-M106-Q02-03</t>
        </is>
      </c>
      <c r="C146" s="21" t="n"/>
      <c r="D146" s="21" t="n"/>
      <c r="E146" s="21" t="n"/>
      <c r="F146" s="21" t="n"/>
      <c r="G146" s="21" t="n"/>
      <c r="H146" s="21" t="n"/>
      <c r="I146" s="21" t="n"/>
      <c r="J146" s="17">
        <f>IF(AND(B146="",C146="",D146="",E146="",F146="",G146="",H146="",I146=""),"",IF(AND(A146&lt;&gt;"",C146&lt;&gt;"",D146&lt;&gt;"",E146&lt;&gt;"",F146&lt;&gt;"",H146&lt;&gt;""),"Complete","Pending"))</f>
        <v/>
      </c>
    </row>
    <row r="147">
      <c r="A147" s="19" t="inlineStr">
        <is>
          <t>M108-Q01</t>
        </is>
      </c>
      <c r="B147" s="19" t="inlineStr">
        <is>
          <t>MISS-M108-Q01-01</t>
        </is>
      </c>
      <c r="C147" s="21" t="n"/>
      <c r="D147" s="21" t="n"/>
      <c r="E147" s="21" t="n"/>
      <c r="F147" s="21" t="n"/>
      <c r="G147" s="21" t="n"/>
      <c r="H147" s="21" t="n"/>
      <c r="I147" s="21" t="n"/>
      <c r="J147" s="17">
        <f>IF(AND(B147="",C147="",D147="",E147="",F147="",G147="",H147="",I147=""),"",IF(AND(A147&lt;&gt;"",C147&lt;&gt;"",D147&lt;&gt;"",E147&lt;&gt;"",F147&lt;&gt;"",H147&lt;&gt;""),"Complete","Pending"))</f>
        <v/>
      </c>
    </row>
    <row r="148">
      <c r="A148" s="19" t="inlineStr">
        <is>
          <t>M108-Q01</t>
        </is>
      </c>
      <c r="B148" s="19" t="inlineStr">
        <is>
          <t>MISS-M108-Q01-02</t>
        </is>
      </c>
      <c r="C148" s="21" t="n"/>
      <c r="D148" s="21" t="n"/>
      <c r="E148" s="21" t="n"/>
      <c r="F148" s="21" t="n"/>
      <c r="G148" s="21" t="n"/>
      <c r="H148" s="21" t="n"/>
      <c r="I148" s="21" t="n"/>
      <c r="J148" s="17">
        <f>IF(AND(B148="",C148="",D148="",E148="",F148="",G148="",H148="",I148=""),"",IF(AND(A148&lt;&gt;"",C148&lt;&gt;"",D148&lt;&gt;"",E148&lt;&gt;"",F148&lt;&gt;"",H148&lt;&gt;""),"Complete","Pending"))</f>
        <v/>
      </c>
    </row>
    <row r="149">
      <c r="A149" s="19" t="inlineStr">
        <is>
          <t>M108-Q01</t>
        </is>
      </c>
      <c r="B149" s="19" t="inlineStr">
        <is>
          <t>MISS-M108-Q01-03</t>
        </is>
      </c>
      <c r="C149" s="21" t="n"/>
      <c r="D149" s="21" t="n"/>
      <c r="E149" s="21" t="n"/>
      <c r="F149" s="21" t="n"/>
      <c r="G149" s="21" t="n"/>
      <c r="H149" s="21" t="n"/>
      <c r="I149" s="21" t="n"/>
      <c r="J149" s="17">
        <f>IF(AND(B149="",C149="",D149="",E149="",F149="",G149="",H149="",I149=""),"",IF(AND(A149&lt;&gt;"",C149&lt;&gt;"",D149&lt;&gt;"",E149&lt;&gt;"",F149&lt;&gt;"",H149&lt;&gt;""),"Complete","Pending"))</f>
        <v/>
      </c>
    </row>
    <row r="150">
      <c r="A150" s="19" t="inlineStr">
        <is>
          <t>M112-Q01</t>
        </is>
      </c>
      <c r="B150" s="19" t="inlineStr">
        <is>
          <t>MISS-M112-Q01-01</t>
        </is>
      </c>
      <c r="C150" s="21" t="n"/>
      <c r="D150" s="21" t="n"/>
      <c r="E150" s="21" t="n"/>
      <c r="F150" s="21" t="n"/>
      <c r="G150" s="21" t="n"/>
      <c r="H150" s="21" t="n"/>
      <c r="I150" s="21" t="n"/>
      <c r="J150" s="17">
        <f>IF(AND(B150="",C150="",D150="",E150="",F150="",G150="",H150="",I150=""),"",IF(AND(A150&lt;&gt;"",C150&lt;&gt;"",D150&lt;&gt;"",E150&lt;&gt;"",F150&lt;&gt;"",H150&lt;&gt;""),"Complete","Pending"))</f>
        <v/>
      </c>
    </row>
    <row r="151">
      <c r="A151" s="19" t="inlineStr">
        <is>
          <t>M112-Q01</t>
        </is>
      </c>
      <c r="B151" s="19" t="inlineStr">
        <is>
          <t>MISS-M112-Q01-02</t>
        </is>
      </c>
      <c r="C151" s="21" t="n"/>
      <c r="D151" s="21" t="n"/>
      <c r="E151" s="21" t="n"/>
      <c r="F151" s="21" t="n"/>
      <c r="G151" s="21" t="n"/>
      <c r="H151" s="21" t="n"/>
      <c r="I151" s="21" t="n"/>
      <c r="J151" s="17">
        <f>IF(AND(B151="",C151="",D151="",E151="",F151="",G151="",H151="",I151=""),"",IF(AND(A151&lt;&gt;"",C151&lt;&gt;"",D151&lt;&gt;"",E151&lt;&gt;"",F151&lt;&gt;"",H151&lt;&gt;""),"Complete","Pending"))</f>
        <v/>
      </c>
    </row>
    <row r="152">
      <c r="A152" s="19" t="inlineStr">
        <is>
          <t>M112-Q01</t>
        </is>
      </c>
      <c r="B152" s="19" t="inlineStr">
        <is>
          <t>MISS-M112-Q01-03</t>
        </is>
      </c>
      <c r="C152" s="21" t="n"/>
      <c r="D152" s="21" t="n"/>
      <c r="E152" s="21" t="n"/>
      <c r="F152" s="21" t="n"/>
      <c r="G152" s="21" t="n"/>
      <c r="H152" s="21" t="n"/>
      <c r="I152" s="21" t="n"/>
      <c r="J152" s="17">
        <f>IF(AND(B152="",C152="",D152="",E152="",F152="",G152="",H152="",I152=""),"",IF(AND(A152&lt;&gt;"",C152&lt;&gt;"",D152&lt;&gt;"",E152&lt;&gt;"",F152&lt;&gt;"",H152&lt;&gt;""),"Complete","Pending"))</f>
        <v/>
      </c>
    </row>
    <row r="153">
      <c r="A153" s="19" t="inlineStr">
        <is>
          <t>M112-Q02</t>
        </is>
      </c>
      <c r="B153" s="19" t="inlineStr">
        <is>
          <t>MISS-M112-Q02-01</t>
        </is>
      </c>
      <c r="C153" s="21" t="n"/>
      <c r="D153" s="21" t="n"/>
      <c r="E153" s="21" t="n"/>
      <c r="F153" s="21" t="n"/>
      <c r="G153" s="21" t="n"/>
      <c r="H153" s="21" t="n"/>
      <c r="I153" s="21" t="n"/>
      <c r="J153" s="17">
        <f>IF(AND(B153="",C153="",D153="",E153="",F153="",G153="",H153="",I153=""),"",IF(AND(A153&lt;&gt;"",C153&lt;&gt;"",D153&lt;&gt;"",E153&lt;&gt;"",F153&lt;&gt;"",H153&lt;&gt;""),"Complete","Pending"))</f>
        <v/>
      </c>
    </row>
    <row r="154">
      <c r="A154" s="19" t="inlineStr">
        <is>
          <t>M112-Q02</t>
        </is>
      </c>
      <c r="B154" s="19" t="inlineStr">
        <is>
          <t>MISS-M112-Q02-02</t>
        </is>
      </c>
      <c r="C154" s="21" t="n"/>
      <c r="D154" s="21" t="n"/>
      <c r="E154" s="21" t="n"/>
      <c r="F154" s="21" t="n"/>
      <c r="G154" s="21" t="n"/>
      <c r="H154" s="21" t="n"/>
      <c r="I154" s="21" t="n"/>
      <c r="J154" s="17">
        <f>IF(AND(B154="",C154="",D154="",E154="",F154="",G154="",H154="",I154=""),"",IF(AND(A154&lt;&gt;"",C154&lt;&gt;"",D154&lt;&gt;"",E154&lt;&gt;"",F154&lt;&gt;"",H154&lt;&gt;""),"Complete","Pending"))</f>
        <v/>
      </c>
    </row>
    <row r="155">
      <c r="A155" s="19" t="inlineStr">
        <is>
          <t>M112-Q02</t>
        </is>
      </c>
      <c r="B155" s="19" t="inlineStr">
        <is>
          <t>MISS-M112-Q02-03</t>
        </is>
      </c>
      <c r="C155" s="21" t="n"/>
      <c r="D155" s="21" t="n"/>
      <c r="E155" s="21" t="n"/>
      <c r="F155" s="21" t="n"/>
      <c r="G155" s="21" t="n"/>
      <c r="H155" s="21" t="n"/>
      <c r="I155" s="21" t="n"/>
      <c r="J155" s="17">
        <f>IF(AND(B155="",C155="",D155="",E155="",F155="",G155="",H155="",I155=""),"",IF(AND(A155&lt;&gt;"",C155&lt;&gt;"",D155&lt;&gt;"",E155&lt;&gt;"",F155&lt;&gt;"",H155&lt;&gt;""),"Complete","Pending"))</f>
        <v/>
      </c>
    </row>
  </sheetData>
  <autoFilter ref="A5:J155"/>
  <mergeCells count="2">
    <mergeCell ref="A3:J3"/>
    <mergeCell ref="A2:J2"/>
  </mergeCells>
  <conditionalFormatting sqref="J6:J155">
    <cfRule type="cellIs" priority="1" operator="equal" dxfId="8">
      <formula>"Complete"</formula>
    </cfRule>
    <cfRule type="cellIs" priority="2" operator="equal" dxfId="9">
      <formula>"Pending"</formula>
    </cfRule>
  </conditionalFormatting>
  <dataValidations count="1">
    <dataValidation sqref="E6:E155" showDropDown="0" showInputMessage="0" showErrorMessage="0" allowBlank="1" type="list">
      <formula1>"Indispensable,Supporting,Background"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2026-09-10T07:12:08Z</dcterms:created>
  <dcterms:modified xmlns:dcterms="http://purl.org/dc/terms/" xmlns:xsi="http://www.w3.org/2001/XMLSchema-instance" xsi:type="dcterms:W3CDTF">2026-09-10T07:12:09Z</dcterms:modified>
</cp:coreProperties>
</file>