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Questions" sheetId="1" state="visible" r:id="rId1"/>
    <sheet xmlns:r="http://schemas.openxmlformats.org/officeDocument/2006/relationships" name="Provisions" sheetId="2" state="visible" r:id="rId2"/>
    <sheet xmlns:r="http://schemas.openxmlformats.org/officeDocument/2006/relationships" name="Claims" sheetId="3" state="visible" r:id="rId3"/>
    <sheet xmlns:r="http://schemas.openxmlformats.org/officeDocument/2006/relationships" name="Missing provisions" sheetId="4" state="visible" r:id="rId4"/>
  </sheets>
  <definedNames>
    <definedName name="_xlnm._FilterDatabase" localSheetId="0" hidden="1">'Questions'!$A$5:$Q$8</definedName>
    <definedName name="_xlnm._FilterDatabase" localSheetId="1" hidden="1">'Provisions'!$A$5:$Q$36</definedName>
    <definedName name="_xlnm._FilterDatabase" localSheetId="2" hidden="1">'Claims'!$A$5:$K$40</definedName>
    <definedName name="_xlnm._FilterDatabase" localSheetId="3" hidden="1">'Missing provisions'!$A$5:$J$14</definedName>
  </definedNames>
</workbook>
</file>

<file path=xl/styles.xml><?xml version="1.0" encoding="utf-8"?>
<styleSheet xmlns="http://schemas.openxmlformats.org/spreadsheetml/2006/main">
  <numFmts count="1">
    <numFmt numFmtId="164" formatCode="yyyy-mm-dd"/>
  </numFmts>
  <fonts count="5">
    <font>
      <name val="Carlito"/>
      <sz val="11"/>
    </font>
    <font>
      <name val="Arial"/>
      <b val="1"/>
      <color rgb="FF17365D"/>
      <sz val="14"/>
    </font>
    <font>
      <name val="Arial"/>
      <i val="1"/>
      <color rgb="FF4B5563"/>
      <sz val="10"/>
    </font>
    <font>
      <name val="Arial"/>
      <b val="1"/>
      <color rgb="FFFFFFFF"/>
      <sz val="10"/>
    </font>
    <font>
      <name val="Arial"/>
      <color rgb="FF1F2937"/>
      <sz val="10"/>
    </font>
  </fonts>
  <fills count="5">
    <fill>
      <patternFill/>
    </fill>
    <fill>
      <patternFill patternType="gray125"/>
    </fill>
    <fill>
      <patternFill patternType="solid">
        <fgColor rgb="FF17365D"/>
      </patternFill>
    </fill>
    <fill>
      <patternFill patternType="solid">
        <fgColor rgb="FFE7E6E6"/>
      </patternFill>
    </fill>
    <fill>
      <patternFill patternType="solid">
        <fgColor rgb="FFFFF2CC"/>
      </patternFill>
    </fill>
  </fills>
  <borders count="4">
    <border/>
    <border>
      <left style="thin">
        <color rgb="FFFFFFFF"/>
      </left>
      <right style="thin">
        <color rgb="FFFFFFFF"/>
      </right>
      <top style="thin">
        <color rgb="FFFFFFFF"/>
      </top>
      <bottom style="thin">
        <color rgb="FFFFFFFF"/>
      </bottom>
    </border>
    <border>
      <bottom style="thin">
        <color rgb="FFB7C9D6"/>
      </bottom>
    </border>
    <border>
      <top style="thin">
        <color rgb="FFB7C9D6"/>
      </top>
      <bottom style="thin">
        <color rgb="FFB7C9D6"/>
      </bottom>
    </border>
  </borders>
  <cellStyleXfs count="1">
    <xf numFmtId="0" fontId="0" fillId="0" borderId="0"/>
  </cellStyleXfs>
  <cellXfs count="33">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pivotButton="0" quotePrefix="0" xfId="0"/>
    <xf numFmtId="0" fontId="2" fillId="0" borderId="0" applyAlignment="1" pivotButton="0" quotePrefix="0" xfId="0">
      <alignment wrapText="1"/>
    </xf>
    <xf numFmtId="0" fontId="2" fillId="0" borderId="0" applyAlignment="1" pivotButton="0" quotePrefix="0" xfId="0">
      <alignment vertical="top" wrapText="1"/>
    </xf>
    <xf numFmtId="0" fontId="0" fillId="2" borderId="0" pivotButton="0" quotePrefix="0" xfId="0"/>
    <xf numFmtId="0" fontId="3" fillId="2" borderId="0" pivotButton="0" quotePrefix="0" xfId="0"/>
    <xf numFmtId="0" fontId="3" fillId="2" borderId="1" pivotButton="0" quotePrefix="0" xfId="0"/>
    <xf numFmtId="0" fontId="3" fillId="2" borderId="1" applyAlignment="1" pivotButton="0" quotePrefix="0" xfId="0">
      <alignment wrapText="1"/>
    </xf>
    <xf numFmtId="0" fontId="3" fillId="2" borderId="1" applyAlignment="1" pivotButton="0" quotePrefix="0" xfId="0">
      <alignment horizontal="center" wrapText="1"/>
    </xf>
    <xf numFmtId="0" fontId="3" fillId="2" borderId="1" applyAlignment="1" pivotButton="0" quotePrefix="0" xfId="0">
      <alignment horizontal="center" vertical="center" wrapText="1"/>
    </xf>
    <xf numFmtId="0" fontId="4" fillId="0" borderId="0" pivotButton="0" quotePrefix="0" xfId="0"/>
    <xf numFmtId="0" fontId="4" fillId="0" borderId="2" pivotButton="0" quotePrefix="0" xfId="0"/>
    <xf numFmtId="0" fontId="4" fillId="0" borderId="3" pivotButton="0" quotePrefix="0" xfId="0"/>
    <xf numFmtId="0" fontId="4" fillId="0" borderId="2" applyAlignment="1" pivotButton="0" quotePrefix="0" xfId="0">
      <alignment wrapText="1"/>
    </xf>
    <xf numFmtId="0" fontId="4" fillId="0" borderId="3" applyAlignment="1" pivotButton="0" quotePrefix="0" xfId="0">
      <alignment wrapText="1"/>
    </xf>
    <xf numFmtId="0" fontId="4" fillId="0" borderId="2" applyAlignment="1" pivotButton="0" quotePrefix="0" xfId="0">
      <alignment vertical="top" wrapText="1"/>
    </xf>
    <xf numFmtId="0" fontId="4" fillId="0" borderId="3" applyAlignment="1" pivotButton="0" quotePrefix="0" xfId="0">
      <alignment vertical="top" wrapText="1"/>
    </xf>
    <xf numFmtId="0" fontId="4" fillId="3" borderId="2" applyAlignment="1" pivotButton="0" quotePrefix="0" xfId="0">
      <alignment vertical="top" wrapText="1"/>
    </xf>
    <xf numFmtId="0" fontId="4" fillId="3" borderId="3" applyAlignment="1" pivotButton="0" quotePrefix="0" xfId="0">
      <alignment vertical="top" wrapText="1"/>
    </xf>
    <xf numFmtId="0" fontId="4" fillId="4" borderId="2" applyAlignment="1" pivotButton="0" quotePrefix="0" xfId="0">
      <alignment vertical="top" wrapText="1"/>
    </xf>
    <xf numFmtId="0" fontId="4" fillId="4" borderId="3" applyAlignment="1" pivotButton="0" quotePrefix="0" xfId="0">
      <alignment vertical="top" wrapText="1"/>
    </xf>
    <xf numFmtId="164" fontId="4" fillId="0" borderId="2" applyAlignment="1" pivotButton="0" quotePrefix="0" xfId="0">
      <alignment vertical="top" wrapText="1"/>
    </xf>
    <xf numFmtId="164" fontId="4" fillId="0" borderId="3" applyAlignment="1" pivotButton="0" quotePrefix="0" xfId="0">
      <alignment vertical="top" wrapText="1"/>
    </xf>
    <xf numFmtId="164" fontId="4" fillId="4" borderId="2" applyAlignment="1" pivotButton="0" quotePrefix="0" xfId="0">
      <alignment vertical="top" wrapText="1"/>
    </xf>
    <xf numFmtId="164" fontId="4" fillId="4" borderId="3" applyAlignment="1" pivotButton="0" quotePrefix="0" xfId="0">
      <alignment vertical="top" wrapText="1"/>
    </xf>
    <xf numFmtId="0" fontId="4" fillId="4" borderId="2" applyAlignment="1" pivotButton="0" quotePrefix="0" xfId="0">
      <alignment horizontal="center" vertical="top" wrapText="1"/>
    </xf>
    <xf numFmtId="0" fontId="4" fillId="4" borderId="3" applyAlignment="1" pivotButton="0" quotePrefix="0" xfId="0">
      <alignment horizontal="center" vertical="top" wrapText="1"/>
    </xf>
    <xf numFmtId="0" fontId="1" fillId="0" borderId="0" applyAlignment="1" pivotButton="0" quotePrefix="0" xfId="0">
      <alignment vertical="top"/>
    </xf>
    <xf numFmtId="0" fontId="0" fillId="0" borderId="0" applyAlignment="1" pivotButton="0" quotePrefix="0" xfId="0">
      <alignment vertical="top"/>
    </xf>
    <xf numFmtId="0" fontId="3" fillId="2" borderId="1" applyAlignment="1" pivotButton="0" quotePrefix="0" xfId="0">
      <alignment horizontal="center" vertical="top" wrapText="1"/>
    </xf>
    <xf numFmtId="164" fontId="4" fillId="0" borderId="2" applyAlignment="1" pivotButton="0" quotePrefix="0" xfId="0">
      <alignment vertical="top" wrapText="1"/>
    </xf>
  </cellXfs>
  <cellStyles count="1">
    <cellStyle name="Normal" xfId="0"/>
  </cellStyles>
  <dxfs count="10">
    <dxf>
      <font>
        <b val="1"/>
        <color rgb="FF375623"/>
      </font>
      <fill>
        <patternFill patternType="solid">
          <bgColor rgb="FFE2F0D9"/>
        </patternFill>
      </fill>
    </dxf>
    <dxf>
      <font>
        <b val="1"/>
        <color rgb="FF9C0006"/>
      </font>
      <fill>
        <patternFill patternType="solid">
          <bgColor rgb="FFFCE4D6"/>
        </patternFill>
      </fill>
    </dxf>
    <dxf>
      <font>
        <b val="1"/>
        <color rgb="FF375623"/>
      </font>
      <fill>
        <patternFill patternType="solid">
          <bgColor rgb="FFE2F0D9"/>
        </patternFill>
      </fill>
    </dxf>
    <dxf>
      <font>
        <b val="1"/>
        <color rgb="FF9C0006"/>
      </font>
      <fill>
        <patternFill patternType="solid">
          <bgColor rgb="FFFCE4D6"/>
        </patternFill>
      </fill>
    </dxf>
    <dxf>
      <font>
        <b val="1"/>
        <color rgb="FF375623"/>
      </font>
      <fill>
        <patternFill patternType="solid">
          <bgColor rgb="FFE2F0D9"/>
        </patternFill>
      </fill>
    </dxf>
    <dxf>
      <font>
        <b val="1"/>
        <color rgb="FF9C0006"/>
      </font>
      <fill>
        <patternFill patternType="solid">
          <bgColor rgb="FFFCE4D6"/>
        </patternFill>
      </fill>
    </dxf>
    <dxf>
      <font>
        <b val="1"/>
        <color rgb="FF375623"/>
      </font>
      <fill>
        <patternFill patternType="solid">
          <bgColor rgb="FFE2F0D9"/>
        </patternFill>
      </fill>
    </dxf>
    <dxf>
      <font>
        <b val="1"/>
        <color rgb="FF9C0006"/>
      </font>
      <fill>
        <patternFill patternType="solid">
          <bgColor rgb="FFFCE4D6"/>
        </patternFill>
      </fill>
    </dxf>
    <dxf>
      <fill>
        <patternFill patternType="solid">
          <fgColor rgb="FFC6EFCE"/>
        </patternFill>
      </fill>
    </dxf>
    <dxf>
      <fill>
        <patternFill patternType="solid">
          <fgColor rgb="FFFFEB9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QuestionsTable" displayName="QuestionsTable" ref="A5:Q55" headerRowCount="1" totalsRowCount="0" totalsRowShown="0">
  <tableColumns count="17">
    <tableColumn id="1" name="Matter ID"/>
    <tableColumn id="2" name="Question ID"/>
    <tableColumn id="3" name="Reference Date"/>
    <tableColumn id="4" name="Original Question"/>
    <tableColumn id="5" name="Enriched Facts"/>
    <tableColumn id="6" name="Added Facts Plausible?"/>
    <tableColumn id="7" name="Added Facts Neutral?"/>
    <tableColumn id="8" name="Issues Complete?"/>
    <tableColumn id="9" name="Statute-only?"/>
    <tableColumn id="10" name="Other Law Needed"/>
    <tableColumn id="11" name="Overall Verdict"/>
    <tableColumn id="12" name="Reviewer ID"/>
    <tableColumn id="13" name="Review Date"/>
    <tableColumn id="14" name="Minutes Spent"/>
    <tableColumn id="15" name="Confidence (1–5)"/>
    <tableColumn id="16" name="Corrections / Notes"/>
    <tableColumn id="17" name="Review Status"/>
  </tableColumns>
  <tableStyleInfo name="TableStyleMedium2" showFirstColumn="0" showLastColumn="0" showRowStripes="1" showColumnStripes="0"/>
</table>
</file>

<file path=xl/tables/table2.xml><?xml version="1.0" encoding="utf-8"?>
<table xmlns="http://schemas.openxmlformats.org/spreadsheetml/2006/main" id="2" name="ProvisionsTable" displayName="ProvisionsTable" ref="A5:O305" headerRowCount="1" totalsRowCount="0" totalsRowShown="0">
  <tableColumns count="15">
    <tableColumn id="1" name="Question ID"/>
    <tableColumn id="2" name="Provision ID"/>
    <tableColumn id="3" name="Act / Instrument"/>
    <tableColumn id="4" name="Section / Rule"/>
    <tableColumn id="5" name="Reference Date"/>
    <tableColumn id="6" name="Temporal Status"/>
    <tableColumn id="7" name="Verbatim Excerpt"/>
    <tableColumn id="8" name="Source Link"/>
    <tableColumn id="9" name="Agent Proposed Label"/>
    <tableColumn id="10" name="Lawyer Label"/>
    <tableColumn id="11" name="Corrected Act / Instrument"/>
    <tableColumn id="12" name="Corrected Section / Rule"/>
    <tableColumn id="13" name="Reviewer Notes"/>
    <tableColumn id="14" name="Reviewer ID"/>
    <tableColumn id="15" name="Review Status"/>
  </tableColumns>
  <tableStyleInfo name="TableStyleMedium2" showFirstColumn="0" showLastColumn="0" showRowStripes="1" showColumnStripes="0"/>
</table>
</file>

<file path=xl/tables/table3.xml><?xml version="1.0" encoding="utf-8"?>
<table xmlns="http://schemas.openxmlformats.org/spreadsheetml/2006/main" id="3" name="ClaimsTable" displayName="ClaimsTable" ref="A5:J205" headerRowCount="1" totalsRowCount="0" totalsRowShown="0">
  <tableColumns count="10">
    <tableColumn id="1" name="Question ID"/>
    <tableColumn id="2" name="Claim ID"/>
    <tableColumn id="3" name="Draft Answer Claim"/>
    <tableColumn id="4" name="Linked Provision IDs"/>
    <tableColumn id="5" name="Lawyer Judgment"/>
    <tableColumn id="6" name="Corrected Claim / Notes"/>
    <tableColumn id="7" name="Case Law / Common Law Required?"/>
    <tableColumn id="8" name="Authority / Citation Needed"/>
    <tableColumn id="9" name="Reviewer ID"/>
    <tableColumn id="10" name="Review Status"/>
  </tableColumns>
  <tableStyleInfo name="TableStyleMedium2" showFirstColumn="0" showLastColumn="0" showRowStripes="1" showColumnStripes="0"/>
</table>
</file>

<file path=xl/tables/table4.xml><?xml version="1.0" encoding="utf-8"?>
<table xmlns="http://schemas.openxmlformats.org/spreadsheetml/2006/main" id="4" name="MissingProvisionsTable" displayName="MissingProvisionsTable" ref="A5:J105" headerRowCount="1" totalsRowCount="0" totalsRowShown="0">
  <tableColumns count="10">
    <tableColumn id="1" name="Question ID"/>
    <tableColumn id="2" name="Missing Provision ID"/>
    <tableColumn id="3" name="Act / Instrument"/>
    <tableColumn id="4" name="Section / Rule"/>
    <tableColumn id="5" name="Importance"/>
    <tableColumn id="6" name="Why Required"/>
    <tableColumn id="7" name="Source Link"/>
    <tableColumn id="8" name="Reviewer ID"/>
    <tableColumn id="9" name="Notes"/>
    <tableColumn id="10" name="Review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2:Q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4" customWidth="1" min="3" max="3"/>
    <col width="60" customWidth="1" min="4" max="4"/>
    <col width="60" customWidth="1" min="5" max="5"/>
    <col width="18" customWidth="1" min="6" max="6"/>
    <col width="18" customWidth="1" min="7" max="7"/>
    <col width="17" customWidth="1" min="8" max="8"/>
    <col width="14" customWidth="1" min="9" max="9"/>
    <col width="20" customWidth="1" min="10" max="10"/>
    <col width="20" customWidth="1" min="11" max="11"/>
    <col width="16" customWidth="1" min="12" max="12"/>
    <col width="14" customWidth="1" min="13" max="13"/>
    <col width="14" customWidth="1" min="14" max="14"/>
    <col width="16" customWidth="1" min="15" max="15"/>
    <col width="42" customWidth="1" min="16" max="16"/>
    <col width="15" customWidth="1" min="17" max="17"/>
  </cols>
  <sheetData>
    <row r="2" ht="24" customHeight="1">
      <c r="A2" s="29" t="inlineStr">
        <is>
          <t>Statutory QA Lawyer Review - Questions</t>
        </is>
      </c>
    </row>
    <row r="3" ht="48" customHeight="1">
      <c r="A3" s="5" t="inlineStr">
        <is>
          <t>Complete one row per question. Yellow cells require lawyer input. Grey ID cells and the white columns are system fields generated from the agents' legal maps; do not edit them. Read the matter background and the enriched facts, then judge the added facts, the issue list and whether the question is answerable from statute alone.</t>
        </is>
      </c>
    </row>
    <row r="4">
      <c r="A4" s="30" t="n"/>
      <c r="B4" s="30" t="n"/>
      <c r="C4" s="30" t="n"/>
      <c r="D4" s="30" t="n"/>
      <c r="E4" s="30" t="n"/>
      <c r="F4" s="30" t="n"/>
      <c r="G4" s="30" t="n"/>
      <c r="H4" s="30" t="n"/>
      <c r="I4" s="30" t="n"/>
      <c r="J4" s="30" t="n"/>
      <c r="K4" s="30" t="n"/>
      <c r="L4" s="30" t="n"/>
      <c r="M4" s="30" t="n"/>
      <c r="N4" s="30" t="n"/>
      <c r="O4" s="30" t="n"/>
      <c r="P4" s="30" t="n"/>
      <c r="Q4" s="30" t="n"/>
    </row>
    <row r="5" ht="34" customHeight="1">
      <c r="A5" s="31" t="inlineStr">
        <is>
          <t>Matter ID</t>
        </is>
      </c>
      <c r="B5" s="31" t="inlineStr">
        <is>
          <t>Question ID</t>
        </is>
      </c>
      <c r="C5" s="31" t="inlineStr">
        <is>
          <t>Reference Date</t>
        </is>
      </c>
      <c r="D5" s="31" t="inlineStr">
        <is>
          <t>Original Question</t>
        </is>
      </c>
      <c r="E5" s="31" t="inlineStr">
        <is>
          <t>Enriched Facts</t>
        </is>
      </c>
      <c r="F5" s="31" t="inlineStr">
        <is>
          <t>Added Facts Plausible?</t>
        </is>
      </c>
      <c r="G5" s="31" t="inlineStr">
        <is>
          <t>Added Facts Neutral?</t>
        </is>
      </c>
      <c r="H5" s="31" t="inlineStr">
        <is>
          <t>Issues Complete?</t>
        </is>
      </c>
      <c r="I5" s="31" t="inlineStr">
        <is>
          <t>Statute-only?</t>
        </is>
      </c>
      <c r="J5" s="31" t="inlineStr">
        <is>
          <t>Other Law Needed</t>
        </is>
      </c>
      <c r="K5" s="31" t="inlineStr">
        <is>
          <t>Overall Verdict</t>
        </is>
      </c>
      <c r="L5" s="31" t="inlineStr">
        <is>
          <t>Reviewer ID</t>
        </is>
      </c>
      <c r="M5" s="31" t="inlineStr">
        <is>
          <t>Review Date</t>
        </is>
      </c>
      <c r="N5" s="31" t="inlineStr">
        <is>
          <t>Minutes Spent</t>
        </is>
      </c>
      <c r="O5" s="31" t="inlineStr">
        <is>
          <t>Confidence (1-5)</t>
        </is>
      </c>
      <c r="P5" s="31" t="inlineStr">
        <is>
          <t>Corrections / Notes</t>
        </is>
      </c>
      <c r="Q5" s="31" t="inlineStr">
        <is>
          <t>Review Status</t>
        </is>
      </c>
    </row>
    <row r="6">
      <c r="A6" s="19" t="inlineStr">
        <is>
          <t>M001</t>
        </is>
      </c>
      <c r="B6" s="19" t="inlineStr">
        <is>
          <t>M001-Q02</t>
        </is>
      </c>
      <c r="C6" s="32" t="inlineStr">
        <is>
          <t>2026-04</t>
        </is>
      </c>
      <c r="D6" s="32" t="inlineStr">
        <is>
          <t>BACKGROUND
Gamini Perera was allotted Lot A depicted in Partition Plan No 2525 dated 2nd February 1981 made by S Silva Licensed Surveyor bearing assessment No 20 Flower Road, Homagama containing in extent 10 perches by a final decree of a partition case bearing No 111/P dated 2nd February 1985 entered in the District Court of Homagama. Gamini Perera by Deed of Deed of Gift No. 515 dated 10th March 1986 attested by R Liyanage Notary Public gifted said Lot A depicted in plan. no 2525 absolutely and irrevocably to his son Suresh Perera subject to life interest of Gamini Perera and his wife Vinitha. Gamini Perera died on 12th June 1990 due to heart failure. Vinitha revoked her life interest over said Lot A depicted in Plan No. 2525 by Deed of revocation of life interest bearing No. 525 dated 25th February 1991 attested by S Sapumal Notary Public. Suresh Perera married Kanthi and had two children namely Rakitha and Muditha. Muditha died due to an accident on 5th June 2023 unmarried and issueless. Rakitha married Ann and died on 2nd July 2022. Suresh Perera died on 10th December 1995 intestate. Suresh Perera had an offspring named Samantha from his first marriage who is a citizen of USA (United States of America).
QUESTION
What are the shares presently owned by each heir in the property?
AGENT ISSUE LIST
- ISS-M001-Q02-01: What fractions of Lot A vested in Kanthi, Samantha, Rakitha and Muditha on the intestate death of Suresh Perera on 10 December 1995.
- ISS-M001-Q02-02: How Rakitha's fraction devolved on his death on 2 July 2022, leaving a widow Ann, a surviving mother Kanthi, a full sister Muditha and a half-sister Samantha.
- ISS-M001-Q02-03: How Muditha's fraction devolved on her death on 5 June 2023 unmarried and issueless, her only surviving sibling being the half-blood sister Samantha.
- ISS-M001-Q02-04: What each of Kanthi, Ann and Samantha holds in Lot A as at the matter reference date of April 2026.
AGENT AUTHORITY VIEW: statute_only</t>
        </is>
      </c>
      <c r="E6" s="32" t="inlineStr">
        <is>
          <t>(no enrichment; the original background is used as is)</t>
        </is>
      </c>
      <c r="F6" s="21" t="n"/>
      <c r="G6" s="21" t="n"/>
      <c r="H6" s="21" t="n"/>
      <c r="I6" s="21" t="n"/>
      <c r="J6" s="21" t="n"/>
      <c r="K6" s="21" t="n"/>
      <c r="L6" s="21" t="n"/>
      <c r="M6" s="21" t="n"/>
      <c r="N6" s="21" t="n"/>
      <c r="O6" s="21" t="n"/>
      <c r="P6" s="21" t="n"/>
      <c r="Q6" s="32">
        <f>IF(B6="","",IF(AND(F6&lt;&gt;"",G6&lt;&gt;"",H6&lt;&gt;"",I6&lt;&gt;"",K6&lt;&gt;"",L6&lt;&gt;"",M6&lt;&gt;"",O6&lt;&gt;""),"Complete","Pending"))</f>
        <v/>
      </c>
    </row>
    <row r="7">
      <c r="A7" s="19" t="inlineStr">
        <is>
          <t>M001</t>
        </is>
      </c>
      <c r="B7" s="19" t="inlineStr">
        <is>
          <t>M001-Q03</t>
        </is>
      </c>
      <c r="C7" s="32" t="inlineStr">
        <is>
          <t>2026-04</t>
        </is>
      </c>
      <c r="D7" s="32" t="inlineStr">
        <is>
          <t>BACKGROUND
Gamini Perera was allotted Lot A depicted in Partition Plan No 2525 dated 2nd February 1981 made by S Silva Licensed Surveyor bearing assessment No 20 Flower Road, Homagama containing in extent 10 perches by a final decree of a partition case bearing No 111/P dated 2nd February 1985 entered in the District Court of Homagama. Gamini Perera by Deed of Deed of Gift No. 515 dated 10th March 1986 attested by R Liyanage Notary Public gifted said Lot A depicted in plan. no 2525 absolutely and irrevocably to his son Suresh Perera subject to life interest of Gamini Perera and his wife Vinitha. Gamini Perera died on 12th June 1990 due to heart failure. Vinitha revoked her life interest over said Lot A depicted in Plan No. 2525 by Deed of revocation of life interest bearing No. 525 dated 25th February 1991 attested by S Sapumal Notary Public. Suresh Perera married Kanthi and had two children namely Rakitha and Muditha. Muditha died due to an accident on 5th June 2023 unmarried and issueless. Rakitha married Ann and died on 2nd July 2022. Suresh Perera died on 10th December 1995 intestate. Suresh Perera had an offspring named Samantha from his first marriage who is a citizen of USA (United States of America).
QUESTION
Can Samantha become entitled to the intestate estate of Suresh Perera? Discuss with the provisions of Land (Restriction on alienation) Act No. 38 of 2014 as amended by Land (Restriction on alienation) (Amendment) Act No. 21 of 2018.
AGENT ISSUE LIST
- ISS-M001-Q03-01: Whether the Land (Restrictions on Alienation) Act No. 38 of 2014 reaches the devolution of Suresh Perera's estate, given that he died on 10 December 1995 and the Act is deemed to operate only from 1 January 2013.
- ISS-M001-Q03-02: Whether Samantha is a foreigner within section 25 of the Act, and whether a devolution by operation of law on intestacy is a transfer of title within section 2(1).
- ISS-M001-Q03-03: Whether the exemption in section 3(1)(d) for title transferred by intestacy to a next of kin who is a foreigner covers Samantha's entitlement, including her entitlement arising on the 2022 and 2023 deaths which fall inside the Act's operative period.
- ISS-M001-Q03-04: What the 2018 Amendment Act changed in section 3 and whether it affects the intestacy exemption.
AGENT AUTHORITY VIEW: statute_only</t>
        </is>
      </c>
      <c r="E7" s="32" t="inlineStr">
        <is>
          <t>(no enrichment; the original background is used as is)</t>
        </is>
      </c>
      <c r="F7" s="21" t="n"/>
      <c r="G7" s="21" t="n"/>
      <c r="H7" s="21" t="n"/>
      <c r="I7" s="21" t="n"/>
      <c r="J7" s="21" t="n"/>
      <c r="K7" s="21" t="n"/>
      <c r="L7" s="21" t="n"/>
      <c r="M7" s="21" t="n"/>
      <c r="N7" s="21" t="n"/>
      <c r="O7" s="21" t="n"/>
      <c r="P7" s="21" t="n"/>
      <c r="Q7" s="32">
        <f>IF(B7="","",IF(AND(F7&lt;&gt;"",G7&lt;&gt;"",H7&lt;&gt;"",I7&lt;&gt;"",K7&lt;&gt;"",L7&lt;&gt;"",M7&lt;&gt;"",O7&lt;&gt;""),"Complete","Pending"))</f>
        <v/>
      </c>
    </row>
    <row r="8">
      <c r="A8" s="19" t="inlineStr">
        <is>
          <t>M022</t>
        </is>
      </c>
      <c r="B8" s="19" t="inlineStr">
        <is>
          <t>M022-Q01</t>
        </is>
      </c>
      <c r="C8" s="32" t="inlineStr">
        <is>
          <t>2025-10</t>
        </is>
      </c>
      <c r="D8" s="32" t="inlineStr">
        <is>
          <t>BACKGROUND
Sunil who is a 20 year old boy is suffering from a non-curable chronic disease and intends to execute a Last Will.
Children of a Testator of a Last Will inquire from the Notary who attested the same as to whether their father has executed a Will. Testator is alive.
QUESTION
Should the Notary divulge the information? Discuss.
AGENT ISSUE LIST
- ISS-M022-Q01-01: Whether knowledge that a client has executed a last will, and knowledge of its contents, is a secret confided to the notary or one of which he became possessed in the execution of his office.
- ISS-M022-Q01-02: Whether the testator's children can supply the 'express permission of his employer' that alone permits disclosure, or whether that permission must come from the testator who instructed the notary.
- ISS-M022-Q01-03: Whether an informal request by the testator's children, made while he is alive and unaccompanied by any court order or lawful demand, brings the notary within the exception for disclosure 'required to do so by law'.
- ISS-M022-Q01-04: What the notary is exposed to if she does divulge the information.
AGENT AUTHORITY VIEW: statute_only</t>
        </is>
      </c>
      <c r="E8" s="32" t="inlineStr">
        <is>
          <t>ENRICHED BACKGROUND
Mr. Ranjith Bandara Weerasekara, a retired schoolmaster of Gampaha, instructed Mrs. K. A. Nirmali Perera, a notary practising in the Gampaha district, to draw his last will. The will was executed before her at her office on 12 March 2019 and bears number 1487 in the series of instruments attested by her. She retains the protocol of the will and has entered only its number and date in her register. Mr. Weerasekara is alive, lives in his own house at Gampaha and manages his own affairs, and he has never given the notary permission, orally or in writing, to tell anyone that he has made a will or what it contains.
On 4 August 2025 his two adult children, Dinesh Weerasekara and Shanika Weerasekara, called at the notary's office and asked her whether their father had executed a will before her and, if he had, who takes under it. They said they wished to know whether the family land at Yakkala had been left to them. They produced no authority from their father, and neither they nor anyone else has served on the notary any order, summons or written demand from a court or from any public officer touching the will.
ADDED FACTS
- FACT-M022-Q01-001 [synthetic_neutral]: The testator is Mr. Ranjith Bandara Weerasekara, a retired schoolmaster of Gampaha; the notary who attested his will is Mrs. K. A. Nirmali Perera, practising in the Gampaha district; the enquirers are his two adult children, Dinesh Weerasekara and Shanika Weerasekara.
- FACT-M022-Q01-002 [synthetic_neutral]: The will was drawn on the testator's instructions and executed before the notary at her office on 12 March 2019; it bears number 1487 in her series of attested instruments, she retains its protocol, and only the number and date of the will are entered in her register.
- FACT-M022-Q01-003 [synthetic_decisive]: The testator is alive, competent and managing his own affairs, and he has never given the notary permission, orally or in writing, to disclose that he has made a will or what it contains.
- FACT-M022-Q01-004 [synthetic_decisive]: The children produced no authority from their father, and no order, summons or written demand from a court or from any public officer relating to the will has been served on the notary.</t>
        </is>
      </c>
      <c r="F8" s="21" t="n"/>
      <c r="G8" s="21" t="n"/>
      <c r="H8" s="21" t="n"/>
      <c r="I8" s="21" t="n"/>
      <c r="J8" s="21" t="n"/>
      <c r="K8" s="21" t="n"/>
      <c r="L8" s="21" t="n"/>
      <c r="M8" s="21" t="n"/>
      <c r="N8" s="21" t="n"/>
      <c r="O8" s="21" t="n"/>
      <c r="P8" s="21" t="n"/>
      <c r="Q8" s="32">
        <f>IF(B8="","",IF(AND(F8&lt;&gt;"",G8&lt;&gt;"",H8&lt;&gt;"",I8&lt;&gt;"",K8&lt;&gt;"",L8&lt;&gt;"",M8&lt;&gt;"",O8&lt;&gt;""),"Complete","Pending"))</f>
        <v/>
      </c>
    </row>
  </sheetData>
  <autoFilter ref="A5:Q8"/>
  <mergeCells count="2">
    <mergeCell ref="A3:Q3"/>
    <mergeCell ref="A2:Q2"/>
  </mergeCells>
  <conditionalFormatting sqref="Q6:Q8">
    <cfRule type="cellIs" priority="1" operator="equal" dxfId="8">
      <formula>"Complete"</formula>
    </cfRule>
    <cfRule type="cellIs" priority="2" operator="equal" dxfId="9">
      <formula>"Pending"</formula>
    </cfRule>
  </conditionalFormatting>
  <dataValidations count="8">
    <dataValidation sqref="F6:F8" showDropDown="0" showInputMessage="0" showErrorMessage="0" allowBlank="1" type="list">
      <formula1>"Yes,No,Unclear,Not applicable"</formula1>
    </dataValidation>
    <dataValidation sqref="G6:G8" showDropDown="0" showInputMessage="0" showErrorMessage="0" allowBlank="1" type="list">
      <formula1>"Yes,No,Unclear,Not applicable"</formula1>
    </dataValidation>
    <dataValidation sqref="H6:H8" showDropDown="0" showInputMessage="0" showErrorMessage="0" allowBlank="1" type="list">
      <formula1>"Yes,No,Unclear"</formula1>
    </dataValidation>
    <dataValidation sqref="I6:I8" showDropDown="0" showInputMessage="0" showErrorMessage="0" allowBlank="1" type="list">
      <formula1>"Yes,No,Unclear"</formula1>
    </dataValidation>
    <dataValidation sqref="J6:J8" showDropDown="0" showInputMessage="0" showErrorMessage="0" allowBlank="1" type="list">
      <formula1>"None,Case law,Common law,Regulations,Forms / practice,Multiple sources"</formula1>
    </dataValidation>
    <dataValidation sqref="K6:K8" showDropDown="0" showInputMessage="0" showErrorMessage="0" allowBlank="1" type="list">
      <formula1>"Approved,Corrections required,Rejected"</formula1>
    </dataValidation>
    <dataValidation sqref="N6:N8" showDropDown="0" showInputMessage="0" showErrorMessage="0" allowBlank="1" type="whole" operator="between">
      <formula1>0</formula1>
      <formula2>1440</formula2>
    </dataValidation>
    <dataValidation sqref="O6:O8" showDropDown="0" showInputMessage="0" showErrorMessage="0" allowBlank="1" type="whole" operator="between">
      <formula1>1</formula1>
      <formula2>5</formula2>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2:Q3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30" customWidth="1" min="3" max="3"/>
    <col width="18" customWidth="1" min="4" max="4"/>
    <col width="14" customWidth="1" min="5" max="5"/>
    <col width="26" customWidth="1" min="6" max="6"/>
    <col width="60" customWidth="1" min="7" max="7"/>
    <col width="30" customWidth="1" min="8" max="8"/>
    <col width="20" customWidth="1" min="9" max="9"/>
    <col width="60" customWidth="1" min="10" max="10"/>
    <col width="50" customWidth="1" min="11" max="11"/>
    <col width="20" customWidth="1" min="12" max="12"/>
    <col width="30" customWidth="1" min="13" max="13"/>
    <col width="22" customWidth="1" min="14" max="14"/>
    <col width="38" customWidth="1" min="15" max="15"/>
    <col width="16" customWidth="1" min="16" max="16"/>
    <col width="15" customWidth="1" min="17" max="17"/>
  </cols>
  <sheetData>
    <row r="2" ht="24" customHeight="1">
      <c r="A2" s="29" t="inlineStr">
        <is>
          <t>Statutory QA Lawyer Review - Provisions</t>
        </is>
      </c>
    </row>
    <row r="3" ht="48" customHeight="1">
      <c r="A3" s="5" t="inlineStr">
        <is>
          <t>Label every proposed provision. The agent's label, rationale and the verifier's note are shown for context; your label in the yellow column is the one that counts. Use Wrong citation only when the legal proposition may be relevant but the cited Act or section is incorrect; then complete both corrected-citation columns.</t>
        </is>
      </c>
    </row>
    <row r="4">
      <c r="A4" s="30" t="n"/>
      <c r="B4" s="30" t="n"/>
      <c r="C4" s="30" t="n"/>
      <c r="D4" s="30" t="n"/>
      <c r="E4" s="30" t="n"/>
      <c r="F4" s="30" t="n"/>
      <c r="G4" s="30" t="n"/>
      <c r="H4" s="30" t="n"/>
      <c r="I4" s="30" t="n"/>
      <c r="J4" s="30" t="n"/>
      <c r="K4" s="30" t="n"/>
      <c r="L4" s="30" t="n"/>
      <c r="M4" s="30" t="n"/>
      <c r="N4" s="30" t="n"/>
      <c r="O4" s="30" t="n"/>
    </row>
    <row r="5" ht="34" customHeight="1">
      <c r="A5" s="31" t="inlineStr">
        <is>
          <t>Question ID</t>
        </is>
      </c>
      <c r="B5" s="31" t="inlineStr">
        <is>
          <t>Provision ID</t>
        </is>
      </c>
      <c r="C5" s="31" t="inlineStr">
        <is>
          <t>Act / Instrument</t>
        </is>
      </c>
      <c r="D5" s="31" t="inlineStr">
        <is>
          <t>Section / Rule</t>
        </is>
      </c>
      <c r="E5" s="31" t="inlineStr">
        <is>
          <t>Reference Date</t>
        </is>
      </c>
      <c r="F5" s="31" t="inlineStr">
        <is>
          <t>Temporal Status</t>
        </is>
      </c>
      <c r="G5" s="31" t="inlineStr">
        <is>
          <t>Verbatim Excerpt</t>
        </is>
      </c>
      <c r="H5" s="31" t="inlineStr">
        <is>
          <t>Source Link</t>
        </is>
      </c>
      <c r="I5" s="31" t="inlineStr">
        <is>
          <t>Agent Proposed Label</t>
        </is>
      </c>
      <c r="J5" s="31" t="inlineStr">
        <is>
          <t>Agent Rationale</t>
        </is>
      </c>
      <c r="K5" s="31" t="inlineStr">
        <is>
          <t>Verifier Note</t>
        </is>
      </c>
      <c r="L5" s="31" t="inlineStr">
        <is>
          <t>Lawyer Label</t>
        </is>
      </c>
      <c r="M5" s="31" t="inlineStr">
        <is>
          <t>Corrected Act / Instrument</t>
        </is>
      </c>
      <c r="N5" s="31" t="inlineStr">
        <is>
          <t>Corrected Section / Rule</t>
        </is>
      </c>
      <c r="O5" s="31" t="inlineStr">
        <is>
          <t>Reviewer Notes</t>
        </is>
      </c>
      <c r="P5" s="31" t="inlineStr">
        <is>
          <t>Reviewer ID</t>
        </is>
      </c>
      <c r="Q5" s="31" t="inlineStr">
        <is>
          <t>Review Status</t>
        </is>
      </c>
    </row>
    <row r="6">
      <c r="A6" s="19" t="inlineStr">
        <is>
          <t>M001-Q02</t>
        </is>
      </c>
      <c r="B6" s="19" t="inlineStr">
        <is>
          <t>PROV-M001-002</t>
        </is>
      </c>
      <c r="C6" s="17" t="inlineStr">
        <is>
          <t>Matrimonial Rights and Inheritance Ordinance No. 15 of 1876</t>
        </is>
      </c>
      <c r="D6" s="17" t="inlineStr">
        <is>
          <t>s.21 (1)</t>
        </is>
      </c>
      <c r="E6" s="17" t="inlineStr">
        <is>
          <t>2026-04</t>
        </is>
      </c>
      <c r="F6" s="17" t="inlineStr">
        <is>
          <t>Current on reference date</t>
        </is>
      </c>
      <c r="G6" s="17" t="inlineStr">
        <is>
          <t>Inheritance ab interstate to the immovable property in Sri Lanka of a person deceased shall be governed and regulated by the following provisions of this Ordinance wherever such person may have or have had his actual or matrimonial domicile.</t>
        </is>
      </c>
      <c r="H6" s="17" t="inlineStr">
        <is>
          <t>https://lankalaw.net/wp-content/uploads/2024/03/mrai69364.pdf</t>
        </is>
      </c>
      <c r="I6" s="17" t="inlineStr">
        <is>
          <t>Indispensable</t>
        </is>
      </c>
      <c r="J6" s="17" t="inlineStr">
        <is>
          <t>Lot A is immovable property in Sri Lanka, so the intestate devolution of the shares of Suresh, Rakitha and Muditha is governed by this Ordinance irrespective of the domicile of any heir, including Samantha, who lives in the United States of America.
TEMPORAL: In force from 1876 and unamended in the corpus text; in force at the matter reference date 2026-04 and at each relevant death.</t>
        </is>
      </c>
      <c r="K6" s="17" t="inlineStr">
        <is>
          <t>[partially_verified] Section 21(1) makes the domicile of the deceased irrelevant to inheritance to immovable property in Sri Lanka; it says nothing about the domicile or citizenship of an heir, so the map's extension of it to Samantha is not sourced from this text.</t>
        </is>
      </c>
      <c r="L6" s="21" t="n"/>
      <c r="M6" s="21" t="n"/>
      <c r="N6" s="21" t="n"/>
      <c r="O6" s="21" t="n"/>
      <c r="P6" s="21" t="n"/>
      <c r="Q6" s="17">
        <f>IF(OR(A6="",B6=""),"",IF(AND(L6&lt;&gt;"",P6&lt;&gt;"",IF(L6="Wrong citation",AND(M6&lt;&gt;"",N6&lt;&gt;""),TRUE)),"Complete","Pending"))</f>
        <v/>
      </c>
    </row>
    <row r="7">
      <c r="A7" s="19" t="inlineStr">
        <is>
          <t>M001-Q02</t>
        </is>
      </c>
      <c r="B7" s="19" t="inlineStr">
        <is>
          <t>PROV-M001-003</t>
        </is>
      </c>
      <c r="C7" s="17" t="inlineStr">
        <is>
          <t>Matrimonial Rights and Inheritance Ordinance No. 15 of 1876</t>
        </is>
      </c>
      <c r="D7" s="17" t="inlineStr">
        <is>
          <t>s.22</t>
        </is>
      </c>
      <c r="E7" s="17" t="inlineStr">
        <is>
          <t>2026-04</t>
        </is>
      </c>
      <c r="F7" s="17" t="inlineStr">
        <is>
          <t>Current on reference date</t>
        </is>
      </c>
      <c r="G7" s="17" t="inlineStr">
        <is>
          <t>When any person shall die intestate as to any of his or her property, leaving a spouse surviving, the surviving spouse shall inherit one-half of the property of such person.</t>
        </is>
      </c>
      <c r="H7" s="17" t="inlineStr">
        <is>
          <t>https://lankalaw.net/wp-content/uploads/2024/03/mrai69364.pdf</t>
        </is>
      </c>
      <c r="I7" s="17" t="inlineStr">
        <is>
          <t>Indispensable</t>
        </is>
      </c>
      <c r="J7" s="17" t="inlineStr">
        <is>
          <t>Gives Kanthi one-half of Suresh's share on his intestate death in 1995 and gives Ann one-half of Rakitha's share on his intestate death in 2022.
TEMPORAL: In force from 1876 and unamended in the corpus text; in force at each relevant death and at 2026-04.</t>
        </is>
      </c>
      <c r="K7" s="17" t="inlineStr">
        <is>
          <t>[verified]</t>
        </is>
      </c>
      <c r="L7" s="21" t="n"/>
      <c r="M7" s="21" t="n"/>
      <c r="N7" s="21" t="n"/>
      <c r="O7" s="21" t="n"/>
      <c r="P7" s="21" t="n"/>
      <c r="Q7" s="17">
        <f>IF(OR(A7="",B7=""),"",IF(AND(L7&lt;&gt;"",P7&lt;&gt;"",IF(L7="Wrong citation",AND(M7&lt;&gt;"",N7&lt;&gt;""),TRUE)),"Complete","Pending"))</f>
        <v/>
      </c>
    </row>
    <row r="8">
      <c r="A8" s="19" t="inlineStr">
        <is>
          <t>M001-Q02</t>
        </is>
      </c>
      <c r="B8" s="19" t="inlineStr">
        <is>
          <t>PROV-M001-005</t>
        </is>
      </c>
      <c r="C8" s="17" t="inlineStr">
        <is>
          <t>Matrimonial Rights and Inheritance Ordinance No. 15 of 1876</t>
        </is>
      </c>
      <c r="D8" s="17" t="inlineStr">
        <is>
          <t>s.24</t>
        </is>
      </c>
      <c r="E8" s="17" t="inlineStr">
        <is>
          <t>2026-04</t>
        </is>
      </c>
      <c r="F8" s="17" t="inlineStr">
        <is>
          <t>Current on reference date</t>
        </is>
      </c>
      <c r="G8" s="17" t="inlineStr">
        <is>
          <t>Children, grandchildren, and remoter descendants are preferent to all others in the estate of the parents; all the children take equally per capita, but the children or remoter issue of a deceased child take per stirpes or by representation.</t>
        </is>
      </c>
      <c r="H8" s="17" t="inlineStr">
        <is>
          <t>https://lankalaw.net/wp-content/uploads/2024/03/mrai69364.pdf</t>
        </is>
      </c>
      <c r="I8" s="17" t="inlineStr">
        <is>
          <t>Indispensable</t>
        </is>
      </c>
      <c r="J8" s="17" t="inlineStr">
        <is>
          <t>Divides the half of Suresh's estate not taken by Kanthi equally among his three children, Samantha, Rakitha and Muditha, per capita. It is also the provision that makes Samantha, a child of Suresh's first marriage, an heir of Suresh at all.
TEMPORAL: In force from 1876 and unamended in the corpus text; in force on 10 December 1995 when Suresh died and at 2026-04.</t>
        </is>
      </c>
      <c r="K8" s="17" t="inlineStr">
        <is>
          <t>[verified]</t>
        </is>
      </c>
      <c r="L8" s="21" t="n"/>
      <c r="M8" s="21" t="n"/>
      <c r="N8" s="21" t="n"/>
      <c r="O8" s="21" t="n"/>
      <c r="P8" s="21" t="n"/>
      <c r="Q8" s="17">
        <f>IF(OR(A8="",B8=""),"",IF(AND(L8&lt;&gt;"",P8&lt;&gt;"",IF(L8="Wrong citation",AND(M8&lt;&gt;"",N8&lt;&gt;""),TRUE)),"Complete","Pending"))</f>
        <v/>
      </c>
    </row>
    <row r="9">
      <c r="A9" s="19" t="inlineStr">
        <is>
          <t>M001-Q02</t>
        </is>
      </c>
      <c r="B9" s="19" t="inlineStr">
        <is>
          <t>PROV-M001-006</t>
        </is>
      </c>
      <c r="C9" s="17" t="inlineStr">
        <is>
          <t>Matrimonial Rights and Inheritance Ordinance No. 15 of 1876</t>
        </is>
      </c>
      <c r="D9" s="17" t="inlineStr">
        <is>
          <t>s.25</t>
        </is>
      </c>
      <c r="E9" s="17" t="inlineStr">
        <is>
          <t>2026-04</t>
        </is>
      </c>
      <c r="F9" s="17" t="inlineStr">
        <is>
          <t>Current on reference date</t>
        </is>
      </c>
      <c r="G9" s="17" t="inlineStr">
        <is>
          <t>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9" s="17" t="inlineStr">
        <is>
          <t>https://lankalaw.net/wp-content/uploads/2024/03/mrai69364.pdf</t>
        </is>
      </c>
      <c r="I9" s="17" t="inlineStr">
        <is>
          <t>Indispensable</t>
        </is>
      </c>
      <c r="J9" s="17" t="inlineStr">
        <is>
          <t>Governs both Rakitha's estate (2022) and Muditha's estate (2023): each died without descendants, their father Suresh had predeceased them and their mother Kanthi survived, so Kanthi takes half and the surviving siblings, including the half-blood sister Samantha who is related through the deceased parent Suresh, take the other half.
TEMPORAL: In force from 1876 and unamended in the corpus text; in force on 2 July 2022 and 5 June 2023 and at 2026-04.</t>
        </is>
      </c>
      <c r="K9" s="17" t="inlineStr">
        <is>
          <t>[verified]</t>
        </is>
      </c>
      <c r="L9" s="21" t="n"/>
      <c r="M9" s="21" t="n"/>
      <c r="N9" s="21" t="n"/>
      <c r="O9" s="21" t="n"/>
      <c r="P9" s="21" t="n"/>
      <c r="Q9" s="17">
        <f>IF(OR(A9="",B9=""),"",IF(AND(L9&lt;&gt;"",P9&lt;&gt;"",IF(L9="Wrong citation",AND(M9&lt;&gt;"",N9&lt;&gt;""),TRUE)),"Complete","Pending"))</f>
        <v/>
      </c>
    </row>
    <row r="10">
      <c r="A10" s="19" t="inlineStr">
        <is>
          <t>M001-Q02</t>
        </is>
      </c>
      <c r="B10" s="19" t="inlineStr">
        <is>
          <t>PROV-M001-007</t>
        </is>
      </c>
      <c r="C10" s="17" t="inlineStr">
        <is>
          <t>Matrimonial Rights and Inheritance Ordinance No. 15 of 1876</t>
        </is>
      </c>
      <c r="D10" s="17" t="inlineStr">
        <is>
          <t>s.27</t>
        </is>
      </c>
      <c r="E10" s="17" t="inlineStr">
        <is>
          <t>2026-04</t>
        </is>
      </c>
      <c r="F10" s="17" t="inlineStr">
        <is>
          <t>Current on reference date</t>
        </is>
      </c>
      <c r="G10" s="17" t="inlineStr">
        <is>
          <t>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t>
        </is>
      </c>
      <c r="H10" s="17" t="inlineStr">
        <is>
          <t>https://lankalaw.net/wp-content/uploads/2024/03/mrai69364.pdf</t>
        </is>
      </c>
      <c r="I10" s="17" t="inlineStr">
        <is>
          <t>Indispensable</t>
        </is>
      </c>
      <c r="J10" s="17" t="inlineStr">
        <is>
          <t>Fixes how the sibling half under section 25 is split when the only half-blood sibling is on one side. On Rakitha's death the full sister Muditha takes one-half of the sibling portion first and shares the balance with the half-sister Samantha. On Muditha's death there is no surviving full sibling and no issue of the deceased full sibling, so the sibling portion is taken by Samantha alone.
TEMPORAL: In force from 1876 and unamended in the corpus text; in force on 2 July 2022 and 5 June 2023 and at 2026-04.</t>
        </is>
      </c>
      <c r="K10" s="17" t="inlineStr">
        <is>
          <t>[partially_verified] Correct for Rakitha's estate, where a full sister survived, but section 27 does not govern Muditha's estate, where no full brother or sister and no issue of one survived; section 29 governs that case and is added as PROV-M001-901.</t>
        </is>
      </c>
      <c r="L10" s="21" t="n"/>
      <c r="M10" s="21" t="n"/>
      <c r="N10" s="21" t="n"/>
      <c r="O10" s="21" t="n"/>
      <c r="P10" s="21" t="n"/>
      <c r="Q10" s="17">
        <f>IF(OR(A10="",B10=""),"",IF(AND(L10&lt;&gt;"",P10&lt;&gt;"",IF(L10="Wrong citation",AND(M10&lt;&gt;"",N10&lt;&gt;""),TRUE)),"Complete","Pending"))</f>
        <v/>
      </c>
    </row>
    <row r="11">
      <c r="A11" s="19" t="inlineStr">
        <is>
          <t>M001-Q02</t>
        </is>
      </c>
      <c r="B11" s="19" t="inlineStr">
        <is>
          <t>PROV-M001-901</t>
        </is>
      </c>
      <c r="C11" s="17" t="inlineStr">
        <is>
          <t>Matrimonial Rights and Inheritance Ordinance No. 15 of 1876</t>
        </is>
      </c>
      <c r="D11" s="17" t="inlineStr">
        <is>
          <t>s.29</t>
        </is>
      </c>
      <c r="E11" s="17" t="inlineStr">
        <is>
          <t>2026-04</t>
        </is>
      </c>
      <c r="F11" s="17" t="inlineStr">
        <is>
          <t>Current on reference date</t>
        </is>
      </c>
      <c r="G11" s="17" t="inlineStr">
        <is>
          <t>In case all the half-brothers and sisters, their children and remoter issue, are related to the intestate on one side only, they take the whole of the inheritance</t>
        </is>
      </c>
      <c r="H11" s="17" t="inlineStr">
        <is>
          <t>https://lankalaw.net/wp-content/uploads/2024/03/mrai69364.pdf</t>
        </is>
      </c>
      <c r="I11" s="17" t="inlineStr">
        <is>
          <t>Indispensable</t>
        </is>
      </c>
      <c r="J11" s="17" t="inlineStr">
        <is>
          <t>Added by the verifier. On Muditha's death on 5 June 2023 no full brother or sister and no issue of a deceased full brother or sister survived, so the last limb of section 27, which gives the full siblings one-half of the sibling portion in the first place, has nothing to operate on. Section 29 is the provision that disposes of the sibling portion where the only half-blood siblings are on one side: the half-sister Samantha takes the whole of it. The section carries an express exception where a grandparent or higher ascendant on the other side survives, which the scenario does not address.
TEMPORAL: In force from 1876 and unamended in the corpus text; in force on 5 June 2023 and at 2026-04.</t>
        </is>
      </c>
      <c r="K11" s="17" t="inlineStr">
        <is>
          <t>[verified] Added by the verifier because the map anchored the decisive step in Muditha's estate on section 27, which on its terms presupposes surviving full-blood siblings.</t>
        </is>
      </c>
      <c r="L11" s="21" t="n"/>
      <c r="M11" s="21" t="n"/>
      <c r="N11" s="21" t="n"/>
      <c r="O11" s="21" t="n"/>
      <c r="P11" s="21" t="n"/>
      <c r="Q11" s="17">
        <f>IF(OR(A11="",B11=""),"",IF(AND(L11&lt;&gt;"",P11&lt;&gt;"",IF(L11="Wrong citation",AND(M11&lt;&gt;"",N11&lt;&gt;""),TRUE)),"Complete","Pending"))</f>
        <v/>
      </c>
    </row>
    <row r="12">
      <c r="A12" s="19" t="inlineStr">
        <is>
          <t>M001-Q02</t>
        </is>
      </c>
      <c r="B12" s="19" t="inlineStr">
        <is>
          <t>PROV-M001-001</t>
        </is>
      </c>
      <c r="C12" s="17" t="inlineStr">
        <is>
          <t>Matrimonial Rights and Inheritance Ordinance No. 15 of 1876</t>
        </is>
      </c>
      <c r="D12" s="17" t="inlineStr">
        <is>
          <t>s.20</t>
        </is>
      </c>
      <c r="E12" s="17" t="inlineStr">
        <is>
          <t>2026-04</t>
        </is>
      </c>
      <c r="F12" s="17" t="inlineStr">
        <is>
          <t>Current on reference date</t>
        </is>
      </c>
      <c r="G12" s="17" t="inlineStr">
        <is>
          <t>The following sections of this Ordinance shall apply to the estates of such persons only as shall die after the proclamation of this Ordinance</t>
        </is>
      </c>
      <c r="H12" s="17" t="inlineStr">
        <is>
          <t>https://lankalaw.net/wp-content/uploads/2024/03/mrai69364.pdf</t>
        </is>
      </c>
      <c r="I12" s="17" t="inlineStr">
        <is>
          <t>Supporting</t>
        </is>
      </c>
      <c r="J12" s="17" t="inlineStr">
        <is>
          <t>Fixes the scope of Part III. Every death in this matter (1990, 1995, 2022, 2023) is long after the proclamation of the Ordinance, so the Part III intestacy rules apply to each estate.
TEMPORAL: In force from 1876 and unamended in the corpus text; in force at the matter reference date 2026-04 and at each relevant death.</t>
        </is>
      </c>
      <c r="K12" s="17" t="inlineStr">
        <is>
          <t>[partially_verified] The excerpt stops at 'proclamation of this Ordinance' and drops the second limb of section 20, that the deceased must have been unmarried at death or married after the proclamation; that limb is satisfied on these facts but the map should state it.</t>
        </is>
      </c>
      <c r="L12" s="21" t="n"/>
      <c r="M12" s="21" t="n"/>
      <c r="N12" s="21" t="n"/>
      <c r="O12" s="21" t="n"/>
      <c r="P12" s="21" t="n"/>
      <c r="Q12" s="17">
        <f>IF(OR(A12="",B12=""),"",IF(AND(L12&lt;&gt;"",P12&lt;&gt;"",IF(L12="Wrong citation",AND(M12&lt;&gt;"",N12&lt;&gt;""),TRUE)),"Complete","Pending"))</f>
        <v/>
      </c>
    </row>
    <row r="13">
      <c r="A13" s="19" t="inlineStr">
        <is>
          <t>M001-Q02</t>
        </is>
      </c>
      <c r="B13" s="19" t="inlineStr">
        <is>
          <t>PROV-M001-004</t>
        </is>
      </c>
      <c r="C13" s="17" t="inlineStr">
        <is>
          <t>Matrimonial Rights and Inheritance Ordinance No. 15 of 1876</t>
        </is>
      </c>
      <c r="D13" s="17" t="inlineStr">
        <is>
          <t>s.23</t>
        </is>
      </c>
      <c r="E13" s="17" t="inlineStr">
        <is>
          <t>2026-04</t>
        </is>
      </c>
      <c r="F13" s="17" t="inlineStr">
        <is>
          <t>Current on reference date</t>
        </is>
      </c>
      <c r="G13" s="17" t="inlineStr">
        <is>
          <t>Subject to the right of the surviving spouse in the preceding section mentioned, the right of inheritance is divided in the following order as respects (a) descendants, (b) ascendants, (c) collaterals.</t>
        </is>
      </c>
      <c r="H13" s="17" t="inlineStr">
        <is>
          <t>https://lankalaw.net/wp-content/uploads/2024/03/mrai69364.pdf</t>
        </is>
      </c>
      <c r="I13" s="17" t="inlineStr">
        <is>
          <t>Supporting</t>
        </is>
      </c>
      <c r="J13" s="17" t="inlineStr">
        <is>
          <t>Sets the order in which the remaining half of each intestate estate is taken: descendants first, then ascendants, then collaterals. It orders the moves from section 24 to section 25 in this matter.
TEMPORAL: In force from 1876 and unamended in the corpus text; in force at each relevant death and at 2026-04.</t>
        </is>
      </c>
      <c r="K13" s="17" t="inlineStr">
        <is>
          <t>[verified]</t>
        </is>
      </c>
      <c r="L13" s="21" t="n"/>
      <c r="M13" s="21" t="n"/>
      <c r="N13" s="21" t="n"/>
      <c r="O13" s="21" t="n"/>
      <c r="P13" s="21" t="n"/>
      <c r="Q13" s="17">
        <f>IF(OR(A13="",B13=""),"",IF(AND(L13&lt;&gt;"",P13&lt;&gt;"",IF(L13="Wrong citation",AND(M13&lt;&gt;"",N13&lt;&gt;""),TRUE)),"Complete","Pending"))</f>
        <v/>
      </c>
    </row>
    <row r="14">
      <c r="A14" s="19" t="inlineStr">
        <is>
          <t>M001-Q02</t>
        </is>
      </c>
      <c r="B14" s="19" t="inlineStr">
        <is>
          <t>PROV-M001-008</t>
        </is>
      </c>
      <c r="C14" s="17" t="inlineStr">
        <is>
          <t>Matrimonial Rights and Inheritance Ordinance No. 15 of 1876</t>
        </is>
      </c>
      <c r="D14" s="17" t="inlineStr">
        <is>
          <t>s.36</t>
        </is>
      </c>
      <c r="E14" s="17" t="inlineStr">
        <is>
          <t>2026-04</t>
        </is>
      </c>
      <c r="F14" s="17" t="inlineStr">
        <is>
          <t>Current on reference date</t>
        </is>
      </c>
      <c r="G14" s="17" t="inlineStr">
        <is>
          <t>In all questions relating to the distribution of the property of an intestate, if the present Ordinance is silent, the rules of the Roman-Dutch law as it prevailed in North Holland are to govern and be followed.</t>
        </is>
      </c>
      <c r="H14" s="17" t="inlineStr">
        <is>
          <t>https://lankalaw.net/wp-content/uploads/2024/03/mrai69364.pdf</t>
        </is>
      </c>
      <c r="I14" s="17" t="inlineStr">
        <is>
          <t>Background</t>
        </is>
      </c>
      <c r="J14" s="17" t="inlineStr">
        <is>
          <t>The Ordinance itself directs that where it is silent the Roman-Dutch law applies. It is the reason the life interest steps in this pedigree cannot be resolved from the corpus alone, and it is why question one is classified as needing non-statutory authority.
TEMPORAL: In force from 1876 and unamended in the corpus text; in force at 2026-04.</t>
        </is>
      </c>
      <c r="K14" s="17" t="inlineStr">
        <is>
          <t>[verified]</t>
        </is>
      </c>
      <c r="L14" s="21" t="n"/>
      <c r="M14" s="21" t="n"/>
      <c r="N14" s="21" t="n"/>
      <c r="O14" s="21" t="n"/>
      <c r="P14" s="21" t="n"/>
      <c r="Q14" s="17">
        <f>IF(OR(A14="",B14=""),"",IF(AND(L14&lt;&gt;"",P14&lt;&gt;"",IF(L14="Wrong citation",AND(M14&lt;&gt;"",N14&lt;&gt;""),TRUE)),"Complete","Pending"))</f>
        <v/>
      </c>
    </row>
    <row r="15">
      <c r="A15" s="19" t="inlineStr">
        <is>
          <t>M001-Q02</t>
        </is>
      </c>
      <c r="B15" s="19" t="inlineStr">
        <is>
          <t>PROV-M001-009</t>
        </is>
      </c>
      <c r="C15" s="17" t="inlineStr">
        <is>
          <t>Prevention of Frauds Ordinance No. 7 of 1840</t>
        </is>
      </c>
      <c r="D15" s="17" t="inlineStr">
        <is>
          <t>s.2 (1)</t>
        </is>
      </c>
      <c r="E15" s="17" t="inlineStr">
        <is>
          <t>2026-04</t>
        </is>
      </c>
      <c r="F15" s="17" t="inlineStr">
        <is>
          <t>Current on reference date</t>
        </is>
      </c>
      <c r="G15" s="17" t="inlineStr">
        <is>
          <t>No sale, purchase, transfer, assignment, or mortgage of land or other immovable property, and no promise, bargain, contract, or agreement for effecting any such object, or for establishing any security, interest, or incumbrance affecting land or other immovable property</t>
        </is>
      </c>
      <c r="H15" s="17" t="inlineStr">
        <is>
          <t>https://lankalaw.net/wp-content/uploads/2025/03/Prevention-of-Frauds-Consolidated-2024.pdf</t>
        </is>
      </c>
      <c r="I15" s="17" t="inlineStr">
        <is>
          <t>Background</t>
        </is>
      </c>
      <c r="J15" s="17" t="inlineStr">
        <is>
          <t>Background for the form of the two deeds in the chain: Deed of Gift No. 515 of 1986 and Deed of Revocation of Life Interest No. 525 of 1991 were both notarially attested, which is the statutory form requirement for instruments affecting an interest in land.
TEMPORAL: The corpus text is the consolidated section as amended in 1947, 2022 and 2024, so the wording shown is later than the 1986 and 1991 deeds. The notarial attestation requirement itself is unchanged in substance, but the excerpt is not the text as it stood in 1986. Treated as background only for that reason.</t>
        </is>
      </c>
      <c r="K15" s="17" t="inlineStr">
        <is>
          <t>[partially_verified] Background only: the corpus holds the consolidated section as amended in 1947, 2022 and 2024, so the form of the 1986 and 1991 deeds cannot be tested against it, and the section does not name gift or donation among the dispositions it catches.</t>
        </is>
      </c>
      <c r="L15" s="21" t="n"/>
      <c r="M15" s="21" t="n"/>
      <c r="N15" s="21" t="n"/>
      <c r="O15" s="21" t="n"/>
      <c r="P15" s="21" t="n"/>
      <c r="Q15" s="17">
        <f>IF(OR(A15="",B15=""),"",IF(AND(L15&lt;&gt;"",P15&lt;&gt;"",IF(L15="Wrong citation",AND(M15&lt;&gt;"",N15&lt;&gt;""),TRUE)),"Complete","Pending"))</f>
        <v/>
      </c>
    </row>
    <row r="16">
      <c r="A16" s="19" t="inlineStr">
        <is>
          <t>M001-Q03</t>
        </is>
      </c>
      <c r="B16" s="19" t="inlineStr">
        <is>
          <t>PROV-M001-010</t>
        </is>
      </c>
      <c r="C16" s="17" t="inlineStr">
        <is>
          <t>Land (Restrictions on Alienation) Act No. 38 of 2014</t>
        </is>
      </c>
      <c r="D16" s="17" t="inlineStr">
        <is>
          <t>s.1 (2)</t>
        </is>
      </c>
      <c r="E16" s="17" t="inlineStr">
        <is>
          <t>2026-04</t>
        </is>
      </c>
      <c r="F16" s="17" t="inlineStr">
        <is>
          <t>Current on reference date</t>
        </is>
      </c>
      <c r="G16" s="17" t="inlineStr">
        <is>
          <t>The provisions of this Act shall be deemed to have come into operation with effect from January 1, 2013.</t>
        </is>
      </c>
      <c r="H16" s="17" t="inlineStr">
        <is>
          <t>https://www.rgd.gov.lk/web/images/ActsPDF/notary/2014-38E.pdf</t>
        </is>
      </c>
      <c r="I16" s="17" t="inlineStr">
        <is>
          <t>Indispensable</t>
        </is>
      </c>
      <c r="J16" s="17" t="inlineStr">
        <is>
          <t>Fixes the temporal reach of the Act. Suresh died on 10 December 1995, so the Act cannot touch the devolution of his estate; the deaths of Rakitha in 2022 and Muditha in 2023 fall inside the operative period.
TEMPORAL: In force from 2014, deemed operative from 1 January 2013; in force at 2026-04.</t>
        </is>
      </c>
      <c r="K16" s="17" t="inlineStr">
        <is>
          <t>[verified]</t>
        </is>
      </c>
      <c r="L16" s="21" t="n"/>
      <c r="M16" s="21" t="n"/>
      <c r="N16" s="21" t="n"/>
      <c r="O16" s="21" t="n"/>
      <c r="P16" s="21" t="n"/>
      <c r="Q16" s="17">
        <f>IF(OR(A16="",B16=""),"",IF(AND(L16&lt;&gt;"",P16&lt;&gt;"",IF(L16="Wrong citation",AND(M16&lt;&gt;"",N16&lt;&gt;""),TRUE)),"Complete","Pending"))</f>
        <v/>
      </c>
    </row>
    <row r="17">
      <c r="A17" s="19" t="inlineStr">
        <is>
          <t>M001-Q03</t>
        </is>
      </c>
      <c r="B17" s="19" t="inlineStr">
        <is>
          <t>PROV-M001-011</t>
        </is>
      </c>
      <c r="C17" s="17" t="inlineStr">
        <is>
          <t>Land (Restrictions on Alienation) Act No. 38 of 2014</t>
        </is>
      </c>
      <c r="D17" s="17" t="inlineStr">
        <is>
          <t>s.2 (1)(a)</t>
        </is>
      </c>
      <c r="E17" s="17" t="inlineStr">
        <is>
          <t>2026-04</t>
        </is>
      </c>
      <c r="F17" s="17" t="inlineStr">
        <is>
          <t>Current on reference date</t>
        </is>
      </c>
      <c r="G17" s="17" t="inlineStr">
        <is>
          <t>Notwithstanding any provision to the contrary in any other written law, the transfer of title of any land situated in Sri Lanka, shall be prohibited if such transfer is- (a) to a foreigner;</t>
        </is>
      </c>
      <c r="H17" s="17" t="inlineStr">
        <is>
          <t>https://www.rgd.gov.lk/web/images/ActsPDF/notary/2014-38E.pdf</t>
        </is>
      </c>
      <c r="I17" s="17" t="inlineStr">
        <is>
          <t>Indispensable</t>
        </is>
      </c>
      <c r="J17" s="17" t="inlineStr">
        <is>
          <t>The prohibition Samantha would have to escape. It bites only on a transfer of title of land to a foreigner and is expressly subject to the exemptions in section 3.
TEMPORAL: In force from 2014, deemed operative from 1 January 2013; unamended by Act No. 21 of 2018; in force at 2026-04.</t>
        </is>
      </c>
      <c r="K17" s="17" t="inlineStr">
        <is>
          <t>[verified]</t>
        </is>
      </c>
      <c r="L17" s="21" t="n"/>
      <c r="M17" s="21" t="n"/>
      <c r="N17" s="21" t="n"/>
      <c r="O17" s="21" t="n"/>
      <c r="P17" s="21" t="n"/>
      <c r="Q17" s="17">
        <f>IF(OR(A17="",B17=""),"",IF(AND(L17&lt;&gt;"",P17&lt;&gt;"",IF(L17="Wrong citation",AND(M17&lt;&gt;"",N17&lt;&gt;""),TRUE)),"Complete","Pending"))</f>
        <v/>
      </c>
    </row>
    <row r="18">
      <c r="A18" s="19" t="inlineStr">
        <is>
          <t>M001-Q03</t>
        </is>
      </c>
      <c r="B18" s="19" t="inlineStr">
        <is>
          <t>PROV-M001-012</t>
        </is>
      </c>
      <c r="C18" s="17" t="inlineStr">
        <is>
          <t>Land (Restrictions on Alienation) Act No. 38 of 2014</t>
        </is>
      </c>
      <c r="D18" s="17" t="inlineStr">
        <is>
          <t>s.3 (1)(d)</t>
        </is>
      </c>
      <c r="E18" s="17" t="inlineStr">
        <is>
          <t>2026-04</t>
        </is>
      </c>
      <c r="F18" s="17" t="inlineStr">
        <is>
          <t>Current on reference date</t>
        </is>
      </c>
      <c r="G18" s="17" t="inlineStr">
        <is>
          <t>any land the title of which is transferred by intestacy, gift or testamentary disposition to a next of kin (who is a foreigner) of the in accordance with the applicable law of succession of Sri Lanka;</t>
        </is>
      </c>
      <c r="H18" s="17" t="inlineStr">
        <is>
          <t>https://www.rgd.gov.lk/web/images/ActsPDF/notary/2014-38E.pdf</t>
        </is>
      </c>
      <c r="I18" s="17" t="inlineStr">
        <is>
          <t>Indispensable</t>
        </is>
      </c>
      <c r="J18" s="17" t="inlineStr">
        <is>
          <t>The decisive exemption. Title passing on intestacy to a next of kin who is a foreigner, under the Sri Lankan law of succession, is taken out of section 2 altogether. Samantha's entitlement arises exactly this way.
TEMPORAL: Section 3 was amended by Act No. 21 of 2018 with effect from 1 April 2018, but that amendment touched paragraphs (b) and (h) and added a new paragraph (i). Paragraph (d) is unchanged and was in the Act from its operative date of 1 January 2013.</t>
        </is>
      </c>
      <c r="K18" s="17" t="inlineStr">
        <is>
          <t>[verified]</t>
        </is>
      </c>
      <c r="L18" s="21" t="n"/>
      <c r="M18" s="21" t="n"/>
      <c r="N18" s="21" t="n"/>
      <c r="O18" s="21" t="n"/>
      <c r="P18" s="21" t="n"/>
      <c r="Q18" s="17">
        <f>IF(OR(A18="",B18=""),"",IF(AND(L18&lt;&gt;"",P18&lt;&gt;"",IF(L18="Wrong citation",AND(M18&lt;&gt;"",N18&lt;&gt;""),TRUE)),"Complete","Pending"))</f>
        <v/>
      </c>
    </row>
    <row r="19">
      <c r="A19" s="19" t="inlineStr">
        <is>
          <t>M001-Q03</t>
        </is>
      </c>
      <c r="B19" s="19" t="inlineStr">
        <is>
          <t>PROV-M001-014</t>
        </is>
      </c>
      <c r="C19" s="17" t="inlineStr">
        <is>
          <t>Land (Restrictions on Alienation) Act No. 38 of 2014</t>
        </is>
      </c>
      <c r="D19" s="17" t="inlineStr">
        <is>
          <t>s.25 definition of "foreigner"</t>
        </is>
      </c>
      <c r="E19" s="17" t="inlineStr">
        <is>
          <t>2026-04</t>
        </is>
      </c>
      <c r="F19" s="17" t="inlineStr">
        <is>
          <t>Current on reference date</t>
        </is>
      </c>
      <c r="G19" s="17" t="inlineStr">
        <is>
          <t>means a person who is not a citizen of Sri Lanka;</t>
        </is>
      </c>
      <c r="H19" s="17" t="inlineStr">
        <is>
          <t>https://www.rgd.gov.lk/web/images/ActsPDF/notary/2014-38E.pdf</t>
        </is>
      </c>
      <c r="I19" s="17" t="inlineStr">
        <is>
          <t>Indispensable</t>
        </is>
      </c>
      <c r="J19" s="17" t="inlineStr">
        <is>
          <t>Defines the class the section 2 prohibition targets. Whether Samantha is a foreigner turns on Sri Lankan citizenship, not on her United States citizenship.
TEMPORAL: In force from 2014, deemed operative from 1 January 2013; in force at 2026-04.</t>
        </is>
      </c>
      <c r="K19" s="17" t="inlineStr">
        <is>
          <t>[verified]</t>
        </is>
      </c>
      <c r="L19" s="21" t="n"/>
      <c r="M19" s="21" t="n"/>
      <c r="N19" s="21" t="n"/>
      <c r="O19" s="21" t="n"/>
      <c r="P19" s="21" t="n"/>
      <c r="Q19" s="17">
        <f>IF(OR(A19="",B19=""),"",IF(AND(L19&lt;&gt;"",P19&lt;&gt;"",IF(L19="Wrong citation",AND(M19&lt;&gt;"",N19&lt;&gt;""),TRUE)),"Complete","Pending"))</f>
        <v/>
      </c>
    </row>
    <row r="20">
      <c r="A20" s="19" t="inlineStr">
        <is>
          <t>M001-Q03</t>
        </is>
      </c>
      <c r="B20" s="19" t="inlineStr">
        <is>
          <t>PROV-M001-005</t>
        </is>
      </c>
      <c r="C20" s="17" t="inlineStr">
        <is>
          <t>Matrimonial Rights and Inheritance Ordinance No. 15 of 1876</t>
        </is>
      </c>
      <c r="D20" s="17" t="inlineStr">
        <is>
          <t>s.24</t>
        </is>
      </c>
      <c r="E20" s="17" t="inlineStr">
        <is>
          <t>2026-04</t>
        </is>
      </c>
      <c r="F20" s="17" t="inlineStr">
        <is>
          <t>Current on reference date</t>
        </is>
      </c>
      <c r="G20" s="17" t="inlineStr">
        <is>
          <t>Children, grandchildren, and remoter descendants are preferent to all others in the estate of the parents; all the children take equally per capita, but the children or remoter issue of a deceased child take per stirpes or by representation.</t>
        </is>
      </c>
      <c r="H20" s="17" t="inlineStr">
        <is>
          <t>https://lankalaw.net/wp-content/uploads/2024/03/mrai69364.pdf</t>
        </is>
      </c>
      <c r="I20" s="17" t="inlineStr">
        <is>
          <t>Indispensable</t>
        </is>
      </c>
      <c r="J20" s="17" t="inlineStr">
        <is>
          <t>Divides the half of Suresh's estate not taken by Kanthi equally among his three children, Samantha, Rakitha and Muditha, per capita. It is also the provision that makes Samantha, a child of Suresh's first marriage, an heir of Suresh at all.
TEMPORAL: In force from 1876 and unamended in the corpus text; in force on 10 December 1995 when Suresh died and at 2026-04.</t>
        </is>
      </c>
      <c r="K20" s="17" t="inlineStr">
        <is>
          <t>[verified]</t>
        </is>
      </c>
      <c r="L20" s="21" t="n"/>
      <c r="M20" s="21" t="n"/>
      <c r="N20" s="21" t="n"/>
      <c r="O20" s="21" t="n"/>
      <c r="P20" s="21" t="n"/>
      <c r="Q20" s="17">
        <f>IF(OR(A20="",B20=""),"",IF(AND(L20&lt;&gt;"",P20&lt;&gt;"",IF(L20="Wrong citation",AND(M20&lt;&gt;"",N20&lt;&gt;""),TRUE)),"Complete","Pending"))</f>
        <v/>
      </c>
    </row>
    <row r="21">
      <c r="A21" s="19" t="inlineStr">
        <is>
          <t>M001-Q03</t>
        </is>
      </c>
      <c r="B21" s="19" t="inlineStr">
        <is>
          <t>PROV-M001-006</t>
        </is>
      </c>
      <c r="C21" s="17" t="inlineStr">
        <is>
          <t>Matrimonial Rights and Inheritance Ordinance No. 15 of 1876</t>
        </is>
      </c>
      <c r="D21" s="17" t="inlineStr">
        <is>
          <t>s.25</t>
        </is>
      </c>
      <c r="E21" s="17" t="inlineStr">
        <is>
          <t>2026-04</t>
        </is>
      </c>
      <c r="F21" s="17" t="inlineStr">
        <is>
          <t>Current on reference date</t>
        </is>
      </c>
      <c r="G21" s="17" t="inlineStr">
        <is>
          <t>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21" s="17" t="inlineStr">
        <is>
          <t>https://lankalaw.net/wp-content/uploads/2024/03/mrai69364.pdf</t>
        </is>
      </c>
      <c r="I21" s="17" t="inlineStr">
        <is>
          <t>Indispensable</t>
        </is>
      </c>
      <c r="J21" s="17" t="inlineStr">
        <is>
          <t>Governs both Rakitha's estate (2022) and Muditha's estate (2023): each died without descendants, their father Suresh had predeceased them and their mother Kanthi survived, so Kanthi takes half and the surviving siblings, including the half-blood sister Samantha who is related through the deceased parent Suresh, take the other half.
TEMPORAL: In force from 1876 and unamended in the corpus text; in force on 2 July 2022 and 5 June 2023 and at 2026-04.</t>
        </is>
      </c>
      <c r="K21" s="17" t="inlineStr">
        <is>
          <t>[verified]</t>
        </is>
      </c>
      <c r="L21" s="21" t="n"/>
      <c r="M21" s="21" t="n"/>
      <c r="N21" s="21" t="n"/>
      <c r="O21" s="21" t="n"/>
      <c r="P21" s="21" t="n"/>
      <c r="Q21" s="17">
        <f>IF(OR(A21="",B21=""),"",IF(AND(L21&lt;&gt;"",P21&lt;&gt;"",IF(L21="Wrong citation",AND(M21&lt;&gt;"",N21&lt;&gt;""),TRUE)),"Complete","Pending"))</f>
        <v/>
      </c>
    </row>
    <row r="22">
      <c r="A22" s="19" t="inlineStr">
        <is>
          <t>M001-Q03</t>
        </is>
      </c>
      <c r="B22" s="19" t="inlineStr">
        <is>
          <t>PROV-M001-013</t>
        </is>
      </c>
      <c r="C22" s="17" t="inlineStr">
        <is>
          <t>Land (Restrictions on Alienation) Act No. 38 of 2014</t>
        </is>
      </c>
      <c r="D22" s="17" t="inlineStr">
        <is>
          <t>s.3 (1)(e)</t>
        </is>
      </c>
      <c r="E22" s="17" t="inlineStr">
        <is>
          <t>2026-04</t>
        </is>
      </c>
      <c r="F22" s="17" t="inlineStr">
        <is>
          <t>Current on reference date</t>
        </is>
      </c>
      <c r="G22" s="17" t="inlineStr">
        <is>
          <t>any land the title of which is transferred to a dual citizen of Sri Lanka within the meaning of the Citizenship Act;</t>
        </is>
      </c>
      <c r="H22" s="17" t="inlineStr">
        <is>
          <t>https://www.rgd.gov.lk/web/images/ActsPDF/notary/2014-38E.pdf</t>
        </is>
      </c>
      <c r="I22" s="17" t="inlineStr">
        <is>
          <t>Supporting</t>
        </is>
      </c>
      <c r="J22" s="17" t="inlineStr">
        <is>
          <t>An independent exemption that would apply if Samantha holds Sri Lankan citizenship as well as United States citizenship. The scenario says only that she is a citizen of the United States of America, which does not settle whether she is also a citizen of Sri Lanka.
TEMPORAL: Unchanged by Act No. 21 of 2018; in force at 2026-04.</t>
        </is>
      </c>
      <c r="K22" s="17" t="inlineStr">
        <is>
          <t>[verified]</t>
        </is>
      </c>
      <c r="L22" s="21" t="n"/>
      <c r="M22" s="21" t="n"/>
      <c r="N22" s="21" t="n"/>
      <c r="O22" s="21" t="n"/>
      <c r="P22" s="21" t="n"/>
      <c r="Q22" s="17">
        <f>IF(OR(A22="",B22=""),"",IF(AND(L22&lt;&gt;"",P22&lt;&gt;"",IF(L22="Wrong citation",AND(M22&lt;&gt;"",N22&lt;&gt;""),TRUE)),"Complete","Pending"))</f>
        <v/>
      </c>
    </row>
    <row r="23">
      <c r="A23" s="19" t="inlineStr">
        <is>
          <t>M001-Q03</t>
        </is>
      </c>
      <c r="B23" s="19" t="inlineStr">
        <is>
          <t>PROV-M001-015</t>
        </is>
      </c>
      <c r="C23" s="17" t="inlineStr">
        <is>
          <t>Land (Restrictions on Alienation) Act No. 38 of 2014</t>
        </is>
      </c>
      <c r="D23" s="17" t="inlineStr">
        <is>
          <t>s.25 definition of "transfer"</t>
        </is>
      </c>
      <c r="E23" s="17" t="inlineStr">
        <is>
          <t>2026-04</t>
        </is>
      </c>
      <c r="F23" s="17" t="inlineStr">
        <is>
          <t>Current on reference date</t>
        </is>
      </c>
      <c r="G23" s="17" t="inlineStr">
        <is>
          <t>means any sale, donation, gift or any conveyance by or under which the title of such land passes to another person;</t>
        </is>
      </c>
      <c r="H23" s="17" t="inlineStr">
        <is>
          <t>https://www.rgd.gov.lk/web/images/ActsPDF/notary/2014-38E.pdf</t>
        </is>
      </c>
      <c r="I23" s="17" t="inlineStr">
        <is>
          <t>Supporting</t>
        </is>
      </c>
      <c r="J23" s="17" t="inlineStr">
        <is>
          <t>Defines the act section 2 prohibits. The listed acts are voluntary dispositions; devolution by operation of law on an intestacy is not obviously a sale, donation, gift or conveyance, which is a second and independent reason the prohibition does not reach Samantha.
TEMPORAL: In force from 2014, deemed operative from 1 January 2013; in force at 2026-04.</t>
        </is>
      </c>
      <c r="K23" s="17" t="inlineStr">
        <is>
          <t>[partially_verified] The definition is quoted correctly, but the inference drawn from it, that an intestate devolution falls outside the word transfer, is contradicted by section 3(1)(d), which exempts land transferred by intestacy, and by the section 2(1)(b) proviso on shares devolving on a next of kin; it is not a second independent ground.</t>
        </is>
      </c>
      <c r="L23" s="21" t="n"/>
      <c r="M23" s="21" t="n"/>
      <c r="N23" s="21" t="n"/>
      <c r="O23" s="21" t="n"/>
      <c r="P23" s="21" t="n"/>
      <c r="Q23" s="17">
        <f>IF(OR(A23="",B23=""),"",IF(AND(L23&lt;&gt;"",P23&lt;&gt;"",IF(L23="Wrong citation",AND(M23&lt;&gt;"",N23&lt;&gt;""),TRUE)),"Complete","Pending"))</f>
        <v/>
      </c>
    </row>
    <row r="24">
      <c r="A24" s="19" t="inlineStr">
        <is>
          <t>M001-Q03</t>
        </is>
      </c>
      <c r="B24" s="19" t="inlineStr">
        <is>
          <t>PROV-M001-016</t>
        </is>
      </c>
      <c r="C24" s="17" t="inlineStr">
        <is>
          <t>Land (Restrictions on Alienation) Act No. 38 of 2014</t>
        </is>
      </c>
      <c r="D24" s="17" t="inlineStr">
        <is>
          <t>s.18</t>
        </is>
      </c>
      <c r="E24" s="17" t="inlineStr">
        <is>
          <t>2026-04</t>
        </is>
      </c>
      <c r="F24" s="17" t="inlineStr">
        <is>
          <t>Current on reference date</t>
        </is>
      </c>
      <c r="G24" s="17" t="inlineStr">
        <is>
          <t>Any alienation of land effected in contravention of the provisions of this Act, shall be void and shall have no effect in law.</t>
        </is>
      </c>
      <c r="H24" s="17" t="inlineStr">
        <is>
          <t>https://www.rgd.gov.lk/web/images/ActsPDF/notary/2014-38E.pdf</t>
        </is>
      </c>
      <c r="I24" s="17" t="inlineStr">
        <is>
          <t>Supporting</t>
        </is>
      </c>
      <c r="J24" s="17" t="inlineStr">
        <is>
          <t>States the consequence Samantha would face if section 2 applied and no exemption were available. Because section 3(1)(d) applies, this section is not engaged.
TEMPORAL: In force from 2014, deemed operative from 1 January 2013; in force at 2026-04.</t>
        </is>
      </c>
      <c r="K24" s="17" t="inlineStr">
        <is>
          <t>[verified]</t>
        </is>
      </c>
      <c r="L24" s="21" t="n"/>
      <c r="M24" s="21" t="n"/>
      <c r="N24" s="21" t="n"/>
      <c r="O24" s="21" t="n"/>
      <c r="P24" s="21" t="n"/>
      <c r="Q24" s="17">
        <f>IF(OR(A24="",B24=""),"",IF(AND(L24&lt;&gt;"",P24&lt;&gt;"",IF(L24="Wrong citation",AND(M24&lt;&gt;"",N24&lt;&gt;""),TRUE)),"Complete","Pending"))</f>
        <v/>
      </c>
    </row>
    <row r="25">
      <c r="A25" s="19" t="inlineStr">
        <is>
          <t>M001-Q03</t>
        </is>
      </c>
      <c r="B25" s="19" t="inlineStr">
        <is>
          <t>PROV-M001-017</t>
        </is>
      </c>
      <c r="C25" s="17" t="inlineStr">
        <is>
          <t>Land (Restrictions on Alienation) (Amendment) Act No. 21 of 2018</t>
        </is>
      </c>
      <c r="D25" s="17" t="inlineStr">
        <is>
          <t>s.1</t>
        </is>
      </c>
      <c r="E25" s="17" t="inlineStr">
        <is>
          <t>2026-04</t>
        </is>
      </c>
      <c r="F25" s="17" t="inlineStr">
        <is>
          <t>Current on reference date</t>
        </is>
      </c>
      <c r="G25" s="17" t="inlineStr">
        <is>
          <t>This Act may be cited as the Land (Restrictions on Alienation) (Amendment) Act, No. 21 of 2018 and shall be deemed to have come into operation on April 1, 2018.</t>
        </is>
      </c>
      <c r="H25" s="17" t="inlineStr">
        <is>
          <t>data/legal-sources/library/finalized/38-2014-land-restrictions-on-alienation-act/21-2018-land-restrictions-on-alienation-amendment.json</t>
        </is>
      </c>
      <c r="I25" s="17" t="inlineStr">
        <is>
          <t>Supporting</t>
        </is>
      </c>
      <c r="J25" s="17" t="inlineStr">
        <is>
          <t>Fixes when the amendment named in the question took effect, which matters because Rakitha died in 2022 and Muditha in 2023, both after that date.
TEMPORAL: Deemed operative from 1 April 2018; in force at 2026-04.</t>
        </is>
      </c>
      <c r="K25" s="17" t="inlineStr">
        <is>
          <t>[verified]</t>
        </is>
      </c>
      <c r="L25" s="21" t="n"/>
      <c r="M25" s="21" t="n"/>
      <c r="N25" s="21" t="n"/>
      <c r="O25" s="21" t="n"/>
      <c r="P25" s="21" t="n"/>
      <c r="Q25" s="17">
        <f>IF(OR(A25="",B25=""),"",IF(AND(L25&lt;&gt;"",P25&lt;&gt;"",IF(L25="Wrong citation",AND(M25&lt;&gt;"",N25&lt;&gt;""),TRUE)),"Complete","Pending"))</f>
        <v/>
      </c>
    </row>
    <row r="26">
      <c r="A26" s="19" t="inlineStr">
        <is>
          <t>M001-Q03</t>
        </is>
      </c>
      <c r="B26" s="19" t="inlineStr">
        <is>
          <t>PROV-M001-018</t>
        </is>
      </c>
      <c r="C26" s="17" t="inlineStr">
        <is>
          <t>Land (Restrictions on Alienation) (Amendment) Act No. 21 of 2018</t>
        </is>
      </c>
      <c r="D26" s="17" t="inlineStr">
        <is>
          <t>s.2</t>
        </is>
      </c>
      <c r="E26" s="17" t="inlineStr">
        <is>
          <t>2026-04</t>
        </is>
      </c>
      <c r="F26" s="17" t="inlineStr">
        <is>
          <t>Current on reference date</t>
        </is>
      </c>
      <c r="G26" s="17" t="inlineStr">
        <is>
          <t>is hereby amended in subsection (1) - (a) by the repeal of paragraph (b) of that subsection and the substitution therefor of the following paragraph:-</t>
        </is>
      </c>
      <c r="H26" s="17" t="inlineStr">
        <is>
          <t>data/legal-sources/library/finalized/38-2014-land-restrictions-on-alienation-act/21-2018-land-restrictions-on-alienation-amendment.json</t>
        </is>
      </c>
      <c r="I26" s="17" t="inlineStr">
        <is>
          <t>Supporting</t>
        </is>
      </c>
      <c r="J26" s="17" t="inlineStr">
        <is>
          <t>Shows the reach of the 2018 amendment to section 3. It substitutes paragraph (b), alters paragraph (h) and adds a new paragraph (i). It does not disturb the intestacy exemption in paragraph (d) that Samantha relies on.
TEMPORAL: Deemed operative from 1 April 2018; in force at 2026-04. The corpus text of this section is truncated: the substituted paragraph (b) and the new paragraph (i) are not reproduced in the body.</t>
        </is>
      </c>
      <c r="K26" s="17" t="inlineStr">
        <is>
          <t>[verified]</t>
        </is>
      </c>
      <c r="L26" s="21" t="n"/>
      <c r="M26" s="21" t="n"/>
      <c r="N26" s="21" t="n"/>
      <c r="O26" s="21" t="n"/>
      <c r="P26" s="21" t="n"/>
      <c r="Q26" s="17">
        <f>IF(OR(A26="",B26=""),"",IF(AND(L26&lt;&gt;"",P26&lt;&gt;"",IF(L26="Wrong citation",AND(M26&lt;&gt;"",N26&lt;&gt;""),TRUE)),"Complete","Pending"))</f>
        <v/>
      </c>
    </row>
    <row r="27">
      <c r="A27" s="19" t="inlineStr">
        <is>
          <t>M001-Q03</t>
        </is>
      </c>
      <c r="B27" s="19" t="inlineStr">
        <is>
          <t>PROV-M001-007</t>
        </is>
      </c>
      <c r="C27" s="17" t="inlineStr">
        <is>
          <t>Matrimonial Rights and Inheritance Ordinance No. 15 of 1876</t>
        </is>
      </c>
      <c r="D27" s="17" t="inlineStr">
        <is>
          <t>s.27</t>
        </is>
      </c>
      <c r="E27" s="17" t="inlineStr">
        <is>
          <t>2026-04</t>
        </is>
      </c>
      <c r="F27" s="17" t="inlineStr">
        <is>
          <t>Current on reference date</t>
        </is>
      </c>
      <c r="G27" s="17" t="inlineStr">
        <is>
          <t>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t>
        </is>
      </c>
      <c r="H27" s="17" t="inlineStr">
        <is>
          <t>https://lankalaw.net/wp-content/uploads/2024/03/mrai69364.pdf</t>
        </is>
      </c>
      <c r="I27" s="17" t="inlineStr">
        <is>
          <t>Supporting</t>
        </is>
      </c>
      <c r="J27" s="17" t="inlineStr">
        <is>
          <t>Fixes how the sibling half under section 25 is split when the only half-blood sibling is on one side. On Rakitha's death the full sister Muditha takes one-half of the sibling portion first and shares the balance with the half-sister Samantha. On Muditha's death there is no surviving full sibling and no issue of the deceased full sibling, so the sibling portion is taken by Samantha alone.
TEMPORAL: In force from 1876 and unamended in the corpus text; in force on 2 July 2022 and 5 June 2023 and at 2026-04.</t>
        </is>
      </c>
      <c r="K27" s="17" t="inlineStr">
        <is>
          <t>[partially_verified] Correct for Rakitha's estate, where a full sister survived, but section 27 does not govern Muditha's estate, where no full brother or sister and no issue of one survived; section 29 governs that case and is added as PROV-M001-901.</t>
        </is>
      </c>
      <c r="L27" s="21" t="n"/>
      <c r="M27" s="21" t="n"/>
      <c r="N27" s="21" t="n"/>
      <c r="O27" s="21" t="n"/>
      <c r="P27" s="21" t="n"/>
      <c r="Q27" s="17">
        <f>IF(OR(A27="",B27=""),"",IF(AND(L27&lt;&gt;"",P27&lt;&gt;"",IF(L27="Wrong citation",AND(M27&lt;&gt;"",N27&lt;&gt;""),TRUE)),"Complete","Pending"))</f>
        <v/>
      </c>
    </row>
    <row r="28">
      <c r="A28" s="19" t="inlineStr">
        <is>
          <t>M001-Q03</t>
        </is>
      </c>
      <c r="B28" s="19" t="inlineStr">
        <is>
          <t>PROV-M001-901</t>
        </is>
      </c>
      <c r="C28" s="17" t="inlineStr">
        <is>
          <t>Matrimonial Rights and Inheritance Ordinance No. 15 of 1876</t>
        </is>
      </c>
      <c r="D28" s="17" t="inlineStr">
        <is>
          <t>s.29</t>
        </is>
      </c>
      <c r="E28" s="17" t="inlineStr">
        <is>
          <t>2026-04</t>
        </is>
      </c>
      <c r="F28" s="17" t="inlineStr">
        <is>
          <t>Current on reference date</t>
        </is>
      </c>
      <c r="G28" s="17" t="inlineStr">
        <is>
          <t>In case all the half-brothers and sisters, their children and remoter issue, are related to the intestate on one side only, they take the whole of the inheritance</t>
        </is>
      </c>
      <c r="H28" s="17" t="inlineStr">
        <is>
          <t>https://lankalaw.net/wp-content/uploads/2024/03/mrai69364.pdf</t>
        </is>
      </c>
      <c r="I28" s="17" t="inlineStr">
        <is>
          <t>Supporting</t>
        </is>
      </c>
      <c r="J28" s="17" t="inlineStr">
        <is>
          <t>Added by the verifier. On Muditha's death on 5 June 2023 no full brother or sister and no issue of a deceased full brother or sister survived, so the last limb of section 27, which gives the full siblings one-half of the sibling portion in the first place, has nothing to operate on. Section 29 is the provision that disposes of the sibling portion where the only half-blood siblings are on one side: the half-sister Samantha takes the whole of it. The section carries an express exception where a grandparent or higher ascendant on the other side survives, which the scenario does not address.
TEMPORAL: In force from 1876 and unamended in the corpus text; in force on 5 June 2023 and at 2026-04.</t>
        </is>
      </c>
      <c r="K28" s="17" t="inlineStr">
        <is>
          <t>[verified] Added by the verifier because the map anchored the decisive step in Muditha's estate on section 27, which on its terms presupposes surviving full-blood siblings.</t>
        </is>
      </c>
      <c r="L28" s="21" t="n"/>
      <c r="M28" s="21" t="n"/>
      <c r="N28" s="21" t="n"/>
      <c r="O28" s="21" t="n"/>
      <c r="P28" s="21" t="n"/>
      <c r="Q28" s="17">
        <f>IF(OR(A28="",B28=""),"",IF(AND(L28&lt;&gt;"",P28&lt;&gt;"",IF(L28="Wrong citation",AND(M28&lt;&gt;"",N28&lt;&gt;""),TRUE)),"Complete","Pending"))</f>
        <v/>
      </c>
    </row>
    <row r="29">
      <c r="A29" s="19" t="inlineStr">
        <is>
          <t>M001-Q03</t>
        </is>
      </c>
      <c r="B29" s="19" t="inlineStr">
        <is>
          <t>PROV-M001-902</t>
        </is>
      </c>
      <c r="C29" s="17" t="inlineStr">
        <is>
          <t>Land (Restrictions on Alienation) Act No. 38 of 2014</t>
        </is>
      </c>
      <c r="D29" s="17" t="inlineStr">
        <is>
          <t>s.3 (4)</t>
        </is>
      </c>
      <c r="E29" s="17" t="inlineStr">
        <is>
          <t>2026-04</t>
        </is>
      </c>
      <c r="F29" s="17" t="inlineStr">
        <is>
          <t>Current on reference date</t>
        </is>
      </c>
      <c r="G29" s="17" t="inlineStr">
        <is>
          <t>Where the transfer of title of a land is effected in terms of this section, the provisions of this Act shall also apply to every subsequent transfer of title of such land or part thereof.</t>
        </is>
      </c>
      <c r="H29" s="17" t="inlineStr">
        <is>
          <t>https://www.rgd.gov.lk/web/images/ActsPDF/notary/2014-38E.pdf</t>
        </is>
      </c>
      <c r="I29" s="17" t="inlineStr">
        <is>
          <t>Supporting</t>
        </is>
      </c>
      <c r="J29" s="17" t="inlineStr">
        <is>
          <t>Added by the verifier. The gold conclusion to M001-Q03 and claim CL-M001-Q03-013 assert that any later disposition by Samantha would still be tested against section 2 because the Act applies to every subsequent transfer of exempted land. That proposition comes from section 3(4), which the map cited in prose but carried no provision entry for.
TEMPORAL: In force from 2014, deemed operative from 1 January 2013; untouched by Act No. 21 of 2018; in force at 2026-04.</t>
        </is>
      </c>
      <c r="K29" s="17" t="inlineStr">
        <is>
          <t>[verified] Added by the verifier to close a citation gap in the M001-Q03 conclusion.</t>
        </is>
      </c>
      <c r="L29" s="21" t="n"/>
      <c r="M29" s="21" t="n"/>
      <c r="N29" s="21" t="n"/>
      <c r="O29" s="21" t="n"/>
      <c r="P29" s="21" t="n"/>
      <c r="Q29" s="17">
        <f>IF(OR(A29="",B29=""),"",IF(AND(L29&lt;&gt;"",P29&lt;&gt;"",IF(L29="Wrong citation",AND(M29&lt;&gt;"",N29&lt;&gt;""),TRUE)),"Complete","Pending"))</f>
        <v/>
      </c>
    </row>
    <row r="30">
      <c r="A30" s="19" t="inlineStr">
        <is>
          <t>M001-Q03</t>
        </is>
      </c>
      <c r="B30" s="19" t="inlineStr">
        <is>
          <t>PROV-M001-002</t>
        </is>
      </c>
      <c r="C30" s="17" t="inlineStr">
        <is>
          <t>Matrimonial Rights and Inheritance Ordinance No. 15 of 1876</t>
        </is>
      </c>
      <c r="D30" s="17" t="inlineStr">
        <is>
          <t>s.21 (1)</t>
        </is>
      </c>
      <c r="E30" s="17" t="inlineStr">
        <is>
          <t>2026-04</t>
        </is>
      </c>
      <c r="F30" s="17" t="inlineStr">
        <is>
          <t>Current on reference date</t>
        </is>
      </c>
      <c r="G30" s="17" t="inlineStr">
        <is>
          <t>Inheritance ab interstate to the immovable property in Sri Lanka of a person deceased shall be governed and regulated by the following provisions of this Ordinance wherever such person may have or have had his actual or matrimonial domicile.</t>
        </is>
      </c>
      <c r="H30" s="17" t="inlineStr">
        <is>
          <t>https://lankalaw.net/wp-content/uploads/2024/03/mrai69364.pdf</t>
        </is>
      </c>
      <c r="I30" s="17" t="inlineStr">
        <is>
          <t>Background</t>
        </is>
      </c>
      <c r="J30" s="17" t="inlineStr">
        <is>
          <t>Lot A is immovable property in Sri Lanka, so the intestate devolution of the shares of Suresh, Rakitha and Muditha is governed by this Ordinance irrespective of the domicile of any heir, including Samantha, who lives in the United States of America.
TEMPORAL: In force from 1876 and unamended in the corpus text; in force at the matter reference date 2026-04 and at each relevant death.</t>
        </is>
      </c>
      <c r="K30" s="17" t="inlineStr">
        <is>
          <t>[partially_verified] Section 21(1) makes the domicile of the deceased irrelevant to inheritance to immovable property in Sri Lanka; it says nothing about the domicile or citizenship of an heir, so the map's extension of it to Samantha is not sourced from this text.</t>
        </is>
      </c>
      <c r="L30" s="21" t="n"/>
      <c r="M30" s="21" t="n"/>
      <c r="N30" s="21" t="n"/>
      <c r="O30" s="21" t="n"/>
      <c r="P30" s="21" t="n"/>
      <c r="Q30" s="17">
        <f>IF(OR(A30="",B30=""),"",IF(AND(L30&lt;&gt;"",P30&lt;&gt;"",IF(L30="Wrong citation",AND(M30&lt;&gt;"",N30&lt;&gt;""),TRUE)),"Complete","Pending"))</f>
        <v/>
      </c>
    </row>
    <row r="31">
      <c r="A31" s="19" t="inlineStr">
        <is>
          <t>M001-Q03</t>
        </is>
      </c>
      <c r="B31" s="19" t="inlineStr">
        <is>
          <t>PROV-M001-001</t>
        </is>
      </c>
      <c r="C31" s="17" t="inlineStr">
        <is>
          <t>Matrimonial Rights and Inheritance Ordinance No. 15 of 1876</t>
        </is>
      </c>
      <c r="D31" s="17" t="inlineStr">
        <is>
          <t>s.20</t>
        </is>
      </c>
      <c r="E31" s="17" t="inlineStr">
        <is>
          <t>2026-04</t>
        </is>
      </c>
      <c r="F31" s="17" t="inlineStr">
        <is>
          <t>Current on reference date</t>
        </is>
      </c>
      <c r="G31" s="17" t="inlineStr">
        <is>
          <t>The following sections of this Ordinance shall apply to the estates of such persons only as shall die after the proclamation of this Ordinance</t>
        </is>
      </c>
      <c r="H31" s="17" t="inlineStr">
        <is>
          <t>https://lankalaw.net/wp-content/uploads/2024/03/mrai69364.pdf</t>
        </is>
      </c>
      <c r="I31" s="17" t="inlineStr">
        <is>
          <t>Background</t>
        </is>
      </c>
      <c r="J31" s="17" t="inlineStr">
        <is>
          <t>Fixes the scope of Part III. Every death in this matter (1990, 1995, 2022, 2023) is long after the proclamation of the Ordinance, so the Part III intestacy rules apply to each estate.
TEMPORAL: In force from 1876 and unamended in the corpus text; in force at the matter reference date 2026-04 and at each relevant death.</t>
        </is>
      </c>
      <c r="K31" s="17" t="inlineStr">
        <is>
          <t>[partially_verified] The excerpt stops at 'proclamation of this Ordinance' and drops the second limb of section 20, that the deceased must have been unmarried at death or married after the proclamation; that limb is satisfied on these facts but the map should state it.</t>
        </is>
      </c>
      <c r="L31" s="21" t="n"/>
      <c r="M31" s="21" t="n"/>
      <c r="N31" s="21" t="n"/>
      <c r="O31" s="21" t="n"/>
      <c r="P31" s="21" t="n"/>
      <c r="Q31" s="17">
        <f>IF(OR(A31="",B31=""),"",IF(AND(L31&lt;&gt;"",P31&lt;&gt;"",IF(L31="Wrong citation",AND(M31&lt;&gt;"",N31&lt;&gt;""),TRUE)),"Complete","Pending"))</f>
        <v/>
      </c>
    </row>
    <row r="32">
      <c r="A32" s="19" t="inlineStr">
        <is>
          <t>M022-Q01</t>
        </is>
      </c>
      <c r="B32" s="19" t="inlineStr">
        <is>
          <t>PROV-M022-001</t>
        </is>
      </c>
      <c r="C32" s="17" t="inlineStr">
        <is>
          <t>Notaries Ordinance No. 1 of 1907</t>
        </is>
      </c>
      <c r="D32" s="17" t="inlineStr">
        <is>
          <t>s.31 rule (1)</t>
        </is>
      </c>
      <c r="E32" s="17" t="inlineStr">
        <is>
          <t>2025-10</t>
        </is>
      </c>
      <c r="F32" s="17" t="inlineStr">
        <is>
          <t>Current on reference date</t>
        </is>
      </c>
      <c r="G32" s="17" t="inlineStr">
        <is>
          <t>(1) He shall not divulge the secrets confided to him or of which he becomes possessed in the execution of his office, unless with the express permission of his employer or when required to do so by law.</t>
        </is>
      </c>
      <c r="H32" s="17" t="inlineStr">
        <is>
          <t>https://www.rgd.gov.lk/web/images/ActsPDF/notary/Notaries-English.pdf</t>
        </is>
      </c>
      <c r="I32" s="17" t="inlineStr">
        <is>
          <t>Indispensable</t>
        </is>
      </c>
      <c r="J32" s="17" t="inlineStr">
        <is>
          <t>This is the notary's statutory duty of secrecy and the only provision that decides the question. It covers both secrets 'confided to him' and secrets 'of which he becomes possessed in the execution of his office', which is how a notary learns that a will exists and what it says. It also states the only two exceptions - the express permission of his employer (here the testator, who instructed and employed him) and a legal compulsion to disclose.
TEMPORAL: Rule (1) is original 1907 text and is in force at 2025-10. Section 31 as a whole has been amended many times (latest change year 2024), but the corpus text of Notaries (Amendment) Act No. 31 of 2022 s.16 begins its substitutions at rule (3), and No. 6 of 2024 s.3 contains no reference to rule (1); neither touches rule (1). Section 34 as substituted in 2022 still lists rule (1), which confirms rule (1) survives in the consolidated text.</t>
        </is>
      </c>
      <c r="K32" s="17" t="inlineStr">
        <is>
          <t>[verified]</t>
        </is>
      </c>
      <c r="L32" s="21" t="n"/>
      <c r="M32" s="21" t="n"/>
      <c r="N32" s="21" t="n"/>
      <c r="O32" s="21" t="n"/>
      <c r="P32" s="21" t="n"/>
      <c r="Q32" s="17">
        <f>IF(OR(A32="",B32=""),"",IF(AND(L32&lt;&gt;"",P32&lt;&gt;"",IF(L32="Wrong citation",AND(M32&lt;&gt;"",N32&lt;&gt;""),TRUE)),"Complete","Pending"))</f>
        <v/>
      </c>
    </row>
    <row r="33">
      <c r="A33" s="19" t="inlineStr">
        <is>
          <t>M022-Q01</t>
        </is>
      </c>
      <c r="B33" s="19" t="inlineStr">
        <is>
          <t>PROV-M022-004</t>
        </is>
      </c>
      <c r="C33" s="17" t="inlineStr">
        <is>
          <t>Notaries Ordinance No. 1 of 1907</t>
        </is>
      </c>
      <c r="D33" s="17" t="inlineStr">
        <is>
          <t>s.34 (1)(a)</t>
        </is>
      </c>
      <c r="E33" s="17" t="inlineStr">
        <is>
          <t>2025-10</t>
        </is>
      </c>
      <c r="F33" s="17" t="inlineStr">
        <is>
          <t>Current on reference date</t>
        </is>
      </c>
      <c r="G33" s="17" t="inlineStr">
        <is>
          <t>(a) rules (1), (31) or (32) set out in section 31, shall be guilty of an offence, and shall, on conviction after summary trial before a Magistrate, be liable to a fine not exceeding five thousand rupees, in addition to any civil liability he may incur thereby;</t>
        </is>
      </c>
      <c r="H33" s="17" t="inlineStr">
        <is>
          <t>https://www.rgd.gov.lk/web/images/ActsPDF/notary/Notaries-English.pdf</t>
        </is>
      </c>
      <c r="I33" s="17" t="inlineStr">
        <is>
          <t>Indispensable</t>
        </is>
      </c>
      <c r="J33" s="17" t="inlineStr">
        <is>
          <t>Attaches the sanction to a breach of rule (1) and so answers the 'discuss' element: divulging is not merely improper, it is an offence triable summarily before a Magistrate, and the fine is expressly in addition to any civil liability the notary may incur.
TEMPORAL: Section 34 was substituted by Notaries (Amendment) Act No. 31 of 2022 s.17; the substituted text, in force well before 2025-10, is the text quoted and is the version applicable at the matter date.</t>
        </is>
      </c>
      <c r="K33" s="17" t="inlineStr">
        <is>
          <t>[verified]</t>
        </is>
      </c>
      <c r="L33" s="21" t="n"/>
      <c r="M33" s="21" t="n"/>
      <c r="N33" s="21" t="n"/>
      <c r="O33" s="21" t="n"/>
      <c r="P33" s="21" t="n"/>
      <c r="Q33" s="17">
        <f>IF(OR(A33="",B33=""),"",IF(AND(L33&lt;&gt;"",P33&lt;&gt;"",IF(L33="Wrong citation",AND(M33&lt;&gt;"",N33&lt;&gt;""),TRUE)),"Complete","Pending"))</f>
        <v/>
      </c>
    </row>
    <row r="34">
      <c r="A34" s="19" t="inlineStr">
        <is>
          <t>M022-Q01</t>
        </is>
      </c>
      <c r="B34" s="19" t="inlineStr">
        <is>
          <t>PROV-M022-002</t>
        </is>
      </c>
      <c r="C34" s="17" t="inlineStr">
        <is>
          <t>Notaries Ordinance No. 1 of 1907</t>
        </is>
      </c>
      <c r="D34" s="17" t="inlineStr">
        <is>
          <t>s.31 rule (24)</t>
        </is>
      </c>
      <c r="E34" s="17" t="inlineStr">
        <is>
          <t>2025-10</t>
        </is>
      </c>
      <c r="F34" s="17" t="inlineStr">
        <is>
          <t>Current on reference date</t>
        </is>
      </c>
      <c r="G34" s="17" t="inlineStr">
        <is>
          <t>and he shall keep a register thereof with a convenient index for the purpose of easy reference; and every such register shall be substantially in the form F in the Second Schedule, but in the case of wills and codicils only the number and date of the instrument shall be inserted in the register.</t>
        </is>
      </c>
      <c r="H34" s="17" t="inlineStr">
        <is>
          <t>https://www.rgd.gov.lk/web/images/ActsPDF/notary/Notaries-English.pdf</t>
        </is>
      </c>
      <c r="I34" s="17" t="inlineStr">
        <is>
          <t>Supporting</t>
        </is>
      </c>
      <c r="J34" s="17" t="inlineStr">
        <is>
          <t>Shows that the Ordinance itself treats a will as confidential where the register of other instruments is fuller: for wills and codicils the notary records only the number and date, not the parties or the contents. Supports reading the existence and contents of a will as a secret within rule (1) rather than as ordinary notarial information.
TEMPORAL: In force at 2025-10. Rule (24) is listed in the 2022 substitution of section 34 as a rule still in existence; the corpus consolidated text carries the wills-and-codicils qualification.</t>
        </is>
      </c>
      <c r="K34" s="17" t="inlineStr">
        <is>
          <t>[partially_verified] Excerpt is verbatim and rule (24) is in force at 2025-10, but the inference in why_relevant that the Ordinance keeps the parties out of the notary's register no longer holds generally: rule (20)(h)(ii), inserted by Notaries (Amendment) Act No. 31 of 2022 s.16(11)(d), now requires the notary to enter in his deed register the number, the date and the name of the testator of a will; role remains supporting only.</t>
        </is>
      </c>
      <c r="L34" s="21" t="n"/>
      <c r="M34" s="21" t="n"/>
      <c r="N34" s="21" t="n"/>
      <c r="O34" s="21" t="n"/>
      <c r="P34" s="21" t="n"/>
      <c r="Q34" s="17">
        <f>IF(OR(A34="",B34=""),"",IF(AND(L34&lt;&gt;"",P34&lt;&gt;"",IF(L34="Wrong citation",AND(M34&lt;&gt;"",N34&lt;&gt;""),TRUE)),"Complete","Pending"))</f>
        <v/>
      </c>
    </row>
    <row r="35">
      <c r="A35" s="19" t="inlineStr">
        <is>
          <t>M022-Q01</t>
        </is>
      </c>
      <c r="B35" s="19" t="inlineStr">
        <is>
          <t>PROV-M022-003</t>
        </is>
      </c>
      <c r="C35" s="17" t="inlineStr">
        <is>
          <t>Notaries Ordinance No. 1 of 1907</t>
        </is>
      </c>
      <c r="D35" s="17" t="inlineStr">
        <is>
          <t>s.31 rule (27)(a)(i)</t>
        </is>
      </c>
      <c r="E35" s="17" t="inlineStr">
        <is>
          <t>2025-10</t>
        </is>
      </c>
      <c r="F35" s="17" t="inlineStr">
        <is>
          <t>Current on reference date</t>
        </is>
      </c>
      <c r="G35" s="17" t="inlineStr">
        <is>
          <t>the duplicate of every deed or instrument (except wills and codicils) executed or acknowledged before or attested by him during the preceding month, together with a list in duplicate, signed by him, of all such deeds or instruments, which list shall be substantially in the Form F 1 in the Second Schedule: Provided, however, that in the case of wills and codicils only the number and date of the document shall be inserted in such list;</t>
        </is>
      </c>
      <c r="H35" s="17" t="inlineStr">
        <is>
          <t>https://www.rgd.gov.lk/web/images/ActsPDF/notary/Notaries-English.pdf</t>
        </is>
      </c>
      <c r="I35" s="17" t="inlineStr">
        <is>
          <t>Supporting</t>
        </is>
      </c>
      <c r="J35" s="17" t="inlineStr">
        <is>
          <t>A second indication of the same legislative policy: unlike other instruments, the duplicate of a will is not transmitted to the Registrar of Lands and only its number and date appear in the monthly list, so the contents of a will are not put into any public channel during the testator's lifetime.
TEMPORAL: In force at 2025-10; the corpus consolidated text of rule (27) carries the wills-and-codicils exception and the proviso.</t>
        </is>
      </c>
      <c r="K35" s="17" t="inlineStr">
        <is>
          <t>[partially_verified] Excerpt is verbatim and in force, but the subsection label is wrong: this text is rule (26)(a)(i) (47-2011 s.3 renumbered rule (26)(a) as (26)(a)(i) and inserted the (a)(ii) certified-copy paragraph that immediately follows it in the corpus text, and 6-2024 s.3(8) substituted 'Form F 1' in rule (26)(a)(i)); rule (27) was repealed outright by 31-2022 s.16(12) and no longer exists at 2025-10, so the citation in the map and in the gold answer prose must be corrected to rule (26)(a)(i).</t>
        </is>
      </c>
      <c r="L35" s="21" t="n"/>
      <c r="M35" s="21" t="n"/>
      <c r="N35" s="21" t="n"/>
      <c r="O35" s="21" t="n"/>
      <c r="P35" s="21" t="n"/>
      <c r="Q35" s="17">
        <f>IF(OR(A35="",B35=""),"",IF(AND(L35&lt;&gt;"",P35&lt;&gt;"",IF(L35="Wrong citation",AND(M35&lt;&gt;"",N35&lt;&gt;""),TRUE)),"Complete","Pending"))</f>
        <v/>
      </c>
    </row>
    <row r="36">
      <c r="A36" s="19" t="inlineStr">
        <is>
          <t>M022-Q01</t>
        </is>
      </c>
      <c r="B36" s="19" t="inlineStr">
        <is>
          <t>PROV-M022-005</t>
        </is>
      </c>
      <c r="C36" s="17" t="inlineStr">
        <is>
          <t>Notaries Ordinance No. 1 of 1907</t>
        </is>
      </c>
      <c r="D36" s="17" t="inlineStr">
        <is>
          <t>s.41 (4)</t>
        </is>
      </c>
      <c r="E36" s="17" t="inlineStr">
        <is>
          <t>2025-10</t>
        </is>
      </c>
      <c r="F36" s="17" t="inlineStr">
        <is>
          <t>Current on reference date</t>
        </is>
      </c>
      <c r="G36" s="17" t="inlineStr">
        <is>
          <t>the documents specified in paragraph (a) of subsection (1) (not being wills or codicils, or drafts, minutes, or copies of the same)</t>
        </is>
      </c>
      <c r="H36" s="17" t="inlineStr">
        <is>
          <t>https://www.rgd.gov.lk/web/images/ActsPDF/notary/Notaries-English.pdf</t>
        </is>
      </c>
      <c r="I36" s="17" t="inlineStr">
        <is>
          <t>Background</t>
        </is>
      </c>
      <c r="J36" s="17" t="inlineStr">
        <is>
          <t>Background only. Even when notarial records change hands on death, retirement or sale of a notarial practice, wills and codicils and their drafts and copies are carved out of what may be transferred. Context for the confidential status of a will; it does not itself bear on a request made during the testator's lifetime.
TEMPORAL: In force at 2025-10; section 41 was substituted by Notaries (Amendment) Act No. 31 of 2022 s.20 and the corpus consolidated text carries subsection (4) with the wills-and-codicils carve-out.</t>
        </is>
      </c>
      <c r="K36" s="17" t="inlineStr">
        <is>
          <t>[partially_verified] Excerpt is verbatim and subsection (4) is correct, but why_relevant overstates it: the wills-and-codicils carve-out appears only in s.41(4) (transfer to a notary who has purchased the goodwill of the practice); s.41(2) and s.41(3) let a continuing partner or a principal retain the same paragraph (1)(a) documents with no wills exception, so this is weaker evidence of a general legislative policy than stated; background role is correct.</t>
        </is>
      </c>
      <c r="L36" s="21" t="n"/>
      <c r="M36" s="21" t="n"/>
      <c r="N36" s="21" t="n"/>
      <c r="O36" s="21" t="n"/>
      <c r="P36" s="21" t="n"/>
      <c r="Q36" s="17">
        <f>IF(OR(A36="",B36=""),"",IF(AND(L36&lt;&gt;"",P36&lt;&gt;"",IF(L36="Wrong citation",AND(M36&lt;&gt;"",N36&lt;&gt;""),TRUE)),"Complete","Pending"))</f>
        <v/>
      </c>
    </row>
  </sheetData>
  <autoFilter ref="A5:Q36"/>
  <mergeCells count="2">
    <mergeCell ref="A3:Q3"/>
    <mergeCell ref="A2:Q2"/>
  </mergeCells>
  <conditionalFormatting sqref="Q6:Q36">
    <cfRule type="cellIs" priority="1" operator="equal" dxfId="8">
      <formula>"Complete"</formula>
    </cfRule>
    <cfRule type="cellIs" priority="2" operator="equal" dxfId="9">
      <formula>"Pending"</formula>
    </cfRule>
  </conditionalFormatting>
  <dataValidations count="2">
    <dataValidation sqref="F6:F36" showDropDown="0" showInputMessage="0" showErrorMessage="0" allowBlank="1" type="list">
      <formula1>"Current on reference date,Repealed before reference date,Amended after reference date,Unclear"</formula1>
    </dataValidation>
    <dataValidation sqref="L6:L36" showDropDown="0" showInputMessage="0" showErrorMessage="0" allowBlank="1" type="list">
      <formula1>"Indispensable,Supporting,Background,Not relevant,Wrong citation"</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2:K4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58" customWidth="1" min="3" max="3"/>
    <col width="40" customWidth="1" min="4" max="4"/>
    <col width="50" customWidth="1" min="5" max="5"/>
    <col width="26" customWidth="1" min="6" max="6"/>
    <col width="48" customWidth="1" min="7" max="7"/>
    <col width="26" customWidth="1" min="8" max="8"/>
    <col width="38" customWidth="1" min="9" max="9"/>
    <col width="16" customWidth="1" min="10" max="10"/>
    <col width="15" customWidth="1" min="11" max="11"/>
  </cols>
  <sheetData>
    <row r="2" ht="24" customHeight="1">
      <c r="A2" s="29" t="inlineStr">
        <is>
          <t>Statutory QA Lawyer Review - Claims</t>
        </is>
      </c>
    </row>
    <row r="3" ht="48" customHeight="1">
      <c r="A3" s="5" t="inlineStr">
        <is>
          <t>Review each answer claim independently. If the claim needs case law or common law, mark that field even when the wording is otherwise correct.</t>
        </is>
      </c>
    </row>
    <row r="4">
      <c r="A4" s="30" t="n"/>
      <c r="B4" s="30" t="n"/>
      <c r="C4" s="30" t="n"/>
      <c r="D4" s="30" t="n"/>
      <c r="E4" s="30" t="n"/>
      <c r="F4" s="30" t="n"/>
      <c r="G4" s="30" t="n"/>
      <c r="H4" s="30" t="n"/>
      <c r="I4" s="30" t="n"/>
      <c r="J4" s="30" t="n"/>
    </row>
    <row r="5" ht="34" customHeight="1">
      <c r="A5" s="31" t="inlineStr">
        <is>
          <t>Question ID</t>
        </is>
      </c>
      <c r="B5" s="31" t="inlineStr">
        <is>
          <t>Claim ID</t>
        </is>
      </c>
      <c r="C5" s="31" t="inlineStr">
        <is>
          <t>Draft Answer Claim</t>
        </is>
      </c>
      <c r="D5" s="31" t="inlineStr">
        <is>
          <t>Linked Provision IDs</t>
        </is>
      </c>
      <c r="E5" s="31" t="inlineStr">
        <is>
          <t>Agent Verification</t>
        </is>
      </c>
      <c r="F5" s="31" t="inlineStr">
        <is>
          <t>Lawyer Judgment</t>
        </is>
      </c>
      <c r="G5" s="31" t="inlineStr">
        <is>
          <t>Corrected Claim / Notes</t>
        </is>
      </c>
      <c r="H5" s="31" t="inlineStr">
        <is>
          <t>Case Law / Common Law Required?</t>
        </is>
      </c>
      <c r="I5" s="31" t="inlineStr">
        <is>
          <t>Authority / Citation Needed</t>
        </is>
      </c>
      <c r="J5" s="31" t="inlineStr">
        <is>
          <t>Reviewer ID</t>
        </is>
      </c>
      <c r="K5" s="31" t="inlineStr">
        <is>
          <t>Review Status</t>
        </is>
      </c>
    </row>
    <row r="6">
      <c r="A6" s="19" t="inlineStr">
        <is>
          <t>M001-Q02</t>
        </is>
      </c>
      <c r="B6" s="19" t="inlineStr">
        <is>
          <t>CL-M001-Q02-001</t>
        </is>
      </c>
      <c r="C6" s="17" t="inlineStr">
        <is>
          <t>[rule] Intestate succession to Lot A is governed by Part III of the Matrimonial Rights and Inheritance Ordinance because Lot A is immovable property situated in Sri Lanka, and the domicile of an heir such as Samantha is irrelevant to that.</t>
        </is>
      </c>
      <c r="D6" s="17" t="inlineStr">
        <is>
          <t>PROV-M001-002: Matrimonial Rights and Inheritance Ordinance No. 15 of 1876 s.21 (1)
PROV-M001-001: Matrimonial Rights and Inheritance Ordinance No. 15 of 1876 s.20
Facts: BG-1</t>
        </is>
      </c>
      <c r="E6" s="17" t="inlineStr">
        <is>
          <t>[disputed, support direct]</t>
        </is>
      </c>
      <c r="F6" s="21" t="n"/>
      <c r="G6" s="21" t="n"/>
      <c r="H6" s="21" t="n"/>
      <c r="I6" s="21" t="n"/>
      <c r="J6" s="21" t="n"/>
      <c r="K6" s="17">
        <f>IF(OR(A6="",B6=""),"",IF(AND(F6&lt;&gt;"",H6&lt;&gt;"",J6&lt;&gt;""),"Complete","Pending"))</f>
        <v/>
      </c>
    </row>
    <row r="7">
      <c r="A7" s="19" t="inlineStr">
        <is>
          <t>M001-Q02</t>
        </is>
      </c>
      <c r="B7" s="19" t="inlineStr">
        <is>
          <t>CL-M001-Q02-002</t>
        </is>
      </c>
      <c r="C7" s="17" t="inlineStr">
        <is>
          <t>[rule] A surviving spouse inherits one-half of the intestate's property and the balance passes to descendants before ascendants and collaterals.</t>
        </is>
      </c>
      <c r="D7" s="17" t="inlineStr">
        <is>
          <t>PROV-M001-003: Matrimonial Rights and Inheritance Ordinance No. 15 of 1876 s.22
PROV-M001-004: Matrimonial Rights and Inheritance Ordinance No. 15 of 1876 s.23</t>
        </is>
      </c>
      <c r="E7" s="17" t="inlineStr">
        <is>
          <t>[verified, support direct]</t>
        </is>
      </c>
      <c r="F7" s="21" t="n"/>
      <c r="G7" s="21" t="n"/>
      <c r="H7" s="21" t="n"/>
      <c r="I7" s="21" t="n"/>
      <c r="J7" s="21" t="n"/>
      <c r="K7" s="17">
        <f>IF(OR(A7="",B7=""),"",IF(AND(F7&lt;&gt;"",H7&lt;&gt;"",J7&lt;&gt;""),"Complete","Pending"))</f>
        <v/>
      </c>
    </row>
    <row r="8">
      <c r="A8" s="19" t="inlineStr">
        <is>
          <t>M001-Q02</t>
        </is>
      </c>
      <c r="B8" s="19" t="inlineStr">
        <is>
          <t>CL-M001-Q02-003</t>
        </is>
      </c>
      <c r="C8" s="17" t="inlineStr">
        <is>
          <t>[rule] Children take the descendants' share equally per capita, and the issue of a deceased child take by representation.</t>
        </is>
      </c>
      <c r="D8" s="17" t="inlineStr">
        <is>
          <t>PROV-M001-005: Matrimonial Rights and Inheritance Ordinance No. 15 of 1876 s.24</t>
        </is>
      </c>
      <c r="E8" s="17" t="inlineStr">
        <is>
          <t>[verified, support direct]</t>
        </is>
      </c>
      <c r="F8" s="21" t="n"/>
      <c r="G8" s="21" t="n"/>
      <c r="H8" s="21" t="n"/>
      <c r="I8" s="21" t="n"/>
      <c r="J8" s="21" t="n"/>
      <c r="K8" s="17">
        <f>IF(OR(A8="",B8=""),"",IF(AND(F8&lt;&gt;"",H8&lt;&gt;"",J8&lt;&gt;""),"Complete","Pending"))</f>
        <v/>
      </c>
    </row>
    <row r="9">
      <c r="A9" s="19" t="inlineStr">
        <is>
          <t>M001-Q02</t>
        </is>
      </c>
      <c r="B9" s="19" t="inlineStr">
        <is>
          <t>CL-M001-Q02-004</t>
        </is>
      </c>
      <c r="C9" s="17" t="inlineStr">
        <is>
          <t>[rule] Where descendants fail and only one parent survives, the surviving parent takes half and the full-blood siblings together with half-blood siblings related through the deceased parent take the other half.</t>
        </is>
      </c>
      <c r="D9" s="17" t="inlineStr">
        <is>
          <t>PROV-M001-006: Matrimonial Rights and Inheritance Ordinance No. 15 of 1876 s.25</t>
        </is>
      </c>
      <c r="E9" s="17" t="inlineStr">
        <is>
          <t>[verified, support direct]</t>
        </is>
      </c>
      <c r="F9" s="21" t="n"/>
      <c r="G9" s="21" t="n"/>
      <c r="H9" s="21" t="n"/>
      <c r="I9" s="21" t="n"/>
      <c r="J9" s="21" t="n"/>
      <c r="K9" s="17">
        <f>IF(OR(A9="",B9=""),"",IF(AND(F9&lt;&gt;"",H9&lt;&gt;"",J9&lt;&gt;""),"Complete","Pending"))</f>
        <v/>
      </c>
    </row>
    <row r="10">
      <c r="A10" s="19" t="inlineStr">
        <is>
          <t>M001-Q02</t>
        </is>
      </c>
      <c r="B10" s="19" t="inlineStr">
        <is>
          <t>CL-M001-Q02-005</t>
        </is>
      </c>
      <c r="C10" s="17" t="inlineStr">
        <is>
          <t>[rule] Where the only half-blood siblings are on one side, the full-blood siblings take one-half of the sibling portion first and divide the remaining half with the half-blood siblings.</t>
        </is>
      </c>
      <c r="D10" s="17" t="inlineStr">
        <is>
          <t>PROV-M001-007: Matrimonial Rights and Inheritance Ordinance No. 15 of 1876 s.27</t>
        </is>
      </c>
      <c r="E10" s="17" t="inlineStr">
        <is>
          <t>[verified, support direct]</t>
        </is>
      </c>
      <c r="F10" s="21" t="n"/>
      <c r="G10" s="21" t="n"/>
      <c r="H10" s="21" t="n"/>
      <c r="I10" s="21" t="n"/>
      <c r="J10" s="21" t="n"/>
      <c r="K10" s="17">
        <f>IF(OR(A10="",B10=""),"",IF(AND(F10&lt;&gt;"",H10&lt;&gt;"",J10&lt;&gt;""),"Complete","Pending"))</f>
        <v/>
      </c>
    </row>
    <row r="11">
      <c r="A11" s="19" t="inlineStr">
        <is>
          <t>M001-Q02</t>
        </is>
      </c>
      <c r="B11" s="19" t="inlineStr">
        <is>
          <t>CL-M001-Q02-006</t>
        </is>
      </c>
      <c r="C11" s="17" t="inlineStr">
        <is>
          <t>[application] On Suresh Perera's intestate death on 10 December 1995 Kanthi took one-half of Lot A and Samantha, Rakitha and Muditha took one-sixth each.</t>
        </is>
      </c>
      <c r="D11" s="17" t="inlineStr">
        <is>
          <t>PROV-M001-003: Matrimonial Rights and Inheritance Ordinance No. 15 of 1876 s.22
PROV-M001-004: Matrimonial Rights and Inheritance Ordinance No. 15 of 1876 s.23
PROV-M001-005: Matrimonial Rights and Inheritance Ordinance No. 15 of 1876 s.24
Facts: BG-5, BG-6, BG-9</t>
        </is>
      </c>
      <c r="E11" s="17" t="inlineStr">
        <is>
          <t>[verified, support combined]</t>
        </is>
      </c>
      <c r="F11" s="21" t="n"/>
      <c r="G11" s="21" t="n"/>
      <c r="H11" s="21" t="n"/>
      <c r="I11" s="21" t="n"/>
      <c r="J11" s="21" t="n"/>
      <c r="K11" s="17">
        <f>IF(OR(A11="",B11=""),"",IF(AND(F11&lt;&gt;"",H11&lt;&gt;"",J11&lt;&gt;""),"Complete","Pending"))</f>
        <v/>
      </c>
    </row>
    <row r="12">
      <c r="A12" s="19" t="inlineStr">
        <is>
          <t>M001-Q02</t>
        </is>
      </c>
      <c r="B12" s="19" t="inlineStr">
        <is>
          <t>CL-M001-Q02-007</t>
        </is>
      </c>
      <c r="C12" s="17" t="inlineStr">
        <is>
          <t>[application] On Rakitha's death on 2 July 2022 his one-sixth passed as one-twelfth to Ann, one twenty-fourth to Kanthi, one thirty-second to Muditha and one ninety-sixth to Samantha.</t>
        </is>
      </c>
      <c r="D12" s="17" t="inlineStr">
        <is>
          <t>PROV-M001-003: Matrimonial Rights and Inheritance Ordinance No. 15 of 1876 s.22
PROV-M001-006: Matrimonial Rights and Inheritance Ordinance No. 15 of 1876 s.25
PROV-M001-007: Matrimonial Rights and Inheritance Ordinance No. 15 of 1876 s.27
Facts: BG-7, BG-9</t>
        </is>
      </c>
      <c r="E12" s="17" t="inlineStr">
        <is>
          <t>[verified, support combined]</t>
        </is>
      </c>
      <c r="F12" s="21" t="n"/>
      <c r="G12" s="21" t="n"/>
      <c r="H12" s="21" t="n"/>
      <c r="I12" s="21" t="n"/>
      <c r="J12" s="21" t="n"/>
      <c r="K12" s="17">
        <f>IF(OR(A12="",B12=""),"",IF(AND(F12&lt;&gt;"",H12&lt;&gt;"",J12&lt;&gt;""),"Complete","Pending"))</f>
        <v/>
      </c>
    </row>
    <row r="13">
      <c r="A13" s="19" t="inlineStr">
        <is>
          <t>M001-Q02</t>
        </is>
      </c>
      <c r="B13" s="19" t="inlineStr">
        <is>
          <t>CL-M001-Q02-008</t>
        </is>
      </c>
      <c r="C13" s="17" t="inlineStr">
        <is>
          <t>[application] On Muditha's death on 5 June 2023 unmarried and issueless her nineteen ninety-sixths passed half to Kanthi as surviving parent and half to Samantha as the only surviving member of the sibling class, Rakitha having died without issue.</t>
        </is>
      </c>
      <c r="D13" s="17" t="inlineStr">
        <is>
          <t>PROV-M001-006: Matrimonial Rights and Inheritance Ordinance No. 15 of 1876 s.25
PROV-M001-007: Matrimonial Rights and Inheritance Ordinance No. 15 of 1876 s.27
PROV-M001-901: Matrimonial Rights and Inheritance Ordinance No. 15 of 1876 s.29
Facts: BG-7, BG-8</t>
        </is>
      </c>
      <c r="E13" s="17" t="inlineStr">
        <is>
          <t>[disputed, support combined]</t>
        </is>
      </c>
      <c r="F13" s="21" t="n"/>
      <c r="G13" s="21" t="n"/>
      <c r="H13" s="21" t="n"/>
      <c r="I13" s="21" t="n"/>
      <c r="J13" s="21" t="n"/>
      <c r="K13" s="17">
        <f>IF(OR(A13="",B13=""),"",IF(AND(F13&lt;&gt;"",H13&lt;&gt;"",J13&lt;&gt;""),"Complete","Pending"))</f>
        <v/>
      </c>
    </row>
    <row r="14">
      <c r="A14" s="19" t="inlineStr">
        <is>
          <t>M001-Q02</t>
        </is>
      </c>
      <c r="B14" s="19" t="inlineStr">
        <is>
          <t>CL-M001-Q02-009</t>
        </is>
      </c>
      <c r="C14" s="17" t="inlineStr">
        <is>
          <t>[application] Samantha is an heir of Suresh Perera even though she is a child of his first marriage, because children take equally per capita without distinction between marriages.</t>
        </is>
      </c>
      <c r="D14" s="17" t="inlineStr">
        <is>
          <t>PROV-M001-005: Matrimonial Rights and Inheritance Ordinance No. 15 of 1876 s.24
Facts: BG-10</t>
        </is>
      </c>
      <c r="E14" s="17" t="inlineStr">
        <is>
          <t>[verified, support direct]</t>
        </is>
      </c>
      <c r="F14" s="21" t="n"/>
      <c r="G14" s="21" t="n"/>
      <c r="H14" s="21" t="n"/>
      <c r="I14" s="21" t="n"/>
      <c r="J14" s="21" t="n"/>
      <c r="K14" s="17">
        <f>IF(OR(A14="",B14=""),"",IF(AND(F14&lt;&gt;"",H14&lt;&gt;"",J14&lt;&gt;""),"Complete","Pending"))</f>
        <v/>
      </c>
    </row>
    <row r="15">
      <c r="A15" s="19" t="inlineStr">
        <is>
          <t>M001-Q02</t>
        </is>
      </c>
      <c r="B15" s="19" t="inlineStr">
        <is>
          <t>CL-M001-Q02-010</t>
        </is>
      </c>
      <c r="C15" s="17" t="inlineStr">
        <is>
          <t>[conclusion] As at April 2026 Kanthi holds 123/192 of Lot A, being 41/64.</t>
        </is>
      </c>
      <c r="D15" s="17" t="inlineStr">
        <is>
          <t>PROV-M001-003: Matrimonial Rights and Inheritance Ordinance No. 15 of 1876 s.22
PROV-M001-006: Matrimonial Rights and Inheritance Ordinance No. 15 of 1876 s.25
Facts: BG-5, BG-7, BG-8</t>
        </is>
      </c>
      <c r="E15" s="17" t="inlineStr">
        <is>
          <t>[verified, support combined]</t>
        </is>
      </c>
      <c r="F15" s="21" t="n"/>
      <c r="G15" s="21" t="n"/>
      <c r="H15" s="21" t="n"/>
      <c r="I15" s="21" t="n"/>
      <c r="J15" s="21" t="n"/>
      <c r="K15" s="17">
        <f>IF(OR(A15="",B15=""),"",IF(AND(F15&lt;&gt;"",H15&lt;&gt;"",J15&lt;&gt;""),"Complete","Pending"))</f>
        <v/>
      </c>
    </row>
    <row r="16">
      <c r="A16" s="19" t="inlineStr">
        <is>
          <t>M001-Q02</t>
        </is>
      </c>
      <c r="B16" s="19" t="inlineStr">
        <is>
          <t>CL-M001-Q02-011</t>
        </is>
      </c>
      <c r="C16" s="17" t="inlineStr">
        <is>
          <t>[conclusion] As at April 2026 Ann holds 16/192 of Lot A, being 1/12.</t>
        </is>
      </c>
      <c r="D16" s="17" t="inlineStr">
        <is>
          <t>PROV-M001-003: Matrimonial Rights and Inheritance Ordinance No. 15 of 1876 s.22
Facts: BG-7</t>
        </is>
      </c>
      <c r="E16" s="17" t="inlineStr">
        <is>
          <t>[verified, support direct]</t>
        </is>
      </c>
      <c r="F16" s="21" t="n"/>
      <c r="G16" s="21" t="n"/>
      <c r="H16" s="21" t="n"/>
      <c r="I16" s="21" t="n"/>
      <c r="J16" s="21" t="n"/>
      <c r="K16" s="17">
        <f>IF(OR(A16="",B16=""),"",IF(AND(F16&lt;&gt;"",H16&lt;&gt;"",J16&lt;&gt;""),"Complete","Pending"))</f>
        <v/>
      </c>
    </row>
    <row r="17">
      <c r="A17" s="19" t="inlineStr">
        <is>
          <t>M001-Q02</t>
        </is>
      </c>
      <c r="B17" s="19" t="inlineStr">
        <is>
          <t>CL-M001-Q02-012</t>
        </is>
      </c>
      <c r="C17" s="17" t="inlineStr">
        <is>
          <t>[conclusion] As at April 2026 Samantha holds 53/192 of Lot A.</t>
        </is>
      </c>
      <c r="D17" s="17" t="inlineStr">
        <is>
          <t>PROV-M001-005: Matrimonial Rights and Inheritance Ordinance No. 15 of 1876 s.24
PROV-M001-006: Matrimonial Rights and Inheritance Ordinance No. 15 of 1876 s.25
PROV-M001-007: Matrimonial Rights and Inheritance Ordinance No. 15 of 1876 s.27
Facts: BG-7, BG-8, BG-10</t>
        </is>
      </c>
      <c r="E17" s="17" t="inlineStr">
        <is>
          <t>[verified, support combined]</t>
        </is>
      </c>
      <c r="F17" s="21" t="n"/>
      <c r="G17" s="21" t="n"/>
      <c r="H17" s="21" t="n"/>
      <c r="I17" s="21" t="n"/>
      <c r="J17" s="21" t="n"/>
      <c r="K17" s="17">
        <f>IF(OR(A17="",B17=""),"",IF(AND(F17&lt;&gt;"",H17&lt;&gt;"",J17&lt;&gt;""),"Complete","Pending"))</f>
        <v/>
      </c>
    </row>
    <row r="18">
      <c r="A18" s="19" t="inlineStr">
        <is>
          <t>M001-Q02</t>
        </is>
      </c>
      <c r="B18" s="19" t="inlineStr">
        <is>
          <t>CL-M001-Q02-013</t>
        </is>
      </c>
      <c r="C18" s="17" t="inlineStr">
        <is>
          <t>[conclusion] The answer assumes Rakitha left no issue and that Kanthi is still living, neither of which is stated in terms; if either assumption fails the fractions change.</t>
        </is>
      </c>
      <c r="D18" s="17" t="inlineStr">
        <is>
          <t>PROV-M001-005: Matrimonial Rights and Inheritance Ordinance No. 15 of 1876 s.24
PROV-M001-006: Matrimonial Rights and Inheritance Ordinance No. 15 of 1876 s.25
Facts: BG-7</t>
        </is>
      </c>
      <c r="E18" s="17" t="inlineStr">
        <is>
          <t>[verified, support inferential]</t>
        </is>
      </c>
      <c r="F18" s="21" t="n"/>
      <c r="G18" s="21" t="n"/>
      <c r="H18" s="21" t="n"/>
      <c r="I18" s="21" t="n"/>
      <c r="J18" s="21" t="n"/>
      <c r="K18" s="17">
        <f>IF(OR(A18="",B18=""),"",IF(AND(F18&lt;&gt;"",H18&lt;&gt;"",J18&lt;&gt;""),"Complete","Pending"))</f>
        <v/>
      </c>
    </row>
    <row r="19">
      <c r="A19" s="19" t="inlineStr">
        <is>
          <t>M001-Q03</t>
        </is>
      </c>
      <c r="B19" s="19" t="inlineStr">
        <is>
          <t>CL-M001-Q03-001</t>
        </is>
      </c>
      <c r="C19" s="17" t="inlineStr">
        <is>
          <t>[rule] The Land (Restrictions on Alienation) Act No. 38 of 2014 is deemed to have come into operation with effect from 1 January 2013.</t>
        </is>
      </c>
      <c r="D19" s="17" t="inlineStr">
        <is>
          <t>PROV-M001-010: Land (Restrictions on Alienation) Act No. 38 of 2014 s.1 (2)</t>
        </is>
      </c>
      <c r="E19" s="17" t="inlineStr">
        <is>
          <t>[verified, support direct]</t>
        </is>
      </c>
      <c r="F19" s="21" t="n"/>
      <c r="G19" s="21" t="n"/>
      <c r="H19" s="21" t="n"/>
      <c r="I19" s="21" t="n"/>
      <c r="J19" s="21" t="n"/>
      <c r="K19" s="17">
        <f>IF(OR(A19="",B19=""),"",IF(AND(F19&lt;&gt;"",H19&lt;&gt;"",J19&lt;&gt;""),"Complete","Pending"))</f>
        <v/>
      </c>
    </row>
    <row r="20">
      <c r="A20" s="19" t="inlineStr">
        <is>
          <t>M001-Q03</t>
        </is>
      </c>
      <c r="B20" s="19" t="inlineStr">
        <is>
          <t>CL-M001-Q03-002</t>
        </is>
      </c>
      <c r="C20" s="17" t="inlineStr">
        <is>
          <t>[rule] Section 2(1)(a) prohibits the transfer of title of land situated in Sri Lanka to a foreigner unless the transfer is exempted under section 3.</t>
        </is>
      </c>
      <c r="D20" s="17" t="inlineStr">
        <is>
          <t>PROV-M001-011: Land (Restrictions on Alienation) Act No. 38 of 2014 s.2 (1)(a)</t>
        </is>
      </c>
      <c r="E20" s="17" t="inlineStr">
        <is>
          <t>[verified, support direct]</t>
        </is>
      </c>
      <c r="F20" s="21" t="n"/>
      <c r="G20" s="21" t="n"/>
      <c r="H20" s="21" t="n"/>
      <c r="I20" s="21" t="n"/>
      <c r="J20" s="21" t="n"/>
      <c r="K20" s="17">
        <f>IF(OR(A20="",B20=""),"",IF(AND(F20&lt;&gt;"",H20&lt;&gt;"",J20&lt;&gt;""),"Complete","Pending"))</f>
        <v/>
      </c>
    </row>
    <row r="21">
      <c r="A21" s="19" t="inlineStr">
        <is>
          <t>M001-Q03</t>
        </is>
      </c>
      <c r="B21" s="19" t="inlineStr">
        <is>
          <t>CL-M001-Q03-003</t>
        </is>
      </c>
      <c r="C21" s="17" t="inlineStr">
        <is>
          <t>[rule] A foreigner is a person who is not a citizen of Sri Lanka, and a transfer is a sale, donation, gift or conveyance by which title passes to another person.</t>
        </is>
      </c>
      <c r="D21" s="17" t="inlineStr">
        <is>
          <t>PROV-M001-014: Land (Restrictions on Alienation) Act No. 38 of 2014 s.25 definition of "foreigner"
PROV-M001-015: Land (Restrictions on Alienation) Act No. 38 of 2014 s.25 definition of "transfer"</t>
        </is>
      </c>
      <c r="E21" s="17" t="inlineStr">
        <is>
          <t>[verified, support direct]</t>
        </is>
      </c>
      <c r="F21" s="21" t="n"/>
      <c r="G21" s="21" t="n"/>
      <c r="H21" s="21" t="n"/>
      <c r="I21" s="21" t="n"/>
      <c r="J21" s="21" t="n"/>
      <c r="K21" s="17">
        <f>IF(OR(A21="",B21=""),"",IF(AND(F21&lt;&gt;"",H21&lt;&gt;"",J21&lt;&gt;""),"Complete","Pending"))</f>
        <v/>
      </c>
    </row>
    <row r="22">
      <c r="A22" s="19" t="inlineStr">
        <is>
          <t>M001-Q03</t>
        </is>
      </c>
      <c r="B22" s="19" t="inlineStr">
        <is>
          <t>CL-M001-Q03-004</t>
        </is>
      </c>
      <c r="C22" s="17" t="inlineStr">
        <is>
          <t>[rule] Section 3(1)(d) exempts from section 2 any land the title of which is transferred by intestacy to a next of kin who is a foreigner in accordance with the applicable law of succession of Sri Lanka.</t>
        </is>
      </c>
      <c r="D22" s="17" t="inlineStr">
        <is>
          <t>PROV-M001-012: Land (Restrictions on Alienation) Act No. 38 of 2014 s.3 (1)(d)</t>
        </is>
      </c>
      <c r="E22" s="17" t="inlineStr">
        <is>
          <t>[verified, support direct]</t>
        </is>
      </c>
      <c r="F22" s="21" t="n"/>
      <c r="G22" s="21" t="n"/>
      <c r="H22" s="21" t="n"/>
      <c r="I22" s="21" t="n"/>
      <c r="J22" s="21" t="n"/>
      <c r="K22" s="17">
        <f>IF(OR(A22="",B22=""),"",IF(AND(F22&lt;&gt;"",H22&lt;&gt;"",J22&lt;&gt;""),"Complete","Pending"))</f>
        <v/>
      </c>
    </row>
    <row r="23">
      <c r="A23" s="19" t="inlineStr">
        <is>
          <t>M001-Q03</t>
        </is>
      </c>
      <c r="B23" s="19" t="inlineStr">
        <is>
          <t>CL-M001-Q03-005</t>
        </is>
      </c>
      <c r="C23" s="17" t="inlineStr">
        <is>
          <t>[rule] The 2018 Amendment Act came into operation on 1 April 2018 and amended section 3(1) by substituting paragraph (b), altering paragraph (h) and adding a new paragraph (i), leaving the intestacy exemption in paragraph (d) unchanged.</t>
        </is>
      </c>
      <c r="D23" s="17" t="inlineStr">
        <is>
          <t>PROV-M001-017: Land (Restrictions on Alienation) (Amendment) Act No. 21 of 2018 s.1
PROV-M001-018: Land (Restrictions on Alienation) (Amendment) Act No. 21 of 2018 s.2</t>
        </is>
      </c>
      <c r="E23" s="17" t="inlineStr">
        <is>
          <t>[verified, support direct]</t>
        </is>
      </c>
      <c r="F23" s="21" t="n"/>
      <c r="G23" s="21" t="n"/>
      <c r="H23" s="21" t="n"/>
      <c r="I23" s="21" t="n"/>
      <c r="J23" s="21" t="n"/>
      <c r="K23" s="17">
        <f>IF(OR(A23="",B23=""),"",IF(AND(F23&lt;&gt;"",H23&lt;&gt;"",J23&lt;&gt;""),"Complete","Pending"))</f>
        <v/>
      </c>
    </row>
    <row r="24">
      <c r="A24" s="19" t="inlineStr">
        <is>
          <t>M001-Q03</t>
        </is>
      </c>
      <c r="B24" s="19" t="inlineStr">
        <is>
          <t>CL-M001-Q03-006</t>
        </is>
      </c>
      <c r="C24" s="17" t="inlineStr">
        <is>
          <t>[rule] An alienation of land in contravention of the Act is void and has no effect in law.</t>
        </is>
      </c>
      <c r="D24" s="17" t="inlineStr">
        <is>
          <t>PROV-M001-016: Land (Restrictions on Alienation) Act No. 38 of 2014 s.18</t>
        </is>
      </c>
      <c r="E24" s="17" t="inlineStr">
        <is>
          <t>[verified, support direct]</t>
        </is>
      </c>
      <c r="F24" s="21" t="n"/>
      <c r="G24" s="21" t="n"/>
      <c r="H24" s="21" t="n"/>
      <c r="I24" s="21" t="n"/>
      <c r="J24" s="21" t="n"/>
      <c r="K24" s="17">
        <f>IF(OR(A24="",B24=""),"",IF(AND(F24&lt;&gt;"",H24&lt;&gt;"",J24&lt;&gt;""),"Complete","Pending"))</f>
        <v/>
      </c>
    </row>
    <row r="25">
      <c r="A25" s="19" t="inlineStr">
        <is>
          <t>M001-Q03</t>
        </is>
      </c>
      <c r="B25" s="19" t="inlineStr">
        <is>
          <t>CL-M001-Q03-007</t>
        </is>
      </c>
      <c r="C25" s="17" t="inlineStr">
        <is>
          <t>[application] Because Suresh Perera died on 10 December 1995, the Act does not reach the devolution of his estate at all.</t>
        </is>
      </c>
      <c r="D25" s="17" t="inlineStr">
        <is>
          <t>PROV-M001-010: Land (Restrictions on Alienation) Act No. 38 of 2014 s.1 (2)
Facts: BG-9</t>
        </is>
      </c>
      <c r="E25" s="17" t="inlineStr">
        <is>
          <t>[verified, support direct]</t>
        </is>
      </c>
      <c r="F25" s="21" t="n"/>
      <c r="G25" s="21" t="n"/>
      <c r="H25" s="21" t="n"/>
      <c r="I25" s="21" t="n"/>
      <c r="J25" s="21" t="n"/>
      <c r="K25" s="17">
        <f>IF(OR(A25="",B25=""),"",IF(AND(F25&lt;&gt;"",H25&lt;&gt;"",J25&lt;&gt;""),"Complete","Pending"))</f>
        <v/>
      </c>
    </row>
    <row r="26">
      <c r="A26" s="19" t="inlineStr">
        <is>
          <t>M001-Q03</t>
        </is>
      </c>
      <c r="B26" s="19" t="inlineStr">
        <is>
          <t>CL-M001-Q03-008</t>
        </is>
      </c>
      <c r="C26" s="17" t="inlineStr">
        <is>
          <t>[application] The shares that reached Samantha on the deaths of Rakitha in 2022 and Muditha in 2023 fall inside the operative period of both the principal Act and the 2018 Amendment.</t>
        </is>
      </c>
      <c r="D26" s="17" t="inlineStr">
        <is>
          <t>PROV-M001-010: Land (Restrictions on Alienation) Act No. 38 of 2014 s.1 (2)
PROV-M001-017: Land (Restrictions on Alienation) (Amendment) Act No. 21 of 2018 s.1
Facts: BG-7, BG-8</t>
        </is>
      </c>
      <c r="E26" s="17" t="inlineStr">
        <is>
          <t>[verified, support combined]</t>
        </is>
      </c>
      <c r="F26" s="21" t="n"/>
      <c r="G26" s="21" t="n"/>
      <c r="H26" s="21" t="n"/>
      <c r="I26" s="21" t="n"/>
      <c r="J26" s="21" t="n"/>
      <c r="K26" s="17">
        <f>IF(OR(A26="",B26=""),"",IF(AND(F26&lt;&gt;"",H26&lt;&gt;"",J26&lt;&gt;""),"Complete","Pending"))</f>
        <v/>
      </c>
    </row>
    <row r="27">
      <c r="A27" s="19" t="inlineStr">
        <is>
          <t>M001-Q03</t>
        </is>
      </c>
      <c r="B27" s="19" t="inlineStr">
        <is>
          <t>CL-M001-Q03-009</t>
        </is>
      </c>
      <c r="C27" s="17" t="inlineStr">
        <is>
          <t>[application] Samantha is a foreigner within section 25 if she holds no Sri Lankan citizenship; the scenario states only that she is a citizen of the United States of America, which does not by itself exclude Sri Lankan citizenship, and a dual citizen would in any event be exempt under section 3(1)(e).</t>
        </is>
      </c>
      <c r="D27" s="17" t="inlineStr">
        <is>
          <t>PROV-M001-014: Land (Restrictions on Alienation) Act No. 38 of 2014 s.25 definition of "foreigner"
PROV-M001-013: Land (Restrictions on Alienation) Act No. 38 of 2014 s.3 (1)(e)
Facts: BG-10</t>
        </is>
      </c>
      <c r="E27" s="17" t="inlineStr">
        <is>
          <t>[verified, support combined]</t>
        </is>
      </c>
      <c r="F27" s="21" t="n"/>
      <c r="G27" s="21" t="n"/>
      <c r="H27" s="21" t="n"/>
      <c r="I27" s="21" t="n"/>
      <c r="J27" s="21" t="n"/>
      <c r="K27" s="17">
        <f>IF(OR(A27="",B27=""),"",IF(AND(F27&lt;&gt;"",H27&lt;&gt;"",J27&lt;&gt;""),"Complete","Pending"))</f>
        <v/>
      </c>
    </row>
    <row r="28">
      <c r="A28" s="19" t="inlineStr">
        <is>
          <t>M001-Q03</t>
        </is>
      </c>
      <c r="B28" s="19" t="inlineStr">
        <is>
          <t>CL-M001-Q03-010</t>
        </is>
      </c>
      <c r="C28" s="17" t="inlineStr">
        <is>
          <t>[application] Samantha takes as next of kin under the Sri Lankan law of succession, as a child of Suresh and as a half-blood sister of Rakitha and Muditha, so her entitlement falls squarely within the section 3(1)(d) exemption.</t>
        </is>
      </c>
      <c r="D28" s="17" t="inlineStr">
        <is>
          <t>PROV-M001-012: Land (Restrictions on Alienation) Act No. 38 of 2014 s.3 (1)(d)
PROV-M001-005: Matrimonial Rights and Inheritance Ordinance No. 15 of 1876 s.24
PROV-M001-006: Matrimonial Rights and Inheritance Ordinance No. 15 of 1876 s.25
PROV-M001-007: Matrimonial Rights and Inheritance Ordinance No. 15 of 1876 s.27
Facts: BG-7, BG-8, BG-10</t>
        </is>
      </c>
      <c r="E28" s="17" t="inlineStr">
        <is>
          <t>[verified, support combined]</t>
        </is>
      </c>
      <c r="F28" s="21" t="n"/>
      <c r="G28" s="21" t="n"/>
      <c r="H28" s="21" t="n"/>
      <c r="I28" s="21" t="n"/>
      <c r="J28" s="21" t="n"/>
      <c r="K28" s="17">
        <f>IF(OR(A28="",B28=""),"",IF(AND(F28&lt;&gt;"",H28&lt;&gt;"",J28&lt;&gt;""),"Complete","Pending"))</f>
        <v/>
      </c>
    </row>
    <row r="29">
      <c r="A29" s="19" t="inlineStr">
        <is>
          <t>M001-Q03</t>
        </is>
      </c>
      <c r="B29" s="19" t="inlineStr">
        <is>
          <t>CL-M001-Q03-011</t>
        </is>
      </c>
      <c r="C29" s="17" t="inlineStr">
        <is>
          <t>[application] A devolution by operation of law on an intestacy is not obviously a sale, donation, gift or conveyance, so the section 2 prohibition arguably does not engage on its own terms.</t>
        </is>
      </c>
      <c r="D29" s="17" t="inlineStr">
        <is>
          <t>PROV-M001-015: Land (Restrictions on Alienation) Act No. 38 of 2014 s.25 definition of "transfer"
PROV-M001-011: Land (Restrictions on Alienation) Act No. 38 of 2014 s.2 (1)(a)</t>
        </is>
      </c>
      <c r="E29" s="17" t="inlineStr">
        <is>
          <t>[rejected, support inferential]</t>
        </is>
      </c>
      <c r="F29" s="21" t="n"/>
      <c r="G29" s="21" t="n"/>
      <c r="H29" s="21" t="n"/>
      <c r="I29" s="21" t="n"/>
      <c r="J29" s="21" t="n"/>
      <c r="K29" s="17">
        <f>IF(OR(A29="",B29=""),"",IF(AND(F29&lt;&gt;"",H29&lt;&gt;"",J29&lt;&gt;""),"Complete","Pending"))</f>
        <v/>
      </c>
    </row>
    <row r="30">
      <c r="A30" s="19" t="inlineStr">
        <is>
          <t>M001-Q03</t>
        </is>
      </c>
      <c r="B30" s="19" t="inlineStr">
        <is>
          <t>CL-M001-Q03-012</t>
        </is>
      </c>
      <c r="C30" s="17" t="inlineStr">
        <is>
          <t>[conclusion] Samantha can become entitled to the intestate estate of Suresh Perera and to the further shares that devolved on her in 2022 and 2023, and none of that entitlement is void under section 18.</t>
        </is>
      </c>
      <c r="D30" s="17" t="inlineStr">
        <is>
          <t>PROV-M001-010: Land (Restrictions on Alienation) Act No. 38 of 2014 s.1 (2)
PROV-M001-012: Land (Restrictions on Alienation) Act No. 38 of 2014 s.3 (1)(d)
PROV-M001-016: Land (Restrictions on Alienation) Act No. 38 of 2014 s.18
Facts: BG-9, BG-10</t>
        </is>
      </c>
      <c r="E30" s="17" t="inlineStr">
        <is>
          <t>[verified, support combined]</t>
        </is>
      </c>
      <c r="F30" s="21" t="n"/>
      <c r="G30" s="21" t="n"/>
      <c r="H30" s="21" t="n"/>
      <c r="I30" s="21" t="n"/>
      <c r="J30" s="21" t="n"/>
      <c r="K30" s="17">
        <f>IF(OR(A30="",B30=""),"",IF(AND(F30&lt;&gt;"",H30&lt;&gt;"",J30&lt;&gt;""),"Complete","Pending"))</f>
        <v/>
      </c>
    </row>
    <row r="31">
      <c r="A31" s="19" t="inlineStr">
        <is>
          <t>M001-Q03</t>
        </is>
      </c>
      <c r="B31" s="19" t="inlineStr">
        <is>
          <t>CL-M001-Q03-013</t>
        </is>
      </c>
      <c r="C31" s="17" t="inlineStr">
        <is>
          <t>[conclusion] Any later disposition of the land by Samantha would still be tested against section 2, because the Act applies to every subsequent transfer of land whose title passed under an exemption in section 3.</t>
        </is>
      </c>
      <c r="D31" s="17" t="inlineStr">
        <is>
          <t>PROV-M001-012: Land (Restrictions on Alienation) Act No. 38 of 2014 s.3 (1)(d)
PROV-M001-011: Land (Restrictions on Alienation) Act No. 38 of 2014 s.2 (1)(a)
PROV-M001-902: Land (Restrictions on Alienation) Act No. 38 of 2014 s.3 (4)</t>
        </is>
      </c>
      <c r="E31" s="17" t="inlineStr">
        <is>
          <t>[verified, support inferential]</t>
        </is>
      </c>
      <c r="F31" s="21" t="n"/>
      <c r="G31" s="21" t="n"/>
      <c r="H31" s="21" t="n"/>
      <c r="I31" s="21" t="n"/>
      <c r="J31" s="21" t="n"/>
      <c r="K31" s="17">
        <f>IF(OR(A31="",B31=""),"",IF(AND(F31&lt;&gt;"",H31&lt;&gt;"",J31&lt;&gt;""),"Complete","Pending"))</f>
        <v/>
      </c>
    </row>
    <row r="32">
      <c r="A32" s="19" t="inlineStr">
        <is>
          <t>M022-Q01</t>
        </is>
      </c>
      <c r="B32" s="19" t="inlineStr">
        <is>
          <t>CL-M022-Q01-001</t>
        </is>
      </c>
      <c r="C32" s="17" t="inlineStr">
        <is>
          <t>[rule] A notary is under a statutory duty not to divulge secrets confided to him or of which he becomes possessed in the execution of his office.</t>
        </is>
      </c>
      <c r="D32" s="17" t="inlineStr">
        <is>
          <t>PROV-M022-001: Notaries Ordinance s.31 rule (1)</t>
        </is>
      </c>
      <c r="E32" s="17" t="inlineStr">
        <is>
          <t>[verified, support direct]</t>
        </is>
      </c>
      <c r="F32" s="21" t="n"/>
      <c r="G32" s="21" t="n"/>
      <c r="H32" s="21" t="n"/>
      <c r="I32" s="21" t="n"/>
      <c r="J32" s="21" t="n"/>
      <c r="K32" s="17">
        <f>IF(OR(A32="",B32=""),"",IF(AND(F32&lt;&gt;"",H32&lt;&gt;"",J32&lt;&gt;""),"Complete","Pending"))</f>
        <v/>
      </c>
    </row>
    <row r="33">
      <c r="A33" s="19" t="inlineStr">
        <is>
          <t>M022-Q01</t>
        </is>
      </c>
      <c r="B33" s="19" t="inlineStr">
        <is>
          <t>CL-M022-Q01-002</t>
        </is>
      </c>
      <c r="C33" s="17" t="inlineStr">
        <is>
          <t>[rule] The duty of secrecy yields only in two cases: where the notary has the express permission of his employer, or where he is required to divulge by law.</t>
        </is>
      </c>
      <c r="D33" s="17" t="inlineStr">
        <is>
          <t>PROV-M022-001: Notaries Ordinance s.31 rule (1)</t>
        </is>
      </c>
      <c r="E33" s="17" t="inlineStr">
        <is>
          <t>[verified, support direct]</t>
        </is>
      </c>
      <c r="F33" s="21" t="n"/>
      <c r="G33" s="21" t="n"/>
      <c r="H33" s="21" t="n"/>
      <c r="I33" s="21" t="n"/>
      <c r="J33" s="21" t="n"/>
      <c r="K33" s="17">
        <f>IF(OR(A33="",B33=""),"",IF(AND(F33&lt;&gt;"",H33&lt;&gt;"",J33&lt;&gt;""),"Complete","Pending"))</f>
        <v/>
      </c>
    </row>
    <row r="34">
      <c r="A34" s="19" t="inlineStr">
        <is>
          <t>M022-Q01</t>
        </is>
      </c>
      <c r="B34" s="19" t="inlineStr">
        <is>
          <t>CL-M022-Q01-003</t>
        </is>
      </c>
      <c r="C34" s="17" t="inlineStr">
        <is>
          <t>[rule] The Notaries Ordinance treats wills as specially confidential: only the number and date of a will go into the notary's register, and the duplicate of a will is not sent to the Registrar of Lands, only its number and date appearing in the monthly list.</t>
        </is>
      </c>
      <c r="D34" s="17" t="inlineStr">
        <is>
          <t>PROV-M022-002: Notaries Ordinance s.31 rule (24)
PROV-M022-003: Notaries Ordinance s.31 rule (27)(a)(i)</t>
        </is>
      </c>
      <c r="E34" s="17" t="inlineStr">
        <is>
          <t>[rejected, support combined] Rejected on two grounds: (a) the register limb is no longer an accurate statement of the law at 2025-10, because s.31 rule (20)(h)(ii) (inserted by 31-2022 s.16(11)(d)) requires the name of the testator, as well as the number and date, to be entered in the notary's deed register for a will; and (b) the monthly-list limb is sourced to PROV-M022-003, which cites the repealed rule (27) instead of rule (26)(a)(i). The claim is supporting only, so the conclusion is unaffected, but the gold answer's rule paragraph repeats both defects.</t>
        </is>
      </c>
      <c r="F34" s="21" t="n"/>
      <c r="G34" s="21" t="n"/>
      <c r="H34" s="21" t="n"/>
      <c r="I34" s="21" t="n"/>
      <c r="J34" s="21" t="n"/>
      <c r="K34" s="17">
        <f>IF(OR(A34="",B34=""),"",IF(AND(F34&lt;&gt;"",H34&lt;&gt;"",J34&lt;&gt;""),"Complete","Pending"))</f>
        <v/>
      </c>
    </row>
    <row r="35">
      <c r="A35" s="19" t="inlineStr">
        <is>
          <t>M022-Q01</t>
        </is>
      </c>
      <c r="B35" s="19" t="inlineStr">
        <is>
          <t>CL-M022-Q01-004</t>
        </is>
      </c>
      <c r="C35" s="17" t="inlineStr">
        <is>
          <t>[rule] A notary who acts in violation of the secrecy rule is guilty of an offence and is liable, on conviction after summary trial before a Magistrate, to a fine not exceeding five thousand rupees in addition to any civil liability.</t>
        </is>
      </c>
      <c r="D35" s="17" t="inlineStr">
        <is>
          <t>PROV-M022-004: Notaries Ordinance s.34 (1)(a)</t>
        </is>
      </c>
      <c r="E35" s="17" t="inlineStr">
        <is>
          <t>[verified, support direct]</t>
        </is>
      </c>
      <c r="F35" s="21" t="n"/>
      <c r="G35" s="21" t="n"/>
      <c r="H35" s="21" t="n"/>
      <c r="I35" s="21" t="n"/>
      <c r="J35" s="21" t="n"/>
      <c r="K35" s="17">
        <f>IF(OR(A35="",B35=""),"",IF(AND(F35&lt;&gt;"",H35&lt;&gt;"",J35&lt;&gt;""),"Complete","Pending"))</f>
        <v/>
      </c>
    </row>
    <row r="36">
      <c r="A36" s="19" t="inlineStr">
        <is>
          <t>M022-Q01</t>
        </is>
      </c>
      <c r="B36" s="19" t="inlineStr">
        <is>
          <t>CL-M022-Q01-005</t>
        </is>
      </c>
      <c r="C36" s="17" t="inlineStr">
        <is>
          <t>[application] Both the existence of the will and its contents are information of which the notary became possessed in the execution of her office, because she drew and attested it on the testator's instructions.</t>
        </is>
      </c>
      <c r="D36" s="17" t="inlineStr">
        <is>
          <t>PROV-M022-001: Notaries Ordinance s.31 rule (1)
Facts: FACT-M022-Q01-002, BG-1</t>
        </is>
      </c>
      <c r="E36" s="17" t="inlineStr">
        <is>
          <t>[verified, support direct]</t>
        </is>
      </c>
      <c r="F36" s="21" t="n"/>
      <c r="G36" s="21" t="n"/>
      <c r="H36" s="21" t="n"/>
      <c r="I36" s="21" t="n"/>
      <c r="J36" s="21" t="n"/>
      <c r="K36" s="17">
        <f>IF(OR(A36="",B36=""),"",IF(AND(F36&lt;&gt;"",H36&lt;&gt;"",J36&lt;&gt;""),"Complete","Pending"))</f>
        <v/>
      </c>
    </row>
    <row r="37">
      <c r="A37" s="19" t="inlineStr">
        <is>
          <t>M022-Q01</t>
        </is>
      </c>
      <c r="B37" s="19" t="inlineStr">
        <is>
          <t>CL-M022-Q01-006</t>
        </is>
      </c>
      <c r="C37" s="17" t="inlineStr">
        <is>
          <t>[application] The employer whose express permission could release the notary is the testator, who engaged her; he is alive and has given no such permission, and his children cannot give it in his place.</t>
        </is>
      </c>
      <c r="D37" s="17" t="inlineStr">
        <is>
          <t>PROV-M022-001: Notaries Ordinance s.31 rule (1)
Facts: FACT-M022-Q01-003, BG-2</t>
        </is>
      </c>
      <c r="E37" s="17" t="inlineStr">
        <is>
          <t>[verified, support direct] Verified on the corpus text, but flagged for the lawyer: 'employer' in rule (1) is undefined in the Ordinance (s.43 defines only 'Council of Legal Education', 'High Court Judge' and 'Registrar-General') and the word appears nowhere else in 1-1907, so reading it as the testator who instructed the notary is an interpretation the statute does not itself state.</t>
        </is>
      </c>
      <c r="F37" s="21" t="n"/>
      <c r="G37" s="21" t="n"/>
      <c r="H37" s="21" t="n"/>
      <c r="I37" s="21" t="n"/>
      <c r="J37" s="21" t="n"/>
      <c r="K37" s="17">
        <f>IF(OR(A37="",B37=""),"",IF(AND(F37&lt;&gt;"",H37&lt;&gt;"",J37&lt;&gt;""),"Complete","Pending"))</f>
        <v/>
      </c>
    </row>
    <row r="38">
      <c r="A38" s="19" t="inlineStr">
        <is>
          <t>M022-Q01</t>
        </is>
      </c>
      <c r="B38" s="19" t="inlineStr">
        <is>
          <t>CL-M022-Q01-007</t>
        </is>
      </c>
      <c r="C38" s="17" t="inlineStr">
        <is>
          <t>[application] The notary is not required by law to answer, because no court order, summons or lawful demand by a public officer has been served on her and an informal enquiry at her office is not legal compulsion.</t>
        </is>
      </c>
      <c r="D38" s="17" t="inlineStr">
        <is>
          <t>PROV-M022-001: Notaries Ordinance s.31 rule (1)
Facts: FACT-M022-Q01-004</t>
        </is>
      </c>
      <c r="E38" s="17" t="inlineStr">
        <is>
          <t>[verified, support direct]</t>
        </is>
      </c>
      <c r="F38" s="21" t="n"/>
      <c r="G38" s="21" t="n"/>
      <c r="H38" s="21" t="n"/>
      <c r="I38" s="21" t="n"/>
      <c r="J38" s="21" t="n"/>
      <c r="K38" s="17">
        <f>IF(OR(A38="",B38=""),"",IF(AND(F38&lt;&gt;"",H38&lt;&gt;"",J38&lt;&gt;""),"Complete","Pending"))</f>
        <v/>
      </c>
    </row>
    <row r="39">
      <c r="A39" s="19" t="inlineStr">
        <is>
          <t>M022-Q01</t>
        </is>
      </c>
      <c r="B39" s="19" t="inlineStr">
        <is>
          <t>CL-M022-Q01-008</t>
        </is>
      </c>
      <c r="C39" s="17" t="inlineStr">
        <is>
          <t>[conclusion] Neither exception being satisfied, the notary should not divulge the information, and should decline even to confirm whether a will was executed before her, referring the children to their father.</t>
        </is>
      </c>
      <c r="D39" s="17" t="inlineStr">
        <is>
          <t>PROV-M022-001: Notaries Ordinance s.31 rule (1)
Facts: FACT-M022-Q01-003, FACT-M022-Q01-004</t>
        </is>
      </c>
      <c r="E39" s="17" t="inlineStr">
        <is>
          <t>[verified, support combined]</t>
        </is>
      </c>
      <c r="F39" s="21" t="n"/>
      <c r="G39" s="21" t="n"/>
      <c r="H39" s="21" t="n"/>
      <c r="I39" s="21" t="n"/>
      <c r="J39" s="21" t="n"/>
      <c r="K39" s="17">
        <f>IF(OR(A39="",B39=""),"",IF(AND(F39&lt;&gt;"",H39&lt;&gt;"",J39&lt;&gt;""),"Complete","Pending"))</f>
        <v/>
      </c>
    </row>
    <row r="40">
      <c r="A40" s="19" t="inlineStr">
        <is>
          <t>M022-Q01</t>
        </is>
      </c>
      <c r="B40" s="19" t="inlineStr">
        <is>
          <t>CL-M022-Q01-009</t>
        </is>
      </c>
      <c r="C40" s="17" t="inlineStr">
        <is>
          <t>[conclusion] If she does divulge without permission or legal compulsion, she commits an offence punishable with a fine not exceeding five thousand rupees on summary trial before a Magistrate, in addition to any civil liability.</t>
        </is>
      </c>
      <c r="D40" s="17" t="inlineStr">
        <is>
          <t>PROV-M022-004: Notaries Ordinance s.34 (1)(a)
PROV-M022-001: Notaries Ordinance s.31 rule (1)</t>
        </is>
      </c>
      <c r="E40" s="17" t="inlineStr">
        <is>
          <t>[verified, support direct]</t>
        </is>
      </c>
      <c r="F40" s="21" t="n"/>
      <c r="G40" s="21" t="n"/>
      <c r="H40" s="21" t="n"/>
      <c r="I40" s="21" t="n"/>
      <c r="J40" s="21" t="n"/>
      <c r="K40" s="17">
        <f>IF(OR(A40="",B40=""),"",IF(AND(F40&lt;&gt;"",H40&lt;&gt;"",J40&lt;&gt;""),"Complete","Pending"))</f>
        <v/>
      </c>
    </row>
  </sheetData>
  <autoFilter ref="A5:K40"/>
  <mergeCells count="2">
    <mergeCell ref="A2:K2"/>
    <mergeCell ref="A3:K3"/>
  </mergeCells>
  <conditionalFormatting sqref="K6:K40">
    <cfRule type="cellIs" priority="1" operator="equal" dxfId="8">
      <formula>"Complete"</formula>
    </cfRule>
    <cfRule type="cellIs" priority="2" operator="equal" dxfId="9">
      <formula>"Pending"</formula>
    </cfRule>
  </conditionalFormatting>
  <dataValidations count="2">
    <dataValidation sqref="F6:F40" showDropDown="0" showInputMessage="0" showErrorMessage="0" allowBlank="1" type="list">
      <formula1>"Correct,Incorrect,Misstated,Needs case law / common law,Outside my expertise"</formula1>
    </dataValidation>
    <dataValidation sqref="H6:H40" showDropDown="0" showInputMessage="0" showErrorMessage="0" allowBlank="1" type="list">
      <formula1>"Yes,No,Unclear"</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2:J1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32" customWidth="1" min="3" max="3"/>
    <col width="18" customWidth="1" min="4" max="4"/>
    <col width="18" customWidth="1" min="5" max="5"/>
    <col width="48" customWidth="1" min="6" max="6"/>
    <col width="30" customWidth="1" min="7" max="7"/>
    <col width="16" customWidth="1" min="8" max="8"/>
    <col width="38" customWidth="1" min="9" max="9"/>
    <col width="15" customWidth="1" min="10" max="10"/>
  </cols>
  <sheetData>
    <row r="2" ht="24" customHeight="1">
      <c r="A2" s="29" t="inlineStr">
        <is>
          <t>Statutory QA Lawyer Review - Missing provisions</t>
        </is>
      </c>
    </row>
    <row r="3" ht="48" customHeight="1">
      <c r="A3" s="5" t="inlineStr">
        <is>
          <t>Add one row for every legally necessary provision the agents omitted. Three blank rows are provided per question; add more rows if needed, using the question ID exactly as shown in the other sheets.</t>
        </is>
      </c>
    </row>
    <row r="4">
      <c r="A4" s="30" t="n"/>
      <c r="B4" s="30" t="n"/>
      <c r="C4" s="30" t="n"/>
      <c r="D4" s="30" t="n"/>
      <c r="E4" s="30" t="n"/>
      <c r="F4" s="30" t="n"/>
      <c r="G4" s="30" t="n"/>
      <c r="H4" s="30" t="n"/>
      <c r="I4" s="30" t="n"/>
      <c r="J4" s="30" t="n"/>
    </row>
    <row r="5" ht="34" customHeight="1">
      <c r="A5" s="31" t="inlineStr">
        <is>
          <t>Question ID</t>
        </is>
      </c>
      <c r="B5" s="31" t="inlineStr">
        <is>
          <t>Missing Provision ID</t>
        </is>
      </c>
      <c r="C5" s="31" t="inlineStr">
        <is>
          <t>Act / Instrument</t>
        </is>
      </c>
      <c r="D5" s="31" t="inlineStr">
        <is>
          <t>Section / Rule</t>
        </is>
      </c>
      <c r="E5" s="31" t="inlineStr">
        <is>
          <t>Importance</t>
        </is>
      </c>
      <c r="F5" s="31" t="inlineStr">
        <is>
          <t>Why Required</t>
        </is>
      </c>
      <c r="G5" s="31" t="inlineStr">
        <is>
          <t>Source Link</t>
        </is>
      </c>
      <c r="H5" s="31" t="inlineStr">
        <is>
          <t>Reviewer ID</t>
        </is>
      </c>
      <c r="I5" s="31" t="inlineStr">
        <is>
          <t>Notes</t>
        </is>
      </c>
      <c r="J5" s="31" t="inlineStr">
        <is>
          <t>Review Status</t>
        </is>
      </c>
    </row>
    <row r="6">
      <c r="A6" s="19" t="inlineStr">
        <is>
          <t>M001-Q02</t>
        </is>
      </c>
      <c r="B6" s="19" t="inlineStr">
        <is>
          <t>MISS-M001-Q02-01</t>
        </is>
      </c>
      <c r="C6" s="21" t="n"/>
      <c r="D6" s="21" t="n"/>
      <c r="E6" s="21" t="n"/>
      <c r="F6" s="21" t="n"/>
      <c r="G6" s="21" t="n"/>
      <c r="H6" s="21" t="n"/>
      <c r="I6" s="21" t="n"/>
      <c r="J6" s="17">
        <f>IF(AND(B6="",C6="",D6="",E6="",F6="",G6="",H6="",I6=""),"",IF(AND(A6&lt;&gt;"",C6&lt;&gt;"",D6&lt;&gt;"",E6&lt;&gt;"",F6&lt;&gt;"",H6&lt;&gt;""),"Complete","Pending"))</f>
        <v/>
      </c>
    </row>
    <row r="7">
      <c r="A7" s="19" t="inlineStr">
        <is>
          <t>M001-Q02</t>
        </is>
      </c>
      <c r="B7" s="19" t="inlineStr">
        <is>
          <t>MISS-M001-Q02-02</t>
        </is>
      </c>
      <c r="C7" s="21" t="n"/>
      <c r="D7" s="21" t="n"/>
      <c r="E7" s="21" t="n"/>
      <c r="F7" s="21" t="n"/>
      <c r="G7" s="21" t="n"/>
      <c r="H7" s="21" t="n"/>
      <c r="I7" s="21" t="n"/>
      <c r="J7" s="17">
        <f>IF(AND(B7="",C7="",D7="",E7="",F7="",G7="",H7="",I7=""),"",IF(AND(A7&lt;&gt;"",C7&lt;&gt;"",D7&lt;&gt;"",E7&lt;&gt;"",F7&lt;&gt;"",H7&lt;&gt;""),"Complete","Pending"))</f>
        <v/>
      </c>
    </row>
    <row r="8">
      <c r="A8" s="19" t="inlineStr">
        <is>
          <t>M001-Q02</t>
        </is>
      </c>
      <c r="B8" s="19" t="inlineStr">
        <is>
          <t>MISS-M001-Q02-03</t>
        </is>
      </c>
      <c r="C8" s="21" t="n"/>
      <c r="D8" s="21" t="n"/>
      <c r="E8" s="21" t="n"/>
      <c r="F8" s="21" t="n"/>
      <c r="G8" s="21" t="n"/>
      <c r="H8" s="21" t="n"/>
      <c r="I8" s="21" t="n"/>
      <c r="J8" s="17">
        <f>IF(AND(B8="",C8="",D8="",E8="",F8="",G8="",H8="",I8=""),"",IF(AND(A8&lt;&gt;"",C8&lt;&gt;"",D8&lt;&gt;"",E8&lt;&gt;"",F8&lt;&gt;"",H8&lt;&gt;""),"Complete","Pending"))</f>
        <v/>
      </c>
    </row>
    <row r="9">
      <c r="A9" s="19" t="inlineStr">
        <is>
          <t>M001-Q03</t>
        </is>
      </c>
      <c r="B9" s="19" t="inlineStr">
        <is>
          <t>MISS-M001-Q03-01</t>
        </is>
      </c>
      <c r="C9" s="21" t="n"/>
      <c r="D9" s="21" t="n"/>
      <c r="E9" s="21" t="n"/>
      <c r="F9" s="21" t="n"/>
      <c r="G9" s="21" t="n"/>
      <c r="H9" s="21" t="n"/>
      <c r="I9" s="21" t="n"/>
      <c r="J9" s="17">
        <f>IF(AND(B9="",C9="",D9="",E9="",F9="",G9="",H9="",I9=""),"",IF(AND(A9&lt;&gt;"",C9&lt;&gt;"",D9&lt;&gt;"",E9&lt;&gt;"",F9&lt;&gt;"",H9&lt;&gt;""),"Complete","Pending"))</f>
        <v/>
      </c>
    </row>
    <row r="10">
      <c r="A10" s="19" t="inlineStr">
        <is>
          <t>M001-Q03</t>
        </is>
      </c>
      <c r="B10" s="19" t="inlineStr">
        <is>
          <t>MISS-M001-Q03-02</t>
        </is>
      </c>
      <c r="C10" s="21" t="n"/>
      <c r="D10" s="21" t="n"/>
      <c r="E10" s="21" t="n"/>
      <c r="F10" s="21" t="n"/>
      <c r="G10" s="21" t="n"/>
      <c r="H10" s="21" t="n"/>
      <c r="I10" s="21" t="n"/>
      <c r="J10" s="17">
        <f>IF(AND(B10="",C10="",D10="",E10="",F10="",G10="",H10="",I10=""),"",IF(AND(A10&lt;&gt;"",C10&lt;&gt;"",D10&lt;&gt;"",E10&lt;&gt;"",F10&lt;&gt;"",H10&lt;&gt;""),"Complete","Pending"))</f>
        <v/>
      </c>
    </row>
    <row r="11">
      <c r="A11" s="19" t="inlineStr">
        <is>
          <t>M001-Q03</t>
        </is>
      </c>
      <c r="B11" s="19" t="inlineStr">
        <is>
          <t>MISS-M001-Q03-03</t>
        </is>
      </c>
      <c r="C11" s="21" t="n"/>
      <c r="D11" s="21" t="n"/>
      <c r="E11" s="21" t="n"/>
      <c r="F11" s="21" t="n"/>
      <c r="G11" s="21" t="n"/>
      <c r="H11" s="21" t="n"/>
      <c r="I11" s="21" t="n"/>
      <c r="J11" s="17">
        <f>IF(AND(B11="",C11="",D11="",E11="",F11="",G11="",H11="",I11=""),"",IF(AND(A11&lt;&gt;"",C11&lt;&gt;"",D11&lt;&gt;"",E11&lt;&gt;"",F11&lt;&gt;"",H11&lt;&gt;""),"Complete","Pending"))</f>
        <v/>
      </c>
    </row>
    <row r="12">
      <c r="A12" s="19" t="inlineStr">
        <is>
          <t>M022-Q01</t>
        </is>
      </c>
      <c r="B12" s="19" t="inlineStr">
        <is>
          <t>MISS-M022-Q01-01</t>
        </is>
      </c>
      <c r="C12" s="21" t="n"/>
      <c r="D12" s="21" t="n"/>
      <c r="E12" s="21" t="n"/>
      <c r="F12" s="21" t="n"/>
      <c r="G12" s="21" t="n"/>
      <c r="H12" s="21" t="n"/>
      <c r="I12" s="21" t="n"/>
      <c r="J12" s="17">
        <f>IF(AND(B12="",C12="",D12="",E12="",F12="",G12="",H12="",I12=""),"",IF(AND(A12&lt;&gt;"",C12&lt;&gt;"",D12&lt;&gt;"",E12&lt;&gt;"",F12&lt;&gt;"",H12&lt;&gt;""),"Complete","Pending"))</f>
        <v/>
      </c>
    </row>
    <row r="13">
      <c r="A13" s="19" t="inlineStr">
        <is>
          <t>M022-Q01</t>
        </is>
      </c>
      <c r="B13" s="19" t="inlineStr">
        <is>
          <t>MISS-M022-Q01-02</t>
        </is>
      </c>
      <c r="C13" s="21" t="n"/>
      <c r="D13" s="21" t="n"/>
      <c r="E13" s="21" t="n"/>
      <c r="F13" s="21" t="n"/>
      <c r="G13" s="21" t="n"/>
      <c r="H13" s="21" t="n"/>
      <c r="I13" s="21" t="n"/>
      <c r="J13" s="17">
        <f>IF(AND(B13="",C13="",D13="",E13="",F13="",G13="",H13="",I13=""),"",IF(AND(A13&lt;&gt;"",C13&lt;&gt;"",D13&lt;&gt;"",E13&lt;&gt;"",F13&lt;&gt;"",H13&lt;&gt;""),"Complete","Pending"))</f>
        <v/>
      </c>
    </row>
    <row r="14">
      <c r="A14" s="19" t="inlineStr">
        <is>
          <t>M022-Q01</t>
        </is>
      </c>
      <c r="B14" s="19" t="inlineStr">
        <is>
          <t>MISS-M022-Q01-03</t>
        </is>
      </c>
      <c r="C14" s="21" t="n"/>
      <c r="D14" s="21" t="n"/>
      <c r="E14" s="21" t="n"/>
      <c r="F14" s="21" t="n"/>
      <c r="G14" s="21" t="n"/>
      <c r="H14" s="21" t="n"/>
      <c r="I14" s="21" t="n"/>
      <c r="J14" s="17">
        <f>IF(AND(B14="",C14="",D14="",E14="",F14="",G14="",H14="",I14=""),"",IF(AND(A14&lt;&gt;"",C14&lt;&gt;"",D14&lt;&gt;"",E14&lt;&gt;"",F14&lt;&gt;"",H14&lt;&gt;""),"Complete","Pending"))</f>
        <v/>
      </c>
    </row>
  </sheetData>
  <autoFilter ref="A5:J14"/>
  <mergeCells count="2">
    <mergeCell ref="A3:J3"/>
    <mergeCell ref="A2:J2"/>
  </mergeCells>
  <conditionalFormatting sqref="J6:J14">
    <cfRule type="cellIs" priority="1" operator="equal" dxfId="8">
      <formula>"Complete"</formula>
    </cfRule>
    <cfRule type="cellIs" priority="2" operator="equal" dxfId="9">
      <formula>"Pending"</formula>
    </cfRule>
  </conditionalFormatting>
  <dataValidations count="1">
    <dataValidation sqref="E6:E14" showDropDown="0" showInputMessage="0" showErrorMessage="0" allowBlank="1" type="list">
      <formula1>"Indispensable,Supporting,Background"</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2026-09-10T07:12:12Z</dcterms:created>
  <dcterms:modified xmlns:dcterms="http://purl.org/dc/terms/" xmlns:xsi="http://www.w3.org/2001/XMLSchema-instance" xsi:type="dcterms:W3CDTF">2026-09-10T07:12:12Z</dcterms:modified>
</cp:coreProperties>
</file>